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nafisaslam/Downloads/"/>
    </mc:Choice>
  </mc:AlternateContent>
  <xr:revisionPtr revIDLastSave="0" documentId="13_ncr:1_{46150D30-36BB-9041-BFF4-9AE9E24F26BB}" xr6:coauthVersionLast="47" xr6:coauthVersionMax="47" xr10:uidLastSave="{00000000-0000-0000-0000-000000000000}"/>
  <bookViews>
    <workbookView minimized="1" xWindow="0" yWindow="500" windowWidth="76800" windowHeight="29680" xr2:uid="{00000000-000D-0000-FFFF-FFFF00000000}"/>
  </bookViews>
  <sheets>
    <sheet name="Admission" sheetId="1" r:id="rId1"/>
    <sheet name="VAN" sheetId="2" r:id="rId2"/>
    <sheet name="Nur" sheetId="3" r:id="rId3"/>
    <sheet name="LKG" sheetId="4" r:id="rId4"/>
    <sheet name="UKG" sheetId="5" r:id="rId5"/>
    <sheet name="I" sheetId="6" r:id="rId6"/>
    <sheet name="II" sheetId="7" r:id="rId7"/>
    <sheet name="III" sheetId="8" r:id="rId8"/>
    <sheet name="IV" sheetId="9" r:id="rId9"/>
    <sheet name="VI" sheetId="10" r:id="rId10"/>
    <sheet name="VII" sheetId="11" r:id="rId11"/>
    <sheet name="V" sheetId="12" r:id="rId12"/>
    <sheet name="VIII" sheetId="13" r:id="rId13"/>
    <sheet name="Summary" sheetId="14" r:id="rId14"/>
    <sheet name="Expect" sheetId="15" r:id="rId15"/>
    <sheet name="Fee" sheetId="16" r:id="rId16"/>
  </sheets>
  <definedNames>
    <definedName name="_xlnm._FilterDatabase" localSheetId="0" hidden="1">Admission!$H$1:$H$998</definedName>
    <definedName name="data" localSheetId="5">I!$B$4:$E$149</definedName>
    <definedName name="data" localSheetId="6">II!$B$4:$E$150</definedName>
    <definedName name="data" localSheetId="7">III!$B$4:$E$146</definedName>
    <definedName name="data" localSheetId="8">IV!$B$5:$E$147</definedName>
    <definedName name="data" localSheetId="3">LKG!$B$4:$E$147</definedName>
    <definedName name="data" localSheetId="4">UKG!$B$4:$E$142</definedName>
    <definedName name="data" localSheetId="11">V!$B$4:$E$148</definedName>
    <definedName name="data" localSheetId="1">VAN!$B$4:$C$150</definedName>
    <definedName name="data" localSheetId="9">VI!$B$4:$E$147</definedName>
    <definedName name="data" localSheetId="10">VII!$B$4:$E$150</definedName>
    <definedName name="data" localSheetId="12">VIII!$B$4:$E$148</definedName>
    <definedName name="data">Nur!$B$4:$E$150</definedName>
    <definedName name="Z_B27989C2_E150_4617_8B2E_869924A0E35D_.wvu.FilterData" localSheetId="0" hidden="1">Admission!$A$1:$O$201</definedName>
    <definedName name="Z_EF8C3C62_D00E_4FE2_BAEE_45D67026FC72_.wvu.FilterData" localSheetId="0" hidden="1">Admission!$A$1:$O$177</definedName>
    <definedName name="Z_FE09D98B_891A_424C_9085_70EDF31C78AB_.wvu.FilterData" localSheetId="0" hidden="1">Admission!$A$1:$O$201</definedName>
  </definedNames>
  <calcPr calcId="191029"/>
  <customWorkbookViews>
    <customWorkbookView name="Filter 1" guid="{FE09D98B-891A-424C-9085-70EDF31C78AB}" maximized="1" windowWidth="0" windowHeight="0" activeSheetId="0"/>
    <customWorkbookView name="Filter 3" guid="{B27989C2-E150-4617-8B2E-869924A0E35D}" maximized="1" windowWidth="0" windowHeight="0" activeSheetId="0"/>
    <customWorkbookView name="Filter 2" guid="{EF8C3C62-D00E-4FE2-BAEE-45D67026FC7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6" l="1"/>
  <c r="I28" i="16" s="1"/>
  <c r="D27" i="16"/>
  <c r="I27" i="16" s="1"/>
  <c r="I26" i="16"/>
  <c r="D26" i="16"/>
  <c r="D25" i="16"/>
  <c r="I25" i="16" s="1"/>
  <c r="I24" i="16"/>
  <c r="D24" i="16"/>
  <c r="I23" i="16"/>
  <c r="D23" i="16"/>
  <c r="I22" i="16"/>
  <c r="D22" i="16"/>
  <c r="I21" i="16"/>
  <c r="D21" i="16"/>
  <c r="I20" i="16"/>
  <c r="D20" i="16"/>
  <c r="I19" i="16"/>
  <c r="D19" i="16"/>
  <c r="I18" i="16"/>
  <c r="D18" i="16"/>
  <c r="I14" i="16"/>
  <c r="D14" i="16"/>
  <c r="I13" i="16"/>
  <c r="D13" i="16"/>
  <c r="I12" i="16"/>
  <c r="D12" i="16"/>
  <c r="I11" i="16"/>
  <c r="D11" i="16"/>
  <c r="I10" i="16"/>
  <c r="D10" i="16"/>
  <c r="I9" i="16"/>
  <c r="D9" i="16"/>
  <c r="I8" i="16"/>
  <c r="D8" i="16"/>
  <c r="I7" i="16"/>
  <c r="D7" i="16"/>
  <c r="I6" i="16"/>
  <c r="D6" i="16"/>
  <c r="I5" i="16"/>
  <c r="D5" i="16"/>
  <c r="I4" i="16"/>
  <c r="D4" i="16"/>
  <c r="D16" i="14"/>
  <c r="C16" i="14"/>
  <c r="B16" i="14"/>
  <c r="D15" i="14"/>
  <c r="C15" i="14"/>
  <c r="B15" i="14"/>
  <c r="D13" i="14"/>
  <c r="D11" i="14"/>
  <c r="D10" i="14"/>
  <c r="D9" i="14"/>
  <c r="D8" i="14"/>
  <c r="D7" i="14"/>
  <c r="D6" i="14"/>
  <c r="D3" i="14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C148" i="13"/>
  <c r="B148" i="13"/>
  <c r="E147" i="13"/>
  <c r="C147" i="13"/>
  <c r="B147" i="13"/>
  <c r="E146" i="13"/>
  <c r="C146" i="13"/>
  <c r="B146" i="13"/>
  <c r="E145" i="13"/>
  <c r="C145" i="13"/>
  <c r="B145" i="13"/>
  <c r="E144" i="13"/>
  <c r="C144" i="13"/>
  <c r="B144" i="13"/>
  <c r="E143" i="13"/>
  <c r="C143" i="13"/>
  <c r="B143" i="13"/>
  <c r="E142" i="13"/>
  <c r="C142" i="13"/>
  <c r="B142" i="13"/>
  <c r="E141" i="13"/>
  <c r="C141" i="13"/>
  <c r="B141" i="13"/>
  <c r="E140" i="13"/>
  <c r="C140" i="13"/>
  <c r="B140" i="13"/>
  <c r="E139" i="13"/>
  <c r="C139" i="13"/>
  <c r="B139" i="13"/>
  <c r="E138" i="13"/>
  <c r="C138" i="13"/>
  <c r="B138" i="13"/>
  <c r="E137" i="13"/>
  <c r="C137" i="13"/>
  <c r="B137" i="13"/>
  <c r="E136" i="13"/>
  <c r="C136" i="13"/>
  <c r="B136" i="13"/>
  <c r="E135" i="13"/>
  <c r="C135" i="13"/>
  <c r="B135" i="13"/>
  <c r="E134" i="13"/>
  <c r="C134" i="13"/>
  <c r="B134" i="13"/>
  <c r="E133" i="13"/>
  <c r="C133" i="13"/>
  <c r="B133" i="13"/>
  <c r="E132" i="13"/>
  <c r="C132" i="13"/>
  <c r="B132" i="13"/>
  <c r="E131" i="13"/>
  <c r="C131" i="13"/>
  <c r="B131" i="13"/>
  <c r="E130" i="13"/>
  <c r="C130" i="13"/>
  <c r="B130" i="13"/>
  <c r="E129" i="13"/>
  <c r="C129" i="13"/>
  <c r="B129" i="13"/>
  <c r="E128" i="13"/>
  <c r="C128" i="13"/>
  <c r="B128" i="13"/>
  <c r="E127" i="13"/>
  <c r="C127" i="13"/>
  <c r="B127" i="13"/>
  <c r="E126" i="13"/>
  <c r="C126" i="13"/>
  <c r="B126" i="13"/>
  <c r="E125" i="13"/>
  <c r="C125" i="13"/>
  <c r="B125" i="13"/>
  <c r="E124" i="13"/>
  <c r="C124" i="13"/>
  <c r="B124" i="13"/>
  <c r="E123" i="13"/>
  <c r="C123" i="13"/>
  <c r="B123" i="13"/>
  <c r="E122" i="13"/>
  <c r="C122" i="13"/>
  <c r="B122" i="13"/>
  <c r="E121" i="13"/>
  <c r="C121" i="13"/>
  <c r="B121" i="13"/>
  <c r="E120" i="13"/>
  <c r="C120" i="13"/>
  <c r="B120" i="13"/>
  <c r="E119" i="13"/>
  <c r="C119" i="13"/>
  <c r="B119" i="13"/>
  <c r="E118" i="13"/>
  <c r="C118" i="13"/>
  <c r="B118" i="13"/>
  <c r="E117" i="13"/>
  <c r="C117" i="13"/>
  <c r="B117" i="13"/>
  <c r="E116" i="13"/>
  <c r="C116" i="13"/>
  <c r="B116" i="13"/>
  <c r="E115" i="13"/>
  <c r="C115" i="13"/>
  <c r="B115" i="13"/>
  <c r="E114" i="13"/>
  <c r="C114" i="13"/>
  <c r="B114" i="13"/>
  <c r="E113" i="13"/>
  <c r="C113" i="13"/>
  <c r="B113" i="13"/>
  <c r="E112" i="13"/>
  <c r="C112" i="13"/>
  <c r="B112" i="13"/>
  <c r="E111" i="13"/>
  <c r="C111" i="13"/>
  <c r="B111" i="13"/>
  <c r="E110" i="13"/>
  <c r="C110" i="13"/>
  <c r="B110" i="13"/>
  <c r="E109" i="13"/>
  <c r="C109" i="13"/>
  <c r="B109" i="13"/>
  <c r="E108" i="13"/>
  <c r="C108" i="13"/>
  <c r="B108" i="13"/>
  <c r="E107" i="13"/>
  <c r="C107" i="13"/>
  <c r="B107" i="13"/>
  <c r="E106" i="13"/>
  <c r="C106" i="13"/>
  <c r="B106" i="13"/>
  <c r="E105" i="13"/>
  <c r="C105" i="13"/>
  <c r="B105" i="13"/>
  <c r="E104" i="13"/>
  <c r="C104" i="13"/>
  <c r="B104" i="13"/>
  <c r="E103" i="13"/>
  <c r="C103" i="13"/>
  <c r="B103" i="13"/>
  <c r="E102" i="13"/>
  <c r="C102" i="13"/>
  <c r="B102" i="13"/>
  <c r="E101" i="13"/>
  <c r="C101" i="13"/>
  <c r="B101" i="13"/>
  <c r="E100" i="13"/>
  <c r="C100" i="13"/>
  <c r="B100" i="13"/>
  <c r="E99" i="13"/>
  <c r="C99" i="13"/>
  <c r="B99" i="13"/>
  <c r="E98" i="13"/>
  <c r="C98" i="13"/>
  <c r="B98" i="13"/>
  <c r="E97" i="13"/>
  <c r="C97" i="13"/>
  <c r="B97" i="13"/>
  <c r="E96" i="13"/>
  <c r="C96" i="13"/>
  <c r="B96" i="13"/>
  <c r="E95" i="13"/>
  <c r="C95" i="13"/>
  <c r="B95" i="13"/>
  <c r="E94" i="13"/>
  <c r="C94" i="13"/>
  <c r="B94" i="13"/>
  <c r="E93" i="13"/>
  <c r="C93" i="13"/>
  <c r="B93" i="13"/>
  <c r="E92" i="13"/>
  <c r="C92" i="13"/>
  <c r="B92" i="13"/>
  <c r="E91" i="13"/>
  <c r="C91" i="13"/>
  <c r="B91" i="13"/>
  <c r="E90" i="13"/>
  <c r="C90" i="13"/>
  <c r="B90" i="13"/>
  <c r="E89" i="13"/>
  <c r="C89" i="13"/>
  <c r="B89" i="13"/>
  <c r="E88" i="13"/>
  <c r="C88" i="13"/>
  <c r="B88" i="13"/>
  <c r="E87" i="13"/>
  <c r="C87" i="13"/>
  <c r="B87" i="13"/>
  <c r="E86" i="13"/>
  <c r="C86" i="13"/>
  <c r="B86" i="13"/>
  <c r="E85" i="13"/>
  <c r="C85" i="13"/>
  <c r="B85" i="13"/>
  <c r="E84" i="13"/>
  <c r="C84" i="13"/>
  <c r="B84" i="13"/>
  <c r="E83" i="13"/>
  <c r="C83" i="13"/>
  <c r="B83" i="13"/>
  <c r="E82" i="13"/>
  <c r="C82" i="13"/>
  <c r="B82" i="13"/>
  <c r="E81" i="13"/>
  <c r="C81" i="13"/>
  <c r="B81" i="13"/>
  <c r="E80" i="13"/>
  <c r="C80" i="13"/>
  <c r="B80" i="13"/>
  <c r="E79" i="13"/>
  <c r="C79" i="13"/>
  <c r="B79" i="13"/>
  <c r="E78" i="13"/>
  <c r="C78" i="13"/>
  <c r="B78" i="13"/>
  <c r="E77" i="13"/>
  <c r="C77" i="13"/>
  <c r="B77" i="13"/>
  <c r="E76" i="13"/>
  <c r="C76" i="13"/>
  <c r="B76" i="13"/>
  <c r="E75" i="13"/>
  <c r="C75" i="13"/>
  <c r="B75" i="13"/>
  <c r="E74" i="13"/>
  <c r="C74" i="13"/>
  <c r="B74" i="13"/>
  <c r="E73" i="13"/>
  <c r="C73" i="13"/>
  <c r="B73" i="13"/>
  <c r="E72" i="13"/>
  <c r="C72" i="13"/>
  <c r="B72" i="13"/>
  <c r="E71" i="13"/>
  <c r="C71" i="13"/>
  <c r="B71" i="13"/>
  <c r="E70" i="13"/>
  <c r="C70" i="13"/>
  <c r="B70" i="13"/>
  <c r="E69" i="13"/>
  <c r="C69" i="13"/>
  <c r="B69" i="13"/>
  <c r="E68" i="13"/>
  <c r="C68" i="13"/>
  <c r="B68" i="13"/>
  <c r="E67" i="13"/>
  <c r="C67" i="13"/>
  <c r="B67" i="13"/>
  <c r="E66" i="13"/>
  <c r="C66" i="13"/>
  <c r="B66" i="13"/>
  <c r="E65" i="13"/>
  <c r="C65" i="13"/>
  <c r="B65" i="13"/>
  <c r="E64" i="13"/>
  <c r="C64" i="13"/>
  <c r="B64" i="13"/>
  <c r="E63" i="13"/>
  <c r="C63" i="13"/>
  <c r="B63" i="13"/>
  <c r="E62" i="13"/>
  <c r="C62" i="13"/>
  <c r="B62" i="13"/>
  <c r="E61" i="13"/>
  <c r="C61" i="13"/>
  <c r="B61" i="13"/>
  <c r="E60" i="13"/>
  <c r="C60" i="13"/>
  <c r="B60" i="13"/>
  <c r="E59" i="13"/>
  <c r="C59" i="13"/>
  <c r="B59" i="13"/>
  <c r="E58" i="13"/>
  <c r="C58" i="13"/>
  <c r="B58" i="13"/>
  <c r="E57" i="13"/>
  <c r="C57" i="13"/>
  <c r="B57" i="13"/>
  <c r="E56" i="13"/>
  <c r="C56" i="13"/>
  <c r="B56" i="13"/>
  <c r="E55" i="13"/>
  <c r="C55" i="13"/>
  <c r="B55" i="13"/>
  <c r="E54" i="13"/>
  <c r="C54" i="13"/>
  <c r="B54" i="13"/>
  <c r="E53" i="13"/>
  <c r="C53" i="13"/>
  <c r="B53" i="13"/>
  <c r="E52" i="13"/>
  <c r="C52" i="13"/>
  <c r="B52" i="13"/>
  <c r="E51" i="13"/>
  <c r="C51" i="13"/>
  <c r="B51" i="13"/>
  <c r="E50" i="13"/>
  <c r="C50" i="13"/>
  <c r="B50" i="13"/>
  <c r="E49" i="13"/>
  <c r="C49" i="13"/>
  <c r="B49" i="13"/>
  <c r="E48" i="13"/>
  <c r="C48" i="13"/>
  <c r="B48" i="13"/>
  <c r="E47" i="13"/>
  <c r="C47" i="13"/>
  <c r="B47" i="13"/>
  <c r="E46" i="13"/>
  <c r="C46" i="13"/>
  <c r="B46" i="13"/>
  <c r="E45" i="13"/>
  <c r="C45" i="13"/>
  <c r="B45" i="13"/>
  <c r="E44" i="13"/>
  <c r="C44" i="13"/>
  <c r="B44" i="13"/>
  <c r="E43" i="13"/>
  <c r="C43" i="13"/>
  <c r="B43" i="13"/>
  <c r="E42" i="13"/>
  <c r="C42" i="13"/>
  <c r="B42" i="13"/>
  <c r="E41" i="13"/>
  <c r="C41" i="13"/>
  <c r="B41" i="13"/>
  <c r="E40" i="13"/>
  <c r="C40" i="13"/>
  <c r="B40" i="13"/>
  <c r="E39" i="13"/>
  <c r="C39" i="13"/>
  <c r="B39" i="13"/>
  <c r="E38" i="13"/>
  <c r="C38" i="13"/>
  <c r="B38" i="13"/>
  <c r="E37" i="13"/>
  <c r="C37" i="13"/>
  <c r="B37" i="13"/>
  <c r="E36" i="13"/>
  <c r="C36" i="13"/>
  <c r="B36" i="13"/>
  <c r="E35" i="13"/>
  <c r="C35" i="13"/>
  <c r="B35" i="13"/>
  <c r="E34" i="13"/>
  <c r="C34" i="13"/>
  <c r="B34" i="13"/>
  <c r="E33" i="13"/>
  <c r="C33" i="13"/>
  <c r="B33" i="13"/>
  <c r="E32" i="13"/>
  <c r="C32" i="13"/>
  <c r="B32" i="13"/>
  <c r="E31" i="13"/>
  <c r="C31" i="13"/>
  <c r="B31" i="13"/>
  <c r="E30" i="13"/>
  <c r="C30" i="13"/>
  <c r="B30" i="13"/>
  <c r="E29" i="13"/>
  <c r="C29" i="13"/>
  <c r="B29" i="13"/>
  <c r="E28" i="13"/>
  <c r="C28" i="13"/>
  <c r="B28" i="13"/>
  <c r="E27" i="13"/>
  <c r="C27" i="13"/>
  <c r="B27" i="13"/>
  <c r="E26" i="13"/>
  <c r="C26" i="13"/>
  <c r="B26" i="13"/>
  <c r="E25" i="13"/>
  <c r="C25" i="13"/>
  <c r="B25" i="13"/>
  <c r="E24" i="13"/>
  <c r="C24" i="13"/>
  <c r="B24" i="13"/>
  <c r="E23" i="13"/>
  <c r="C23" i="13"/>
  <c r="B23" i="13"/>
  <c r="E22" i="13"/>
  <c r="C22" i="13"/>
  <c r="B22" i="13"/>
  <c r="E21" i="13"/>
  <c r="C21" i="13"/>
  <c r="B21" i="13"/>
  <c r="E20" i="13"/>
  <c r="C20" i="13"/>
  <c r="B20" i="13"/>
  <c r="E19" i="13"/>
  <c r="C19" i="13"/>
  <c r="B19" i="13"/>
  <c r="E18" i="13"/>
  <c r="C18" i="13"/>
  <c r="B18" i="13"/>
  <c r="E17" i="13"/>
  <c r="C17" i="13"/>
  <c r="B17" i="13"/>
  <c r="E16" i="13"/>
  <c r="C16" i="13"/>
  <c r="B16" i="13"/>
  <c r="E15" i="13"/>
  <c r="C15" i="13"/>
  <c r="B15" i="13"/>
  <c r="E14" i="13"/>
  <c r="C14" i="13"/>
  <c r="B14" i="13"/>
  <c r="E13" i="13"/>
  <c r="C13" i="13"/>
  <c r="B13" i="13"/>
  <c r="E12" i="13"/>
  <c r="C12" i="13"/>
  <c r="B12" i="13"/>
  <c r="E11" i="13"/>
  <c r="D11" i="13"/>
  <c r="C11" i="13"/>
  <c r="B11" i="13"/>
  <c r="E10" i="13"/>
  <c r="D10" i="13"/>
  <c r="C10" i="13"/>
  <c r="B10" i="13"/>
  <c r="E9" i="13"/>
  <c r="D9" i="13"/>
  <c r="C9" i="13"/>
  <c r="B9" i="13"/>
  <c r="E8" i="13"/>
  <c r="D8" i="13"/>
  <c r="C8" i="13"/>
  <c r="B8" i="13"/>
  <c r="E7" i="13"/>
  <c r="D7" i="13"/>
  <c r="C7" i="13"/>
  <c r="B7" i="13"/>
  <c r="E6" i="13"/>
  <c r="D6" i="13"/>
  <c r="C6" i="13"/>
  <c r="B6" i="13"/>
  <c r="E5" i="13"/>
  <c r="B2" i="13" s="1"/>
  <c r="D5" i="13"/>
  <c r="C5" i="13"/>
  <c r="B5" i="13"/>
  <c r="E4" i="13"/>
  <c r="D4" i="13"/>
  <c r="C4" i="13"/>
  <c r="B4" i="13"/>
  <c r="U2" i="13"/>
  <c r="R13" i="14" s="1"/>
  <c r="T2" i="13"/>
  <c r="S2" i="13"/>
  <c r="Q13" i="14" s="1"/>
  <c r="R2" i="13"/>
  <c r="P13" i="14" s="1"/>
  <c r="Q2" i="13"/>
  <c r="P2" i="13"/>
  <c r="O13" i="14" s="1"/>
  <c r="O2" i="13"/>
  <c r="N13" i="14" s="1"/>
  <c r="N2" i="13"/>
  <c r="M13" i="14" s="1"/>
  <c r="M2" i="13"/>
  <c r="L2" i="13"/>
  <c r="L13" i="14" s="1"/>
  <c r="K2" i="13"/>
  <c r="K13" i="14" s="1"/>
  <c r="J2" i="13"/>
  <c r="J13" i="14" s="1"/>
  <c r="I2" i="13"/>
  <c r="H2" i="13"/>
  <c r="I13" i="14" s="1"/>
  <c r="G2" i="13"/>
  <c r="H13" i="14" s="1"/>
  <c r="F2" i="13"/>
  <c r="G13" i="14" s="1"/>
  <c r="C2" i="13"/>
  <c r="C13" i="14" s="1"/>
  <c r="A2" i="13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C148" i="12"/>
  <c r="B148" i="12"/>
  <c r="E147" i="12"/>
  <c r="C147" i="12"/>
  <c r="B147" i="12"/>
  <c r="E146" i="12"/>
  <c r="C146" i="12"/>
  <c r="B146" i="12"/>
  <c r="E145" i="12"/>
  <c r="C145" i="12"/>
  <c r="B145" i="12"/>
  <c r="E144" i="12"/>
  <c r="C144" i="12"/>
  <c r="B144" i="12"/>
  <c r="E143" i="12"/>
  <c r="C143" i="12"/>
  <c r="B143" i="12"/>
  <c r="E142" i="12"/>
  <c r="C142" i="12"/>
  <c r="B142" i="12"/>
  <c r="E141" i="12"/>
  <c r="C141" i="12"/>
  <c r="B141" i="12"/>
  <c r="E140" i="12"/>
  <c r="C140" i="12"/>
  <c r="B140" i="12"/>
  <c r="E139" i="12"/>
  <c r="C139" i="12"/>
  <c r="B139" i="12"/>
  <c r="E138" i="12"/>
  <c r="C138" i="12"/>
  <c r="B138" i="12"/>
  <c r="E137" i="12"/>
  <c r="C137" i="12"/>
  <c r="B137" i="12"/>
  <c r="E136" i="12"/>
  <c r="C136" i="12"/>
  <c r="B136" i="12"/>
  <c r="E135" i="12"/>
  <c r="C135" i="12"/>
  <c r="B135" i="12"/>
  <c r="E134" i="12"/>
  <c r="C134" i="12"/>
  <c r="B134" i="12"/>
  <c r="E133" i="12"/>
  <c r="C133" i="12"/>
  <c r="B133" i="12"/>
  <c r="E132" i="12"/>
  <c r="C132" i="12"/>
  <c r="B132" i="12"/>
  <c r="E131" i="12"/>
  <c r="C131" i="12"/>
  <c r="B131" i="12"/>
  <c r="E130" i="12"/>
  <c r="C130" i="12"/>
  <c r="B130" i="12"/>
  <c r="E129" i="12"/>
  <c r="C129" i="12"/>
  <c r="B129" i="12"/>
  <c r="E128" i="12"/>
  <c r="C128" i="12"/>
  <c r="B128" i="12"/>
  <c r="E127" i="12"/>
  <c r="C127" i="12"/>
  <c r="B127" i="12"/>
  <c r="E126" i="12"/>
  <c r="C126" i="12"/>
  <c r="B126" i="12"/>
  <c r="E125" i="12"/>
  <c r="C125" i="12"/>
  <c r="B125" i="12"/>
  <c r="E124" i="12"/>
  <c r="C124" i="12"/>
  <c r="B124" i="12"/>
  <c r="E123" i="12"/>
  <c r="C123" i="12"/>
  <c r="B123" i="12"/>
  <c r="E122" i="12"/>
  <c r="C122" i="12"/>
  <c r="B122" i="12"/>
  <c r="E121" i="12"/>
  <c r="C121" i="12"/>
  <c r="B121" i="12"/>
  <c r="E120" i="12"/>
  <c r="C120" i="12"/>
  <c r="B120" i="12"/>
  <c r="E119" i="12"/>
  <c r="C119" i="12"/>
  <c r="B119" i="12"/>
  <c r="E118" i="12"/>
  <c r="C118" i="12"/>
  <c r="B118" i="12"/>
  <c r="E117" i="12"/>
  <c r="C117" i="12"/>
  <c r="B117" i="12"/>
  <c r="E116" i="12"/>
  <c r="C116" i="12"/>
  <c r="B116" i="12"/>
  <c r="E115" i="12"/>
  <c r="C115" i="12"/>
  <c r="B115" i="12"/>
  <c r="E114" i="12"/>
  <c r="C114" i="12"/>
  <c r="B114" i="12"/>
  <c r="E113" i="12"/>
  <c r="C113" i="12"/>
  <c r="B113" i="12"/>
  <c r="E112" i="12"/>
  <c r="C112" i="12"/>
  <c r="B112" i="12"/>
  <c r="E111" i="12"/>
  <c r="C111" i="12"/>
  <c r="B111" i="12"/>
  <c r="E110" i="12"/>
  <c r="C110" i="12"/>
  <c r="B110" i="12"/>
  <c r="E109" i="12"/>
  <c r="C109" i="12"/>
  <c r="B109" i="12"/>
  <c r="E108" i="12"/>
  <c r="C108" i="12"/>
  <c r="B108" i="12"/>
  <c r="E107" i="12"/>
  <c r="C107" i="12"/>
  <c r="B107" i="12"/>
  <c r="E106" i="12"/>
  <c r="C106" i="12"/>
  <c r="B106" i="12"/>
  <c r="E105" i="12"/>
  <c r="C105" i="12"/>
  <c r="B105" i="12"/>
  <c r="E104" i="12"/>
  <c r="C104" i="12"/>
  <c r="B104" i="12"/>
  <c r="E103" i="12"/>
  <c r="C103" i="12"/>
  <c r="B103" i="12"/>
  <c r="E102" i="12"/>
  <c r="C102" i="12"/>
  <c r="B102" i="12"/>
  <c r="E101" i="12"/>
  <c r="C101" i="12"/>
  <c r="B101" i="12"/>
  <c r="E100" i="12"/>
  <c r="C100" i="12"/>
  <c r="B100" i="12"/>
  <c r="E99" i="12"/>
  <c r="C99" i="12"/>
  <c r="B99" i="12"/>
  <c r="E98" i="12"/>
  <c r="C98" i="12"/>
  <c r="B98" i="12"/>
  <c r="E97" i="12"/>
  <c r="C97" i="12"/>
  <c r="B97" i="12"/>
  <c r="E96" i="12"/>
  <c r="C96" i="12"/>
  <c r="B96" i="12"/>
  <c r="E95" i="12"/>
  <c r="C95" i="12"/>
  <c r="B95" i="12"/>
  <c r="E94" i="12"/>
  <c r="C94" i="12"/>
  <c r="B94" i="12"/>
  <c r="E93" i="12"/>
  <c r="C93" i="12"/>
  <c r="B93" i="12"/>
  <c r="E92" i="12"/>
  <c r="C92" i="12"/>
  <c r="B92" i="12"/>
  <c r="E91" i="12"/>
  <c r="C91" i="12"/>
  <c r="B91" i="12"/>
  <c r="E90" i="12"/>
  <c r="C90" i="12"/>
  <c r="B90" i="12"/>
  <c r="E89" i="12"/>
  <c r="C89" i="12"/>
  <c r="B89" i="12"/>
  <c r="E88" i="12"/>
  <c r="C88" i="12"/>
  <c r="B88" i="12"/>
  <c r="E87" i="12"/>
  <c r="C87" i="12"/>
  <c r="B87" i="12"/>
  <c r="E86" i="12"/>
  <c r="C86" i="12"/>
  <c r="B86" i="12"/>
  <c r="E85" i="12"/>
  <c r="C85" i="12"/>
  <c r="B85" i="12"/>
  <c r="E84" i="12"/>
  <c r="C84" i="12"/>
  <c r="B84" i="12"/>
  <c r="E83" i="12"/>
  <c r="C83" i="12"/>
  <c r="B83" i="12"/>
  <c r="E82" i="12"/>
  <c r="C82" i="12"/>
  <c r="B82" i="12"/>
  <c r="E81" i="12"/>
  <c r="C81" i="12"/>
  <c r="B81" i="12"/>
  <c r="E80" i="12"/>
  <c r="C80" i="12"/>
  <c r="B80" i="12"/>
  <c r="E79" i="12"/>
  <c r="C79" i="12"/>
  <c r="B79" i="12"/>
  <c r="E78" i="12"/>
  <c r="C78" i="12"/>
  <c r="B78" i="12"/>
  <c r="E77" i="12"/>
  <c r="C77" i="12"/>
  <c r="B77" i="12"/>
  <c r="E76" i="12"/>
  <c r="C76" i="12"/>
  <c r="B76" i="12"/>
  <c r="E75" i="12"/>
  <c r="C75" i="12"/>
  <c r="B75" i="12"/>
  <c r="E74" i="12"/>
  <c r="C74" i="12"/>
  <c r="B74" i="12"/>
  <c r="E73" i="12"/>
  <c r="C73" i="12"/>
  <c r="B73" i="12"/>
  <c r="E72" i="12"/>
  <c r="C72" i="12"/>
  <c r="B72" i="12"/>
  <c r="E71" i="12"/>
  <c r="C71" i="12"/>
  <c r="B71" i="12"/>
  <c r="E70" i="12"/>
  <c r="C70" i="12"/>
  <c r="B70" i="12"/>
  <c r="E69" i="12"/>
  <c r="C69" i="12"/>
  <c r="B69" i="12"/>
  <c r="E68" i="12"/>
  <c r="C68" i="12"/>
  <c r="B68" i="12"/>
  <c r="E67" i="12"/>
  <c r="C67" i="12"/>
  <c r="B67" i="12"/>
  <c r="E66" i="12"/>
  <c r="C66" i="12"/>
  <c r="B66" i="12"/>
  <c r="E65" i="12"/>
  <c r="C65" i="12"/>
  <c r="B65" i="12"/>
  <c r="E64" i="12"/>
  <c r="C64" i="12"/>
  <c r="B64" i="12"/>
  <c r="E63" i="12"/>
  <c r="C63" i="12"/>
  <c r="B63" i="12"/>
  <c r="E62" i="12"/>
  <c r="C62" i="12"/>
  <c r="B62" i="12"/>
  <c r="E61" i="12"/>
  <c r="C61" i="12"/>
  <c r="B61" i="12"/>
  <c r="E60" i="12"/>
  <c r="C60" i="12"/>
  <c r="B60" i="12"/>
  <c r="E59" i="12"/>
  <c r="C59" i="12"/>
  <c r="B59" i="12"/>
  <c r="E58" i="12"/>
  <c r="C58" i="12"/>
  <c r="B58" i="12"/>
  <c r="E57" i="12"/>
  <c r="C57" i="12"/>
  <c r="B57" i="12"/>
  <c r="E56" i="12"/>
  <c r="C56" i="12"/>
  <c r="B56" i="12"/>
  <c r="E55" i="12"/>
  <c r="C55" i="12"/>
  <c r="B55" i="12"/>
  <c r="E54" i="12"/>
  <c r="C54" i="12"/>
  <c r="B54" i="12"/>
  <c r="E53" i="12"/>
  <c r="C53" i="12"/>
  <c r="B53" i="12"/>
  <c r="E52" i="12"/>
  <c r="C52" i="12"/>
  <c r="B52" i="12"/>
  <c r="E51" i="12"/>
  <c r="C51" i="12"/>
  <c r="B51" i="12"/>
  <c r="E50" i="12"/>
  <c r="C50" i="12"/>
  <c r="B50" i="12"/>
  <c r="E49" i="12"/>
  <c r="C49" i="12"/>
  <c r="B49" i="12"/>
  <c r="E48" i="12"/>
  <c r="C48" i="12"/>
  <c r="B48" i="12"/>
  <c r="E47" i="12"/>
  <c r="C47" i="12"/>
  <c r="B47" i="12"/>
  <c r="E46" i="12"/>
  <c r="C46" i="12"/>
  <c r="B46" i="12"/>
  <c r="E45" i="12"/>
  <c r="C45" i="12"/>
  <c r="B45" i="12"/>
  <c r="E44" i="12"/>
  <c r="C44" i="12"/>
  <c r="B44" i="12"/>
  <c r="E43" i="12"/>
  <c r="C43" i="12"/>
  <c r="B43" i="12"/>
  <c r="E42" i="12"/>
  <c r="C42" i="12"/>
  <c r="B42" i="12"/>
  <c r="E41" i="12"/>
  <c r="C41" i="12"/>
  <c r="B41" i="12"/>
  <c r="E40" i="12"/>
  <c r="C40" i="12"/>
  <c r="B40" i="12"/>
  <c r="E39" i="12"/>
  <c r="C39" i="12"/>
  <c r="B39" i="12"/>
  <c r="E38" i="12"/>
  <c r="C38" i="12"/>
  <c r="B38" i="12"/>
  <c r="E37" i="12"/>
  <c r="C37" i="12"/>
  <c r="B37" i="12"/>
  <c r="E36" i="12"/>
  <c r="C36" i="12"/>
  <c r="B36" i="12"/>
  <c r="E35" i="12"/>
  <c r="C35" i="12"/>
  <c r="B35" i="12"/>
  <c r="E34" i="12"/>
  <c r="C34" i="12"/>
  <c r="B34" i="12"/>
  <c r="E33" i="12"/>
  <c r="C33" i="12"/>
  <c r="B33" i="12"/>
  <c r="E32" i="12"/>
  <c r="C32" i="12"/>
  <c r="B32" i="12"/>
  <c r="E31" i="12"/>
  <c r="C31" i="12"/>
  <c r="B31" i="12"/>
  <c r="E30" i="12"/>
  <c r="C30" i="12"/>
  <c r="B30" i="12"/>
  <c r="E29" i="12"/>
  <c r="C29" i="12"/>
  <c r="B29" i="12"/>
  <c r="E28" i="12"/>
  <c r="C28" i="12"/>
  <c r="B28" i="12"/>
  <c r="E27" i="12"/>
  <c r="C27" i="12"/>
  <c r="B27" i="12"/>
  <c r="E26" i="12"/>
  <c r="C26" i="12"/>
  <c r="B26" i="12"/>
  <c r="E25" i="12"/>
  <c r="C25" i="12"/>
  <c r="B25" i="12"/>
  <c r="E24" i="12"/>
  <c r="C24" i="12"/>
  <c r="B24" i="12"/>
  <c r="E23" i="12"/>
  <c r="C23" i="12"/>
  <c r="B23" i="12"/>
  <c r="E22" i="12"/>
  <c r="C22" i="12"/>
  <c r="B22" i="12"/>
  <c r="E21" i="12"/>
  <c r="D21" i="12"/>
  <c r="C21" i="12"/>
  <c r="B21" i="12"/>
  <c r="E20" i="12"/>
  <c r="D20" i="12"/>
  <c r="C20" i="12"/>
  <c r="B20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C2" i="12" s="1"/>
  <c r="C10" i="14" s="1"/>
  <c r="D4" i="12"/>
  <c r="C4" i="12"/>
  <c r="B4" i="12"/>
  <c r="U2" i="12"/>
  <c r="R10" i="14" s="1"/>
  <c r="T2" i="12"/>
  <c r="S2" i="12"/>
  <c r="Q10" i="14" s="1"/>
  <c r="R2" i="12"/>
  <c r="P10" i="14" s="1"/>
  <c r="Q2" i="12"/>
  <c r="P2" i="12"/>
  <c r="O10" i="14" s="1"/>
  <c r="O2" i="12"/>
  <c r="E2" i="12" s="1"/>
  <c r="N2" i="12"/>
  <c r="M10" i="14" s="1"/>
  <c r="M2" i="12"/>
  <c r="L2" i="12"/>
  <c r="L10" i="14" s="1"/>
  <c r="K2" i="12"/>
  <c r="K10" i="14" s="1"/>
  <c r="J2" i="12"/>
  <c r="J10" i="14" s="1"/>
  <c r="I2" i="12"/>
  <c r="H2" i="12"/>
  <c r="I10" i="14" s="1"/>
  <c r="G2" i="12"/>
  <c r="H10" i="14" s="1"/>
  <c r="F2" i="12"/>
  <c r="G10" i="14" s="1"/>
  <c r="A2" i="12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C150" i="11"/>
  <c r="B150" i="11"/>
  <c r="E149" i="11"/>
  <c r="C149" i="11"/>
  <c r="B149" i="11"/>
  <c r="E148" i="11"/>
  <c r="C148" i="11"/>
  <c r="B148" i="11"/>
  <c r="E147" i="11"/>
  <c r="C147" i="11"/>
  <c r="B147" i="11"/>
  <c r="E146" i="11"/>
  <c r="C146" i="11"/>
  <c r="B146" i="11"/>
  <c r="E145" i="11"/>
  <c r="C145" i="11"/>
  <c r="B145" i="11"/>
  <c r="E144" i="11"/>
  <c r="C144" i="11"/>
  <c r="B144" i="11"/>
  <c r="E143" i="11"/>
  <c r="C143" i="11"/>
  <c r="B143" i="11"/>
  <c r="E142" i="11"/>
  <c r="C142" i="11"/>
  <c r="B142" i="11"/>
  <c r="E141" i="11"/>
  <c r="C141" i="11"/>
  <c r="B141" i="11"/>
  <c r="E140" i="11"/>
  <c r="C140" i="11"/>
  <c r="B140" i="11"/>
  <c r="E139" i="11"/>
  <c r="C139" i="11"/>
  <c r="B139" i="11"/>
  <c r="E138" i="11"/>
  <c r="C138" i="11"/>
  <c r="B138" i="11"/>
  <c r="E137" i="11"/>
  <c r="C137" i="11"/>
  <c r="B137" i="11"/>
  <c r="E136" i="11"/>
  <c r="C136" i="11"/>
  <c r="B136" i="11"/>
  <c r="E135" i="11"/>
  <c r="C135" i="11"/>
  <c r="B135" i="11"/>
  <c r="E134" i="11"/>
  <c r="C134" i="11"/>
  <c r="B134" i="11"/>
  <c r="E133" i="11"/>
  <c r="C133" i="11"/>
  <c r="B133" i="11"/>
  <c r="E132" i="11"/>
  <c r="C132" i="11"/>
  <c r="B132" i="11"/>
  <c r="E131" i="11"/>
  <c r="C131" i="11"/>
  <c r="B131" i="11"/>
  <c r="E130" i="11"/>
  <c r="C130" i="11"/>
  <c r="B130" i="11"/>
  <c r="E129" i="11"/>
  <c r="C129" i="11"/>
  <c r="B129" i="11"/>
  <c r="E128" i="11"/>
  <c r="C128" i="11"/>
  <c r="B128" i="11"/>
  <c r="E127" i="11"/>
  <c r="C127" i="11"/>
  <c r="B127" i="11"/>
  <c r="E126" i="11"/>
  <c r="C126" i="11"/>
  <c r="B126" i="11"/>
  <c r="E125" i="11"/>
  <c r="C125" i="11"/>
  <c r="B125" i="11"/>
  <c r="E124" i="11"/>
  <c r="C124" i="11"/>
  <c r="B124" i="11"/>
  <c r="E123" i="11"/>
  <c r="C123" i="11"/>
  <c r="B123" i="11"/>
  <c r="E122" i="11"/>
  <c r="C122" i="11"/>
  <c r="B122" i="11"/>
  <c r="E121" i="11"/>
  <c r="C121" i="11"/>
  <c r="B121" i="11"/>
  <c r="E120" i="11"/>
  <c r="C120" i="11"/>
  <c r="B120" i="11"/>
  <c r="E119" i="11"/>
  <c r="C119" i="11"/>
  <c r="B119" i="11"/>
  <c r="E118" i="11"/>
  <c r="C118" i="11"/>
  <c r="B118" i="11"/>
  <c r="E117" i="11"/>
  <c r="C117" i="11"/>
  <c r="B117" i="11"/>
  <c r="E116" i="11"/>
  <c r="C116" i="11"/>
  <c r="B116" i="11"/>
  <c r="E115" i="11"/>
  <c r="C115" i="11"/>
  <c r="B115" i="11"/>
  <c r="E114" i="11"/>
  <c r="C114" i="11"/>
  <c r="B114" i="11"/>
  <c r="E113" i="11"/>
  <c r="C113" i="11"/>
  <c r="B113" i="11"/>
  <c r="E112" i="11"/>
  <c r="C112" i="11"/>
  <c r="B112" i="11"/>
  <c r="E111" i="11"/>
  <c r="C111" i="11"/>
  <c r="B111" i="11"/>
  <c r="E110" i="11"/>
  <c r="C110" i="11"/>
  <c r="B110" i="11"/>
  <c r="E109" i="11"/>
  <c r="C109" i="11"/>
  <c r="B109" i="11"/>
  <c r="E108" i="11"/>
  <c r="C108" i="11"/>
  <c r="B108" i="11"/>
  <c r="E107" i="11"/>
  <c r="C107" i="11"/>
  <c r="B107" i="11"/>
  <c r="E106" i="11"/>
  <c r="C106" i="11"/>
  <c r="B106" i="11"/>
  <c r="E105" i="11"/>
  <c r="C105" i="11"/>
  <c r="B105" i="11"/>
  <c r="E104" i="11"/>
  <c r="C104" i="11"/>
  <c r="B104" i="11"/>
  <c r="E103" i="11"/>
  <c r="C103" i="11"/>
  <c r="B103" i="11"/>
  <c r="E102" i="11"/>
  <c r="C102" i="11"/>
  <c r="B102" i="11"/>
  <c r="E101" i="11"/>
  <c r="C101" i="11"/>
  <c r="B101" i="11"/>
  <c r="E100" i="11"/>
  <c r="C100" i="11"/>
  <c r="B100" i="11"/>
  <c r="E99" i="11"/>
  <c r="C99" i="11"/>
  <c r="B99" i="11"/>
  <c r="E98" i="11"/>
  <c r="C98" i="11"/>
  <c r="B98" i="11"/>
  <c r="E97" i="11"/>
  <c r="C97" i="11"/>
  <c r="B97" i="11"/>
  <c r="E96" i="11"/>
  <c r="C96" i="11"/>
  <c r="B96" i="11"/>
  <c r="E95" i="11"/>
  <c r="C95" i="11"/>
  <c r="B95" i="11"/>
  <c r="E94" i="11"/>
  <c r="C94" i="11"/>
  <c r="B94" i="11"/>
  <c r="E93" i="11"/>
  <c r="C93" i="11"/>
  <c r="B93" i="11"/>
  <c r="E92" i="11"/>
  <c r="C92" i="11"/>
  <c r="B92" i="11"/>
  <c r="E91" i="11"/>
  <c r="C91" i="11"/>
  <c r="B91" i="11"/>
  <c r="E90" i="11"/>
  <c r="C90" i="11"/>
  <c r="B90" i="11"/>
  <c r="E89" i="11"/>
  <c r="C89" i="11"/>
  <c r="B89" i="11"/>
  <c r="E88" i="11"/>
  <c r="C88" i="11"/>
  <c r="B88" i="11"/>
  <c r="E87" i="11"/>
  <c r="C87" i="11"/>
  <c r="B87" i="11"/>
  <c r="E86" i="11"/>
  <c r="C86" i="11"/>
  <c r="B86" i="11"/>
  <c r="E85" i="11"/>
  <c r="C85" i="11"/>
  <c r="B85" i="11"/>
  <c r="E84" i="11"/>
  <c r="C84" i="11"/>
  <c r="B84" i="11"/>
  <c r="E83" i="11"/>
  <c r="C83" i="11"/>
  <c r="B83" i="11"/>
  <c r="E82" i="11"/>
  <c r="C82" i="11"/>
  <c r="B82" i="11"/>
  <c r="E81" i="11"/>
  <c r="C81" i="11"/>
  <c r="B81" i="11"/>
  <c r="E80" i="11"/>
  <c r="C80" i="11"/>
  <c r="B80" i="11"/>
  <c r="E79" i="11"/>
  <c r="C79" i="11"/>
  <c r="B79" i="11"/>
  <c r="E78" i="11"/>
  <c r="C78" i="11"/>
  <c r="B78" i="11"/>
  <c r="E77" i="11"/>
  <c r="C77" i="11"/>
  <c r="B77" i="11"/>
  <c r="E76" i="11"/>
  <c r="C76" i="11"/>
  <c r="B76" i="11"/>
  <c r="E75" i="11"/>
  <c r="C75" i="11"/>
  <c r="B75" i="11"/>
  <c r="E74" i="11"/>
  <c r="C74" i="11"/>
  <c r="B74" i="11"/>
  <c r="E73" i="11"/>
  <c r="C73" i="11"/>
  <c r="B73" i="11"/>
  <c r="E72" i="11"/>
  <c r="C72" i="11"/>
  <c r="B72" i="11"/>
  <c r="E71" i="11"/>
  <c r="C71" i="11"/>
  <c r="B71" i="11"/>
  <c r="E70" i="11"/>
  <c r="C70" i="11"/>
  <c r="B70" i="11"/>
  <c r="E69" i="11"/>
  <c r="C69" i="11"/>
  <c r="B69" i="11"/>
  <c r="E68" i="11"/>
  <c r="C68" i="11"/>
  <c r="B68" i="11"/>
  <c r="E67" i="11"/>
  <c r="C67" i="11"/>
  <c r="B67" i="11"/>
  <c r="E66" i="11"/>
  <c r="C66" i="11"/>
  <c r="B66" i="11"/>
  <c r="E65" i="11"/>
  <c r="C65" i="11"/>
  <c r="B65" i="11"/>
  <c r="E64" i="11"/>
  <c r="C64" i="11"/>
  <c r="B64" i="11"/>
  <c r="E63" i="11"/>
  <c r="C63" i="11"/>
  <c r="B63" i="11"/>
  <c r="E62" i="11"/>
  <c r="C62" i="11"/>
  <c r="B62" i="11"/>
  <c r="E61" i="11"/>
  <c r="C61" i="11"/>
  <c r="B61" i="11"/>
  <c r="E60" i="11"/>
  <c r="C60" i="11"/>
  <c r="B60" i="11"/>
  <c r="E59" i="11"/>
  <c r="C59" i="11"/>
  <c r="B59" i="11"/>
  <c r="E58" i="11"/>
  <c r="C58" i="11"/>
  <c r="B58" i="11"/>
  <c r="E57" i="11"/>
  <c r="C57" i="11"/>
  <c r="B57" i="11"/>
  <c r="E56" i="11"/>
  <c r="C56" i="11"/>
  <c r="B56" i="11"/>
  <c r="E55" i="11"/>
  <c r="C55" i="11"/>
  <c r="B55" i="11"/>
  <c r="E54" i="11"/>
  <c r="C54" i="11"/>
  <c r="B54" i="11"/>
  <c r="E53" i="11"/>
  <c r="C53" i="11"/>
  <c r="B53" i="11"/>
  <c r="E52" i="11"/>
  <c r="C52" i="11"/>
  <c r="B52" i="11"/>
  <c r="E51" i="11"/>
  <c r="C51" i="11"/>
  <c r="B51" i="11"/>
  <c r="E50" i="11"/>
  <c r="C50" i="11"/>
  <c r="B50" i="11"/>
  <c r="E49" i="11"/>
  <c r="C49" i="11"/>
  <c r="B49" i="11"/>
  <c r="E48" i="11"/>
  <c r="C48" i="11"/>
  <c r="B48" i="11"/>
  <c r="E47" i="11"/>
  <c r="C47" i="11"/>
  <c r="B47" i="11"/>
  <c r="E46" i="11"/>
  <c r="C46" i="11"/>
  <c r="B46" i="11"/>
  <c r="E45" i="11"/>
  <c r="C45" i="11"/>
  <c r="B45" i="11"/>
  <c r="E44" i="11"/>
  <c r="C44" i="11"/>
  <c r="B44" i="11"/>
  <c r="E43" i="11"/>
  <c r="C43" i="11"/>
  <c r="B43" i="11"/>
  <c r="E42" i="11"/>
  <c r="C42" i="11"/>
  <c r="B42" i="11"/>
  <c r="E41" i="11"/>
  <c r="C41" i="11"/>
  <c r="B41" i="11"/>
  <c r="E40" i="11"/>
  <c r="C40" i="11"/>
  <c r="B40" i="11"/>
  <c r="E39" i="11"/>
  <c r="C39" i="11"/>
  <c r="B39" i="11"/>
  <c r="E38" i="11"/>
  <c r="C38" i="11"/>
  <c r="B38" i="11"/>
  <c r="E37" i="11"/>
  <c r="C37" i="11"/>
  <c r="B37" i="11"/>
  <c r="E36" i="11"/>
  <c r="C36" i="11"/>
  <c r="B36" i="11"/>
  <c r="E35" i="11"/>
  <c r="C35" i="11"/>
  <c r="B35" i="11"/>
  <c r="E34" i="11"/>
  <c r="C34" i="11"/>
  <c r="B34" i="11"/>
  <c r="E33" i="11"/>
  <c r="C33" i="11"/>
  <c r="B33" i="11"/>
  <c r="E32" i="11"/>
  <c r="C32" i="11"/>
  <c r="B32" i="11"/>
  <c r="E31" i="11"/>
  <c r="C31" i="11"/>
  <c r="B31" i="11"/>
  <c r="E30" i="11"/>
  <c r="C30" i="11"/>
  <c r="B30" i="11"/>
  <c r="E29" i="11"/>
  <c r="C29" i="11"/>
  <c r="B29" i="11"/>
  <c r="E28" i="11"/>
  <c r="C28" i="11"/>
  <c r="B28" i="11"/>
  <c r="E27" i="11"/>
  <c r="C27" i="11"/>
  <c r="B27" i="11"/>
  <c r="E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E5" i="11"/>
  <c r="B2" i="11" s="1"/>
  <c r="D5" i="11"/>
  <c r="C5" i="11"/>
  <c r="B5" i="11"/>
  <c r="E4" i="11"/>
  <c r="D4" i="11"/>
  <c r="C4" i="11"/>
  <c r="B4" i="11"/>
  <c r="U2" i="11"/>
  <c r="R12" i="14" s="1"/>
  <c r="T2" i="11"/>
  <c r="S2" i="11"/>
  <c r="Q12" i="14" s="1"/>
  <c r="R2" i="11"/>
  <c r="P12" i="14" s="1"/>
  <c r="Q2" i="11"/>
  <c r="P2" i="11"/>
  <c r="O12" i="14" s="1"/>
  <c r="O2" i="11"/>
  <c r="N12" i="14" s="1"/>
  <c r="N2" i="11"/>
  <c r="M12" i="14" s="1"/>
  <c r="M2" i="11"/>
  <c r="L2" i="11"/>
  <c r="L12" i="14" s="1"/>
  <c r="K2" i="11"/>
  <c r="K12" i="14" s="1"/>
  <c r="J2" i="11"/>
  <c r="J12" i="14" s="1"/>
  <c r="I2" i="11"/>
  <c r="H2" i="11"/>
  <c r="I12" i="14" s="1"/>
  <c r="G2" i="11"/>
  <c r="H12" i="14" s="1"/>
  <c r="F2" i="11"/>
  <c r="G12" i="14" s="1"/>
  <c r="A2" i="11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C147" i="10"/>
  <c r="B147" i="10"/>
  <c r="E146" i="10"/>
  <c r="C146" i="10"/>
  <c r="B146" i="10"/>
  <c r="E145" i="10"/>
  <c r="C145" i="10"/>
  <c r="B145" i="10"/>
  <c r="E144" i="10"/>
  <c r="C144" i="10"/>
  <c r="B144" i="10"/>
  <c r="E143" i="10"/>
  <c r="C143" i="10"/>
  <c r="B143" i="10"/>
  <c r="E142" i="10"/>
  <c r="C142" i="10"/>
  <c r="B142" i="10"/>
  <c r="E141" i="10"/>
  <c r="C141" i="10"/>
  <c r="B141" i="10"/>
  <c r="E140" i="10"/>
  <c r="C140" i="10"/>
  <c r="B140" i="10"/>
  <c r="E139" i="10"/>
  <c r="C139" i="10"/>
  <c r="B139" i="10"/>
  <c r="E138" i="10"/>
  <c r="C138" i="10"/>
  <c r="B138" i="10"/>
  <c r="E137" i="10"/>
  <c r="C2" i="10" s="1"/>
  <c r="C11" i="14" s="1"/>
  <c r="C137" i="10"/>
  <c r="B137" i="10"/>
  <c r="E136" i="10"/>
  <c r="C136" i="10"/>
  <c r="B136" i="10"/>
  <c r="E135" i="10"/>
  <c r="C135" i="10"/>
  <c r="B135" i="10"/>
  <c r="E134" i="10"/>
  <c r="C134" i="10"/>
  <c r="B134" i="10"/>
  <c r="E133" i="10"/>
  <c r="C133" i="10"/>
  <c r="B133" i="10"/>
  <c r="E132" i="10"/>
  <c r="C132" i="10"/>
  <c r="B132" i="10"/>
  <c r="E131" i="10"/>
  <c r="C131" i="10"/>
  <c r="B131" i="10"/>
  <c r="E130" i="10"/>
  <c r="C130" i="10"/>
  <c r="B130" i="10"/>
  <c r="E129" i="10"/>
  <c r="C129" i="10"/>
  <c r="B129" i="10"/>
  <c r="E128" i="10"/>
  <c r="C128" i="10"/>
  <c r="B128" i="10"/>
  <c r="E127" i="10"/>
  <c r="C127" i="10"/>
  <c r="B127" i="10"/>
  <c r="E126" i="10"/>
  <c r="C126" i="10"/>
  <c r="B126" i="10"/>
  <c r="E125" i="10"/>
  <c r="C125" i="10"/>
  <c r="B125" i="10"/>
  <c r="E124" i="10"/>
  <c r="C124" i="10"/>
  <c r="B124" i="10"/>
  <c r="E123" i="10"/>
  <c r="C123" i="10"/>
  <c r="B123" i="10"/>
  <c r="E122" i="10"/>
  <c r="C122" i="10"/>
  <c r="B122" i="10"/>
  <c r="E121" i="10"/>
  <c r="C121" i="10"/>
  <c r="B121" i="10"/>
  <c r="E120" i="10"/>
  <c r="C120" i="10"/>
  <c r="B120" i="10"/>
  <c r="E119" i="10"/>
  <c r="C119" i="10"/>
  <c r="B119" i="10"/>
  <c r="E118" i="10"/>
  <c r="C118" i="10"/>
  <c r="B118" i="10"/>
  <c r="E117" i="10"/>
  <c r="C117" i="10"/>
  <c r="B117" i="10"/>
  <c r="E116" i="10"/>
  <c r="C116" i="10"/>
  <c r="B116" i="10"/>
  <c r="E115" i="10"/>
  <c r="C115" i="10"/>
  <c r="B115" i="10"/>
  <c r="E114" i="10"/>
  <c r="C114" i="10"/>
  <c r="B114" i="10"/>
  <c r="E113" i="10"/>
  <c r="C113" i="10"/>
  <c r="B113" i="10"/>
  <c r="E112" i="10"/>
  <c r="C112" i="10"/>
  <c r="B112" i="10"/>
  <c r="E111" i="10"/>
  <c r="C111" i="10"/>
  <c r="B111" i="10"/>
  <c r="E110" i="10"/>
  <c r="C110" i="10"/>
  <c r="B110" i="10"/>
  <c r="E109" i="10"/>
  <c r="C109" i="10"/>
  <c r="B109" i="10"/>
  <c r="E108" i="10"/>
  <c r="C108" i="10"/>
  <c r="B108" i="10"/>
  <c r="E107" i="10"/>
  <c r="C107" i="10"/>
  <c r="B107" i="10"/>
  <c r="E106" i="10"/>
  <c r="C106" i="10"/>
  <c r="B106" i="10"/>
  <c r="E105" i="10"/>
  <c r="C105" i="10"/>
  <c r="B105" i="10"/>
  <c r="E104" i="10"/>
  <c r="C104" i="10"/>
  <c r="B104" i="10"/>
  <c r="E103" i="10"/>
  <c r="C103" i="10"/>
  <c r="B103" i="10"/>
  <c r="E102" i="10"/>
  <c r="C102" i="10"/>
  <c r="B102" i="10"/>
  <c r="E101" i="10"/>
  <c r="C101" i="10"/>
  <c r="B101" i="10"/>
  <c r="E100" i="10"/>
  <c r="C100" i="10"/>
  <c r="B100" i="10"/>
  <c r="E99" i="10"/>
  <c r="C99" i="10"/>
  <c r="B99" i="10"/>
  <c r="E98" i="10"/>
  <c r="C98" i="10"/>
  <c r="B98" i="10"/>
  <c r="E97" i="10"/>
  <c r="C97" i="10"/>
  <c r="B97" i="10"/>
  <c r="E96" i="10"/>
  <c r="C96" i="10"/>
  <c r="B96" i="10"/>
  <c r="E95" i="10"/>
  <c r="C95" i="10"/>
  <c r="B95" i="10"/>
  <c r="E94" i="10"/>
  <c r="C94" i="10"/>
  <c r="B94" i="10"/>
  <c r="E93" i="10"/>
  <c r="C93" i="10"/>
  <c r="B93" i="10"/>
  <c r="E92" i="10"/>
  <c r="C92" i="10"/>
  <c r="B92" i="10"/>
  <c r="E91" i="10"/>
  <c r="C91" i="10"/>
  <c r="B91" i="10"/>
  <c r="E90" i="10"/>
  <c r="C90" i="10"/>
  <c r="B90" i="10"/>
  <c r="E89" i="10"/>
  <c r="C89" i="10"/>
  <c r="B89" i="10"/>
  <c r="E88" i="10"/>
  <c r="C88" i="10"/>
  <c r="B88" i="10"/>
  <c r="E87" i="10"/>
  <c r="C87" i="10"/>
  <c r="B87" i="10"/>
  <c r="E86" i="10"/>
  <c r="C86" i="10"/>
  <c r="B86" i="10"/>
  <c r="E85" i="10"/>
  <c r="C85" i="10"/>
  <c r="B85" i="10"/>
  <c r="E84" i="10"/>
  <c r="C84" i="10"/>
  <c r="B84" i="10"/>
  <c r="E83" i="10"/>
  <c r="C83" i="10"/>
  <c r="B83" i="10"/>
  <c r="E82" i="10"/>
  <c r="C82" i="10"/>
  <c r="B82" i="10"/>
  <c r="E81" i="10"/>
  <c r="C81" i="10"/>
  <c r="B81" i="10"/>
  <c r="E80" i="10"/>
  <c r="C80" i="10"/>
  <c r="B80" i="10"/>
  <c r="E79" i="10"/>
  <c r="C79" i="10"/>
  <c r="B79" i="10"/>
  <c r="E78" i="10"/>
  <c r="C78" i="10"/>
  <c r="B78" i="10"/>
  <c r="E77" i="10"/>
  <c r="C77" i="10"/>
  <c r="B77" i="10"/>
  <c r="E76" i="10"/>
  <c r="C76" i="10"/>
  <c r="B76" i="10"/>
  <c r="E75" i="10"/>
  <c r="C75" i="10"/>
  <c r="B75" i="10"/>
  <c r="E74" i="10"/>
  <c r="C74" i="10"/>
  <c r="B74" i="10"/>
  <c r="E73" i="10"/>
  <c r="C73" i="10"/>
  <c r="B73" i="10"/>
  <c r="E72" i="10"/>
  <c r="C72" i="10"/>
  <c r="B72" i="10"/>
  <c r="E71" i="10"/>
  <c r="C71" i="10"/>
  <c r="B71" i="10"/>
  <c r="E70" i="10"/>
  <c r="C70" i="10"/>
  <c r="B70" i="10"/>
  <c r="E69" i="10"/>
  <c r="C69" i="10"/>
  <c r="B69" i="10"/>
  <c r="E68" i="10"/>
  <c r="C68" i="10"/>
  <c r="B68" i="10"/>
  <c r="E67" i="10"/>
  <c r="C67" i="10"/>
  <c r="B67" i="10"/>
  <c r="E66" i="10"/>
  <c r="C66" i="10"/>
  <c r="B66" i="10"/>
  <c r="E65" i="10"/>
  <c r="C65" i="10"/>
  <c r="B65" i="10"/>
  <c r="E64" i="10"/>
  <c r="C64" i="10"/>
  <c r="B64" i="10"/>
  <c r="E63" i="10"/>
  <c r="C63" i="10"/>
  <c r="B63" i="10"/>
  <c r="E62" i="10"/>
  <c r="C62" i="10"/>
  <c r="B62" i="10"/>
  <c r="E61" i="10"/>
  <c r="C61" i="10"/>
  <c r="B61" i="10"/>
  <c r="E60" i="10"/>
  <c r="C60" i="10"/>
  <c r="B60" i="10"/>
  <c r="E59" i="10"/>
  <c r="C59" i="10"/>
  <c r="B59" i="10"/>
  <c r="E58" i="10"/>
  <c r="C58" i="10"/>
  <c r="B58" i="10"/>
  <c r="E57" i="10"/>
  <c r="C57" i="10"/>
  <c r="B57" i="10"/>
  <c r="E56" i="10"/>
  <c r="C56" i="10"/>
  <c r="B56" i="10"/>
  <c r="E55" i="10"/>
  <c r="C55" i="10"/>
  <c r="B55" i="10"/>
  <c r="E54" i="10"/>
  <c r="C54" i="10"/>
  <c r="B54" i="10"/>
  <c r="E53" i="10"/>
  <c r="C53" i="10"/>
  <c r="B53" i="10"/>
  <c r="E52" i="10"/>
  <c r="C52" i="10"/>
  <c r="B52" i="10"/>
  <c r="E51" i="10"/>
  <c r="C51" i="10"/>
  <c r="B51" i="10"/>
  <c r="E50" i="10"/>
  <c r="C50" i="10"/>
  <c r="B50" i="10"/>
  <c r="E49" i="10"/>
  <c r="C49" i="10"/>
  <c r="B49" i="10"/>
  <c r="E48" i="10"/>
  <c r="C48" i="10"/>
  <c r="B48" i="10"/>
  <c r="E47" i="10"/>
  <c r="C47" i="10"/>
  <c r="B47" i="10"/>
  <c r="E46" i="10"/>
  <c r="C46" i="10"/>
  <c r="B46" i="10"/>
  <c r="E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B2" i="10" s="1"/>
  <c r="D4" i="10"/>
  <c r="C4" i="10"/>
  <c r="B4" i="10"/>
  <c r="U2" i="10"/>
  <c r="R11" i="14" s="1"/>
  <c r="T2" i="10"/>
  <c r="S2" i="10"/>
  <c r="Q11" i="14" s="1"/>
  <c r="R2" i="10"/>
  <c r="P11" i="14" s="1"/>
  <c r="Q2" i="10"/>
  <c r="P2" i="10"/>
  <c r="O11" i="14" s="1"/>
  <c r="O2" i="10"/>
  <c r="N11" i="14" s="1"/>
  <c r="N2" i="10"/>
  <c r="M11" i="14" s="1"/>
  <c r="M2" i="10"/>
  <c r="L2" i="10"/>
  <c r="L11" i="14" s="1"/>
  <c r="K2" i="10"/>
  <c r="K11" i="14" s="1"/>
  <c r="J2" i="10"/>
  <c r="J11" i="14" s="1"/>
  <c r="I2" i="10"/>
  <c r="H2" i="10"/>
  <c r="I11" i="14" s="1"/>
  <c r="G2" i="10"/>
  <c r="H11" i="14" s="1"/>
  <c r="F2" i="10"/>
  <c r="G11" i="14" s="1"/>
  <c r="A2" i="10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C147" i="9"/>
  <c r="B147" i="9"/>
  <c r="E146" i="9"/>
  <c r="C146" i="9"/>
  <c r="B146" i="9"/>
  <c r="E145" i="9"/>
  <c r="C145" i="9"/>
  <c r="B145" i="9"/>
  <c r="E144" i="9"/>
  <c r="C144" i="9"/>
  <c r="B144" i="9"/>
  <c r="E143" i="9"/>
  <c r="C143" i="9"/>
  <c r="B143" i="9"/>
  <c r="E142" i="9"/>
  <c r="C142" i="9"/>
  <c r="B142" i="9"/>
  <c r="E141" i="9"/>
  <c r="C141" i="9"/>
  <c r="B141" i="9"/>
  <c r="E140" i="9"/>
  <c r="C140" i="9"/>
  <c r="B140" i="9"/>
  <c r="E139" i="9"/>
  <c r="C139" i="9"/>
  <c r="B139" i="9"/>
  <c r="E138" i="9"/>
  <c r="C138" i="9"/>
  <c r="B138" i="9"/>
  <c r="E137" i="9"/>
  <c r="C137" i="9"/>
  <c r="B137" i="9"/>
  <c r="E136" i="9"/>
  <c r="C136" i="9"/>
  <c r="B136" i="9"/>
  <c r="E135" i="9"/>
  <c r="C135" i="9"/>
  <c r="B135" i="9"/>
  <c r="E134" i="9"/>
  <c r="C134" i="9"/>
  <c r="B134" i="9"/>
  <c r="E133" i="9"/>
  <c r="C133" i="9"/>
  <c r="B133" i="9"/>
  <c r="E132" i="9"/>
  <c r="C132" i="9"/>
  <c r="B132" i="9"/>
  <c r="E131" i="9"/>
  <c r="C131" i="9"/>
  <c r="B131" i="9"/>
  <c r="E130" i="9"/>
  <c r="C130" i="9"/>
  <c r="B130" i="9"/>
  <c r="E129" i="9"/>
  <c r="C129" i="9"/>
  <c r="B129" i="9"/>
  <c r="E128" i="9"/>
  <c r="C128" i="9"/>
  <c r="B128" i="9"/>
  <c r="E127" i="9"/>
  <c r="C127" i="9"/>
  <c r="B127" i="9"/>
  <c r="E126" i="9"/>
  <c r="C126" i="9"/>
  <c r="B126" i="9"/>
  <c r="E125" i="9"/>
  <c r="C125" i="9"/>
  <c r="B125" i="9"/>
  <c r="E124" i="9"/>
  <c r="C124" i="9"/>
  <c r="B124" i="9"/>
  <c r="E123" i="9"/>
  <c r="C123" i="9"/>
  <c r="B123" i="9"/>
  <c r="E122" i="9"/>
  <c r="C122" i="9"/>
  <c r="B122" i="9"/>
  <c r="E121" i="9"/>
  <c r="C121" i="9"/>
  <c r="B121" i="9"/>
  <c r="E120" i="9"/>
  <c r="C120" i="9"/>
  <c r="B120" i="9"/>
  <c r="E119" i="9"/>
  <c r="C119" i="9"/>
  <c r="B119" i="9"/>
  <c r="E118" i="9"/>
  <c r="C118" i="9"/>
  <c r="B118" i="9"/>
  <c r="E117" i="9"/>
  <c r="C117" i="9"/>
  <c r="B117" i="9"/>
  <c r="E116" i="9"/>
  <c r="C116" i="9"/>
  <c r="B116" i="9"/>
  <c r="E115" i="9"/>
  <c r="C115" i="9"/>
  <c r="B115" i="9"/>
  <c r="E114" i="9"/>
  <c r="C114" i="9"/>
  <c r="B114" i="9"/>
  <c r="E113" i="9"/>
  <c r="C113" i="9"/>
  <c r="B113" i="9"/>
  <c r="E112" i="9"/>
  <c r="C112" i="9"/>
  <c r="B112" i="9"/>
  <c r="E111" i="9"/>
  <c r="C111" i="9"/>
  <c r="B111" i="9"/>
  <c r="E110" i="9"/>
  <c r="C110" i="9"/>
  <c r="B110" i="9"/>
  <c r="E109" i="9"/>
  <c r="C109" i="9"/>
  <c r="B109" i="9"/>
  <c r="E108" i="9"/>
  <c r="C108" i="9"/>
  <c r="B108" i="9"/>
  <c r="E107" i="9"/>
  <c r="C107" i="9"/>
  <c r="B107" i="9"/>
  <c r="E106" i="9"/>
  <c r="C106" i="9"/>
  <c r="B106" i="9"/>
  <c r="E105" i="9"/>
  <c r="C105" i="9"/>
  <c r="B105" i="9"/>
  <c r="E104" i="9"/>
  <c r="C104" i="9"/>
  <c r="B104" i="9"/>
  <c r="E103" i="9"/>
  <c r="C103" i="9"/>
  <c r="B103" i="9"/>
  <c r="E102" i="9"/>
  <c r="C102" i="9"/>
  <c r="B102" i="9"/>
  <c r="E101" i="9"/>
  <c r="C101" i="9"/>
  <c r="B101" i="9"/>
  <c r="E100" i="9"/>
  <c r="C100" i="9"/>
  <c r="B100" i="9"/>
  <c r="E99" i="9"/>
  <c r="C99" i="9"/>
  <c r="B99" i="9"/>
  <c r="E98" i="9"/>
  <c r="C98" i="9"/>
  <c r="B98" i="9"/>
  <c r="E97" i="9"/>
  <c r="C97" i="9"/>
  <c r="B97" i="9"/>
  <c r="E96" i="9"/>
  <c r="C96" i="9"/>
  <c r="B96" i="9"/>
  <c r="E95" i="9"/>
  <c r="C95" i="9"/>
  <c r="B95" i="9"/>
  <c r="E94" i="9"/>
  <c r="C94" i="9"/>
  <c r="B94" i="9"/>
  <c r="E93" i="9"/>
  <c r="C93" i="9"/>
  <c r="B93" i="9"/>
  <c r="E92" i="9"/>
  <c r="C92" i="9"/>
  <c r="B92" i="9"/>
  <c r="E91" i="9"/>
  <c r="C91" i="9"/>
  <c r="B91" i="9"/>
  <c r="E90" i="9"/>
  <c r="C90" i="9"/>
  <c r="B90" i="9"/>
  <c r="E89" i="9"/>
  <c r="C89" i="9"/>
  <c r="B89" i="9"/>
  <c r="E88" i="9"/>
  <c r="C88" i="9"/>
  <c r="B88" i="9"/>
  <c r="E87" i="9"/>
  <c r="C87" i="9"/>
  <c r="B87" i="9"/>
  <c r="E86" i="9"/>
  <c r="C86" i="9"/>
  <c r="B86" i="9"/>
  <c r="E85" i="9"/>
  <c r="C85" i="9"/>
  <c r="B85" i="9"/>
  <c r="E84" i="9"/>
  <c r="C84" i="9"/>
  <c r="B84" i="9"/>
  <c r="E83" i="9"/>
  <c r="C83" i="9"/>
  <c r="B83" i="9"/>
  <c r="E82" i="9"/>
  <c r="C82" i="9"/>
  <c r="B82" i="9"/>
  <c r="E81" i="9"/>
  <c r="C81" i="9"/>
  <c r="B81" i="9"/>
  <c r="E80" i="9"/>
  <c r="C80" i="9"/>
  <c r="B80" i="9"/>
  <c r="E79" i="9"/>
  <c r="C79" i="9"/>
  <c r="B79" i="9"/>
  <c r="E78" i="9"/>
  <c r="C78" i="9"/>
  <c r="B78" i="9"/>
  <c r="E77" i="9"/>
  <c r="C77" i="9"/>
  <c r="B77" i="9"/>
  <c r="E76" i="9"/>
  <c r="C76" i="9"/>
  <c r="B76" i="9"/>
  <c r="E75" i="9"/>
  <c r="C75" i="9"/>
  <c r="B75" i="9"/>
  <c r="E74" i="9"/>
  <c r="C74" i="9"/>
  <c r="B74" i="9"/>
  <c r="E73" i="9"/>
  <c r="C73" i="9"/>
  <c r="B73" i="9"/>
  <c r="E72" i="9"/>
  <c r="C72" i="9"/>
  <c r="B72" i="9"/>
  <c r="E71" i="9"/>
  <c r="C71" i="9"/>
  <c r="B71" i="9"/>
  <c r="E70" i="9"/>
  <c r="C70" i="9"/>
  <c r="B70" i="9"/>
  <c r="E69" i="9"/>
  <c r="C69" i="9"/>
  <c r="B69" i="9"/>
  <c r="E68" i="9"/>
  <c r="C68" i="9"/>
  <c r="B68" i="9"/>
  <c r="E67" i="9"/>
  <c r="C67" i="9"/>
  <c r="B67" i="9"/>
  <c r="E66" i="9"/>
  <c r="C66" i="9"/>
  <c r="B66" i="9"/>
  <c r="E65" i="9"/>
  <c r="C65" i="9"/>
  <c r="B65" i="9"/>
  <c r="E64" i="9"/>
  <c r="C64" i="9"/>
  <c r="B64" i="9"/>
  <c r="E63" i="9"/>
  <c r="C63" i="9"/>
  <c r="B63" i="9"/>
  <c r="E62" i="9"/>
  <c r="C62" i="9"/>
  <c r="B62" i="9"/>
  <c r="E61" i="9"/>
  <c r="C61" i="9"/>
  <c r="B61" i="9"/>
  <c r="E60" i="9"/>
  <c r="C60" i="9"/>
  <c r="B60" i="9"/>
  <c r="E59" i="9"/>
  <c r="C59" i="9"/>
  <c r="B59" i="9"/>
  <c r="E58" i="9"/>
  <c r="C58" i="9"/>
  <c r="B58" i="9"/>
  <c r="E57" i="9"/>
  <c r="C57" i="9"/>
  <c r="B57" i="9"/>
  <c r="E56" i="9"/>
  <c r="C56" i="9"/>
  <c r="B56" i="9"/>
  <c r="E55" i="9"/>
  <c r="C55" i="9"/>
  <c r="B55" i="9"/>
  <c r="E54" i="9"/>
  <c r="C54" i="9"/>
  <c r="B54" i="9"/>
  <c r="E53" i="9"/>
  <c r="C53" i="9"/>
  <c r="B53" i="9"/>
  <c r="E52" i="9"/>
  <c r="C52" i="9"/>
  <c r="B52" i="9"/>
  <c r="E51" i="9"/>
  <c r="C51" i="9"/>
  <c r="B51" i="9"/>
  <c r="E50" i="9"/>
  <c r="C50" i="9"/>
  <c r="B50" i="9"/>
  <c r="E49" i="9"/>
  <c r="C49" i="9"/>
  <c r="B49" i="9"/>
  <c r="E48" i="9"/>
  <c r="C48" i="9"/>
  <c r="B48" i="9"/>
  <c r="E47" i="9"/>
  <c r="C47" i="9"/>
  <c r="B47" i="9"/>
  <c r="E46" i="9"/>
  <c r="C46" i="9"/>
  <c r="B46" i="9"/>
  <c r="E45" i="9"/>
  <c r="D45" i="9"/>
  <c r="C45" i="9"/>
  <c r="B45" i="9"/>
  <c r="E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C2" i="9" s="1"/>
  <c r="C9" i="14" s="1"/>
  <c r="D5" i="9"/>
  <c r="C5" i="9"/>
  <c r="B5" i="9"/>
  <c r="E4" i="9"/>
  <c r="D4" i="9"/>
  <c r="C4" i="9"/>
  <c r="B4" i="9"/>
  <c r="U2" i="9"/>
  <c r="R9" i="14" s="1"/>
  <c r="T2" i="9"/>
  <c r="S2" i="9"/>
  <c r="Q9" i="14" s="1"/>
  <c r="R2" i="9"/>
  <c r="P9" i="14" s="1"/>
  <c r="Q2" i="9"/>
  <c r="P2" i="9"/>
  <c r="O2" i="9"/>
  <c r="N9" i="14" s="1"/>
  <c r="N2" i="9"/>
  <c r="M9" i="14" s="1"/>
  <c r="M2" i="9"/>
  <c r="L2" i="9"/>
  <c r="L9" i="14" s="1"/>
  <c r="K2" i="9"/>
  <c r="K9" i="14" s="1"/>
  <c r="J2" i="9"/>
  <c r="J9" i="14" s="1"/>
  <c r="I2" i="9"/>
  <c r="H2" i="9"/>
  <c r="I9" i="14" s="1"/>
  <c r="G2" i="9"/>
  <c r="H9" i="14" s="1"/>
  <c r="F2" i="9"/>
  <c r="G9" i="14" s="1"/>
  <c r="A2" i="9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C146" i="8"/>
  <c r="B146" i="8"/>
  <c r="E145" i="8"/>
  <c r="C145" i="8"/>
  <c r="B145" i="8"/>
  <c r="E144" i="8"/>
  <c r="C144" i="8"/>
  <c r="B144" i="8"/>
  <c r="E143" i="8"/>
  <c r="C143" i="8"/>
  <c r="B143" i="8"/>
  <c r="E142" i="8"/>
  <c r="C142" i="8"/>
  <c r="B142" i="8"/>
  <c r="E141" i="8"/>
  <c r="C141" i="8"/>
  <c r="B141" i="8"/>
  <c r="E140" i="8"/>
  <c r="C140" i="8"/>
  <c r="B140" i="8"/>
  <c r="E139" i="8"/>
  <c r="C139" i="8"/>
  <c r="B139" i="8"/>
  <c r="E138" i="8"/>
  <c r="C138" i="8"/>
  <c r="B138" i="8"/>
  <c r="E137" i="8"/>
  <c r="C137" i="8"/>
  <c r="B137" i="8"/>
  <c r="E136" i="8"/>
  <c r="C136" i="8"/>
  <c r="B136" i="8"/>
  <c r="E135" i="8"/>
  <c r="C135" i="8"/>
  <c r="B135" i="8"/>
  <c r="E134" i="8"/>
  <c r="C134" i="8"/>
  <c r="B134" i="8"/>
  <c r="E133" i="8"/>
  <c r="C133" i="8"/>
  <c r="B133" i="8"/>
  <c r="E132" i="8"/>
  <c r="C132" i="8"/>
  <c r="B132" i="8"/>
  <c r="E131" i="8"/>
  <c r="C131" i="8"/>
  <c r="B131" i="8"/>
  <c r="E130" i="8"/>
  <c r="C130" i="8"/>
  <c r="B130" i="8"/>
  <c r="E129" i="8"/>
  <c r="C129" i="8"/>
  <c r="B129" i="8"/>
  <c r="E128" i="8"/>
  <c r="C128" i="8"/>
  <c r="B128" i="8"/>
  <c r="E127" i="8"/>
  <c r="C127" i="8"/>
  <c r="B127" i="8"/>
  <c r="E126" i="8"/>
  <c r="C126" i="8"/>
  <c r="B126" i="8"/>
  <c r="E125" i="8"/>
  <c r="C125" i="8"/>
  <c r="B125" i="8"/>
  <c r="E124" i="8"/>
  <c r="C124" i="8"/>
  <c r="B124" i="8"/>
  <c r="E123" i="8"/>
  <c r="C123" i="8"/>
  <c r="B123" i="8"/>
  <c r="E122" i="8"/>
  <c r="C122" i="8"/>
  <c r="B122" i="8"/>
  <c r="E121" i="8"/>
  <c r="C121" i="8"/>
  <c r="B121" i="8"/>
  <c r="E120" i="8"/>
  <c r="C120" i="8"/>
  <c r="B120" i="8"/>
  <c r="E119" i="8"/>
  <c r="C119" i="8"/>
  <c r="B119" i="8"/>
  <c r="E118" i="8"/>
  <c r="C118" i="8"/>
  <c r="B118" i="8"/>
  <c r="E117" i="8"/>
  <c r="C117" i="8"/>
  <c r="B117" i="8"/>
  <c r="E116" i="8"/>
  <c r="C116" i="8"/>
  <c r="B116" i="8"/>
  <c r="E115" i="8"/>
  <c r="C115" i="8"/>
  <c r="B115" i="8"/>
  <c r="E114" i="8"/>
  <c r="C114" i="8"/>
  <c r="B114" i="8"/>
  <c r="E113" i="8"/>
  <c r="C113" i="8"/>
  <c r="B113" i="8"/>
  <c r="E112" i="8"/>
  <c r="C112" i="8"/>
  <c r="B112" i="8"/>
  <c r="E111" i="8"/>
  <c r="C111" i="8"/>
  <c r="B111" i="8"/>
  <c r="E110" i="8"/>
  <c r="C110" i="8"/>
  <c r="B110" i="8"/>
  <c r="E109" i="8"/>
  <c r="C109" i="8"/>
  <c r="B109" i="8"/>
  <c r="E108" i="8"/>
  <c r="C108" i="8"/>
  <c r="B108" i="8"/>
  <c r="E107" i="8"/>
  <c r="C107" i="8"/>
  <c r="B107" i="8"/>
  <c r="E106" i="8"/>
  <c r="C106" i="8"/>
  <c r="B106" i="8"/>
  <c r="E105" i="8"/>
  <c r="C105" i="8"/>
  <c r="B105" i="8"/>
  <c r="E104" i="8"/>
  <c r="C104" i="8"/>
  <c r="B104" i="8"/>
  <c r="E103" i="8"/>
  <c r="C103" i="8"/>
  <c r="B103" i="8"/>
  <c r="E102" i="8"/>
  <c r="C102" i="8"/>
  <c r="B102" i="8"/>
  <c r="E101" i="8"/>
  <c r="C101" i="8"/>
  <c r="B101" i="8"/>
  <c r="E100" i="8"/>
  <c r="C100" i="8"/>
  <c r="B100" i="8"/>
  <c r="E99" i="8"/>
  <c r="C99" i="8"/>
  <c r="B99" i="8"/>
  <c r="E98" i="8"/>
  <c r="C98" i="8"/>
  <c r="B98" i="8"/>
  <c r="E97" i="8"/>
  <c r="C97" i="8"/>
  <c r="B97" i="8"/>
  <c r="E96" i="8"/>
  <c r="C96" i="8"/>
  <c r="B96" i="8"/>
  <c r="E95" i="8"/>
  <c r="C95" i="8"/>
  <c r="B95" i="8"/>
  <c r="E94" i="8"/>
  <c r="C94" i="8"/>
  <c r="B94" i="8"/>
  <c r="E93" i="8"/>
  <c r="C93" i="8"/>
  <c r="B93" i="8"/>
  <c r="E92" i="8"/>
  <c r="C92" i="8"/>
  <c r="B92" i="8"/>
  <c r="E91" i="8"/>
  <c r="C91" i="8"/>
  <c r="B91" i="8"/>
  <c r="E90" i="8"/>
  <c r="C90" i="8"/>
  <c r="B90" i="8"/>
  <c r="E89" i="8"/>
  <c r="C89" i="8"/>
  <c r="B89" i="8"/>
  <c r="E88" i="8"/>
  <c r="C88" i="8"/>
  <c r="B88" i="8"/>
  <c r="E87" i="8"/>
  <c r="C87" i="8"/>
  <c r="B87" i="8"/>
  <c r="E86" i="8"/>
  <c r="C86" i="8"/>
  <c r="B86" i="8"/>
  <c r="E85" i="8"/>
  <c r="C85" i="8"/>
  <c r="B85" i="8"/>
  <c r="E84" i="8"/>
  <c r="C84" i="8"/>
  <c r="B84" i="8"/>
  <c r="E83" i="8"/>
  <c r="C83" i="8"/>
  <c r="B83" i="8"/>
  <c r="E82" i="8"/>
  <c r="C82" i="8"/>
  <c r="B82" i="8"/>
  <c r="E81" i="8"/>
  <c r="C81" i="8"/>
  <c r="B81" i="8"/>
  <c r="E80" i="8"/>
  <c r="C80" i="8"/>
  <c r="B80" i="8"/>
  <c r="E79" i="8"/>
  <c r="C79" i="8"/>
  <c r="B79" i="8"/>
  <c r="E78" i="8"/>
  <c r="C78" i="8"/>
  <c r="B78" i="8"/>
  <c r="E77" i="8"/>
  <c r="C77" i="8"/>
  <c r="B77" i="8"/>
  <c r="E76" i="8"/>
  <c r="C76" i="8"/>
  <c r="B76" i="8"/>
  <c r="E75" i="8"/>
  <c r="C75" i="8"/>
  <c r="B75" i="8"/>
  <c r="E74" i="8"/>
  <c r="C74" i="8"/>
  <c r="B74" i="8"/>
  <c r="E73" i="8"/>
  <c r="C73" i="8"/>
  <c r="B73" i="8"/>
  <c r="E72" i="8"/>
  <c r="C72" i="8"/>
  <c r="B72" i="8"/>
  <c r="E71" i="8"/>
  <c r="C71" i="8"/>
  <c r="B71" i="8"/>
  <c r="E70" i="8"/>
  <c r="C70" i="8"/>
  <c r="B70" i="8"/>
  <c r="E69" i="8"/>
  <c r="C69" i="8"/>
  <c r="B69" i="8"/>
  <c r="E68" i="8"/>
  <c r="C68" i="8"/>
  <c r="B68" i="8"/>
  <c r="E67" i="8"/>
  <c r="C67" i="8"/>
  <c r="B67" i="8"/>
  <c r="E66" i="8"/>
  <c r="C66" i="8"/>
  <c r="B66" i="8"/>
  <c r="E65" i="8"/>
  <c r="C65" i="8"/>
  <c r="B65" i="8"/>
  <c r="E64" i="8"/>
  <c r="C64" i="8"/>
  <c r="B64" i="8"/>
  <c r="E63" i="8"/>
  <c r="C63" i="8"/>
  <c r="B63" i="8"/>
  <c r="E62" i="8"/>
  <c r="C62" i="8"/>
  <c r="B62" i="8"/>
  <c r="E61" i="8"/>
  <c r="C61" i="8"/>
  <c r="B61" i="8"/>
  <c r="E60" i="8"/>
  <c r="C60" i="8"/>
  <c r="B60" i="8"/>
  <c r="E59" i="8"/>
  <c r="C59" i="8"/>
  <c r="B59" i="8"/>
  <c r="E58" i="8"/>
  <c r="C58" i="8"/>
  <c r="B58" i="8"/>
  <c r="E57" i="8"/>
  <c r="C57" i="8"/>
  <c r="B57" i="8"/>
  <c r="E56" i="8"/>
  <c r="C56" i="8"/>
  <c r="B56" i="8"/>
  <c r="E55" i="8"/>
  <c r="C55" i="8"/>
  <c r="B55" i="8"/>
  <c r="E54" i="8"/>
  <c r="C54" i="8"/>
  <c r="B54" i="8"/>
  <c r="E53" i="8"/>
  <c r="C53" i="8"/>
  <c r="B53" i="8"/>
  <c r="E52" i="8"/>
  <c r="C52" i="8"/>
  <c r="B52" i="8"/>
  <c r="E51" i="8"/>
  <c r="C51" i="8"/>
  <c r="B51" i="8"/>
  <c r="E50" i="8"/>
  <c r="C50" i="8"/>
  <c r="B50" i="8"/>
  <c r="E49" i="8"/>
  <c r="C49" i="8"/>
  <c r="B49" i="8"/>
  <c r="E48" i="8"/>
  <c r="C48" i="8"/>
  <c r="B48" i="8"/>
  <c r="E47" i="8"/>
  <c r="C47" i="8"/>
  <c r="B47" i="8"/>
  <c r="E46" i="8"/>
  <c r="C46" i="8"/>
  <c r="B46" i="8"/>
  <c r="E45" i="8"/>
  <c r="C45" i="8"/>
  <c r="B45" i="8"/>
  <c r="E44" i="8"/>
  <c r="C44" i="8"/>
  <c r="B44" i="8"/>
  <c r="E43" i="8"/>
  <c r="C43" i="8"/>
  <c r="B43" i="8"/>
  <c r="E42" i="8"/>
  <c r="C42" i="8"/>
  <c r="B42" i="8"/>
  <c r="E41" i="8"/>
  <c r="C41" i="8"/>
  <c r="B41" i="8"/>
  <c r="E40" i="8"/>
  <c r="C40" i="8"/>
  <c r="B40" i="8"/>
  <c r="E39" i="8"/>
  <c r="C39" i="8"/>
  <c r="B39" i="8"/>
  <c r="E38" i="8"/>
  <c r="C38" i="8"/>
  <c r="B38" i="8"/>
  <c r="E37" i="8"/>
  <c r="C37" i="8"/>
  <c r="B37" i="8"/>
  <c r="E36" i="8"/>
  <c r="C36" i="8"/>
  <c r="B36" i="8"/>
  <c r="E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C2" i="8" s="1"/>
  <c r="C8" i="14" s="1"/>
  <c r="D5" i="8"/>
  <c r="C5" i="8"/>
  <c r="B5" i="8"/>
  <c r="E4" i="8"/>
  <c r="D4" i="8"/>
  <c r="C4" i="8"/>
  <c r="B4" i="8"/>
  <c r="U2" i="8"/>
  <c r="R8" i="14" s="1"/>
  <c r="T2" i="8"/>
  <c r="S2" i="8"/>
  <c r="Q8" i="14" s="1"/>
  <c r="R2" i="8"/>
  <c r="P8" i="14" s="1"/>
  <c r="Q2" i="8"/>
  <c r="P2" i="8"/>
  <c r="O8" i="14" s="1"/>
  <c r="O2" i="8"/>
  <c r="N8" i="14" s="1"/>
  <c r="N2" i="8"/>
  <c r="M8" i="14" s="1"/>
  <c r="M2" i="8"/>
  <c r="L2" i="8"/>
  <c r="L8" i="14" s="1"/>
  <c r="K2" i="8"/>
  <c r="K8" i="14" s="1"/>
  <c r="J2" i="8"/>
  <c r="J8" i="14" s="1"/>
  <c r="I2" i="8"/>
  <c r="H2" i="8"/>
  <c r="I8" i="14" s="1"/>
  <c r="G2" i="8"/>
  <c r="H8" i="14" s="1"/>
  <c r="F2" i="8"/>
  <c r="G8" i="14" s="1"/>
  <c r="A2" i="8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C150" i="7"/>
  <c r="B150" i="7"/>
  <c r="E149" i="7"/>
  <c r="C149" i="7"/>
  <c r="B149" i="7"/>
  <c r="E148" i="7"/>
  <c r="C148" i="7"/>
  <c r="B148" i="7"/>
  <c r="E147" i="7"/>
  <c r="C147" i="7"/>
  <c r="B147" i="7"/>
  <c r="E146" i="7"/>
  <c r="C146" i="7"/>
  <c r="B146" i="7"/>
  <c r="E145" i="7"/>
  <c r="C145" i="7"/>
  <c r="B145" i="7"/>
  <c r="E144" i="7"/>
  <c r="C144" i="7"/>
  <c r="B144" i="7"/>
  <c r="E143" i="7"/>
  <c r="C143" i="7"/>
  <c r="B143" i="7"/>
  <c r="E142" i="7"/>
  <c r="C142" i="7"/>
  <c r="B142" i="7"/>
  <c r="E141" i="7"/>
  <c r="C141" i="7"/>
  <c r="B141" i="7"/>
  <c r="E140" i="7"/>
  <c r="C140" i="7"/>
  <c r="B140" i="7"/>
  <c r="E139" i="7"/>
  <c r="C139" i="7"/>
  <c r="B139" i="7"/>
  <c r="E138" i="7"/>
  <c r="C138" i="7"/>
  <c r="B138" i="7"/>
  <c r="E137" i="7"/>
  <c r="C137" i="7"/>
  <c r="B137" i="7"/>
  <c r="E136" i="7"/>
  <c r="C136" i="7"/>
  <c r="B136" i="7"/>
  <c r="E135" i="7"/>
  <c r="C135" i="7"/>
  <c r="B135" i="7"/>
  <c r="E134" i="7"/>
  <c r="C134" i="7"/>
  <c r="B134" i="7"/>
  <c r="E133" i="7"/>
  <c r="C133" i="7"/>
  <c r="B133" i="7"/>
  <c r="E132" i="7"/>
  <c r="C132" i="7"/>
  <c r="B132" i="7"/>
  <c r="E131" i="7"/>
  <c r="C131" i="7"/>
  <c r="B131" i="7"/>
  <c r="E130" i="7"/>
  <c r="C130" i="7"/>
  <c r="B130" i="7"/>
  <c r="E129" i="7"/>
  <c r="C129" i="7"/>
  <c r="B129" i="7"/>
  <c r="E128" i="7"/>
  <c r="C128" i="7"/>
  <c r="B128" i="7"/>
  <c r="E127" i="7"/>
  <c r="C127" i="7"/>
  <c r="B127" i="7"/>
  <c r="E126" i="7"/>
  <c r="C126" i="7"/>
  <c r="B126" i="7"/>
  <c r="E125" i="7"/>
  <c r="C125" i="7"/>
  <c r="B125" i="7"/>
  <c r="E124" i="7"/>
  <c r="C124" i="7"/>
  <c r="B124" i="7"/>
  <c r="E123" i="7"/>
  <c r="C123" i="7"/>
  <c r="B123" i="7"/>
  <c r="E122" i="7"/>
  <c r="C122" i="7"/>
  <c r="B122" i="7"/>
  <c r="E121" i="7"/>
  <c r="C121" i="7"/>
  <c r="B121" i="7"/>
  <c r="E120" i="7"/>
  <c r="C120" i="7"/>
  <c r="B120" i="7"/>
  <c r="E119" i="7"/>
  <c r="C119" i="7"/>
  <c r="B119" i="7"/>
  <c r="E118" i="7"/>
  <c r="C118" i="7"/>
  <c r="B118" i="7"/>
  <c r="E117" i="7"/>
  <c r="C117" i="7"/>
  <c r="B117" i="7"/>
  <c r="E116" i="7"/>
  <c r="C116" i="7"/>
  <c r="B116" i="7"/>
  <c r="E115" i="7"/>
  <c r="C115" i="7"/>
  <c r="B115" i="7"/>
  <c r="E114" i="7"/>
  <c r="C114" i="7"/>
  <c r="B114" i="7"/>
  <c r="E113" i="7"/>
  <c r="C113" i="7"/>
  <c r="B113" i="7"/>
  <c r="E112" i="7"/>
  <c r="C112" i="7"/>
  <c r="B112" i="7"/>
  <c r="E111" i="7"/>
  <c r="C111" i="7"/>
  <c r="B111" i="7"/>
  <c r="E110" i="7"/>
  <c r="C110" i="7"/>
  <c r="B110" i="7"/>
  <c r="E109" i="7"/>
  <c r="C109" i="7"/>
  <c r="B109" i="7"/>
  <c r="E108" i="7"/>
  <c r="C108" i="7"/>
  <c r="B108" i="7"/>
  <c r="E107" i="7"/>
  <c r="C107" i="7"/>
  <c r="B107" i="7"/>
  <c r="E106" i="7"/>
  <c r="C106" i="7"/>
  <c r="B106" i="7"/>
  <c r="E105" i="7"/>
  <c r="C105" i="7"/>
  <c r="B105" i="7"/>
  <c r="E104" i="7"/>
  <c r="C104" i="7"/>
  <c r="B104" i="7"/>
  <c r="E103" i="7"/>
  <c r="C103" i="7"/>
  <c r="B103" i="7"/>
  <c r="E102" i="7"/>
  <c r="C102" i="7"/>
  <c r="B102" i="7"/>
  <c r="E101" i="7"/>
  <c r="C101" i="7"/>
  <c r="B101" i="7"/>
  <c r="E100" i="7"/>
  <c r="C100" i="7"/>
  <c r="B100" i="7"/>
  <c r="E99" i="7"/>
  <c r="C99" i="7"/>
  <c r="B99" i="7"/>
  <c r="E98" i="7"/>
  <c r="C98" i="7"/>
  <c r="B98" i="7"/>
  <c r="E97" i="7"/>
  <c r="C97" i="7"/>
  <c r="B97" i="7"/>
  <c r="E96" i="7"/>
  <c r="C96" i="7"/>
  <c r="B96" i="7"/>
  <c r="E95" i="7"/>
  <c r="C95" i="7"/>
  <c r="B95" i="7"/>
  <c r="E94" i="7"/>
  <c r="C94" i="7"/>
  <c r="B94" i="7"/>
  <c r="E93" i="7"/>
  <c r="C93" i="7"/>
  <c r="B93" i="7"/>
  <c r="E92" i="7"/>
  <c r="C92" i="7"/>
  <c r="B92" i="7"/>
  <c r="E91" i="7"/>
  <c r="C91" i="7"/>
  <c r="B91" i="7"/>
  <c r="E90" i="7"/>
  <c r="C90" i="7"/>
  <c r="B90" i="7"/>
  <c r="E89" i="7"/>
  <c r="C89" i="7"/>
  <c r="B89" i="7"/>
  <c r="E88" i="7"/>
  <c r="C88" i="7"/>
  <c r="B88" i="7"/>
  <c r="E87" i="7"/>
  <c r="C87" i="7"/>
  <c r="B87" i="7"/>
  <c r="E86" i="7"/>
  <c r="C86" i="7"/>
  <c r="B86" i="7"/>
  <c r="E85" i="7"/>
  <c r="C85" i="7"/>
  <c r="B85" i="7"/>
  <c r="E84" i="7"/>
  <c r="C84" i="7"/>
  <c r="B84" i="7"/>
  <c r="E83" i="7"/>
  <c r="C83" i="7"/>
  <c r="B83" i="7"/>
  <c r="E82" i="7"/>
  <c r="C82" i="7"/>
  <c r="B82" i="7"/>
  <c r="E81" i="7"/>
  <c r="C81" i="7"/>
  <c r="B81" i="7"/>
  <c r="E80" i="7"/>
  <c r="C80" i="7"/>
  <c r="B80" i="7"/>
  <c r="E79" i="7"/>
  <c r="C79" i="7"/>
  <c r="B79" i="7"/>
  <c r="E78" i="7"/>
  <c r="C78" i="7"/>
  <c r="B78" i="7"/>
  <c r="E77" i="7"/>
  <c r="C77" i="7"/>
  <c r="B77" i="7"/>
  <c r="E76" i="7"/>
  <c r="C76" i="7"/>
  <c r="B76" i="7"/>
  <c r="E75" i="7"/>
  <c r="C75" i="7"/>
  <c r="B75" i="7"/>
  <c r="E74" i="7"/>
  <c r="C74" i="7"/>
  <c r="B74" i="7"/>
  <c r="E73" i="7"/>
  <c r="C73" i="7"/>
  <c r="B73" i="7"/>
  <c r="E72" i="7"/>
  <c r="C72" i="7"/>
  <c r="B72" i="7"/>
  <c r="E71" i="7"/>
  <c r="C71" i="7"/>
  <c r="B71" i="7"/>
  <c r="E70" i="7"/>
  <c r="C70" i="7"/>
  <c r="B70" i="7"/>
  <c r="E69" i="7"/>
  <c r="C69" i="7"/>
  <c r="B69" i="7"/>
  <c r="E68" i="7"/>
  <c r="C68" i="7"/>
  <c r="B68" i="7"/>
  <c r="E67" i="7"/>
  <c r="C67" i="7"/>
  <c r="B67" i="7"/>
  <c r="E66" i="7"/>
  <c r="C66" i="7"/>
  <c r="B66" i="7"/>
  <c r="E65" i="7"/>
  <c r="C65" i="7"/>
  <c r="B65" i="7"/>
  <c r="E64" i="7"/>
  <c r="C64" i="7"/>
  <c r="B64" i="7"/>
  <c r="E63" i="7"/>
  <c r="C63" i="7"/>
  <c r="B63" i="7"/>
  <c r="E62" i="7"/>
  <c r="C62" i="7"/>
  <c r="B62" i="7"/>
  <c r="E61" i="7"/>
  <c r="C61" i="7"/>
  <c r="B61" i="7"/>
  <c r="E60" i="7"/>
  <c r="C60" i="7"/>
  <c r="B60" i="7"/>
  <c r="E59" i="7"/>
  <c r="C59" i="7"/>
  <c r="B59" i="7"/>
  <c r="E58" i="7"/>
  <c r="C58" i="7"/>
  <c r="B58" i="7"/>
  <c r="E57" i="7"/>
  <c r="C57" i="7"/>
  <c r="B57" i="7"/>
  <c r="E56" i="7"/>
  <c r="C56" i="7"/>
  <c r="B56" i="7"/>
  <c r="E55" i="7"/>
  <c r="C55" i="7"/>
  <c r="B55" i="7"/>
  <c r="E54" i="7"/>
  <c r="C54" i="7"/>
  <c r="B54" i="7"/>
  <c r="E53" i="7"/>
  <c r="C53" i="7"/>
  <c r="B53" i="7"/>
  <c r="E52" i="7"/>
  <c r="C52" i="7"/>
  <c r="B52" i="7"/>
  <c r="E51" i="7"/>
  <c r="C51" i="7"/>
  <c r="B51" i="7"/>
  <c r="E50" i="7"/>
  <c r="C50" i="7"/>
  <c r="B50" i="7"/>
  <c r="E49" i="7"/>
  <c r="C49" i="7"/>
  <c r="B49" i="7"/>
  <c r="E48" i="7"/>
  <c r="C48" i="7"/>
  <c r="B48" i="7"/>
  <c r="E47" i="7"/>
  <c r="C47" i="7"/>
  <c r="B47" i="7"/>
  <c r="E46" i="7"/>
  <c r="C46" i="7"/>
  <c r="B46" i="7"/>
  <c r="E45" i="7"/>
  <c r="C45" i="7"/>
  <c r="B45" i="7"/>
  <c r="E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C2" i="7" s="1"/>
  <c r="C7" i="14" s="1"/>
  <c r="D4" i="7"/>
  <c r="C4" i="7"/>
  <c r="B4" i="7"/>
  <c r="U2" i="7"/>
  <c r="R7" i="14" s="1"/>
  <c r="T2" i="7"/>
  <c r="S2" i="7"/>
  <c r="Q7" i="14" s="1"/>
  <c r="R2" i="7"/>
  <c r="P7" i="14" s="1"/>
  <c r="Q2" i="7"/>
  <c r="P2" i="7"/>
  <c r="O2" i="7"/>
  <c r="N7" i="14" s="1"/>
  <c r="N2" i="7"/>
  <c r="M7" i="14" s="1"/>
  <c r="M2" i="7"/>
  <c r="L2" i="7"/>
  <c r="L7" i="14" s="1"/>
  <c r="K2" i="7"/>
  <c r="K7" i="14" s="1"/>
  <c r="J2" i="7"/>
  <c r="J7" i="14" s="1"/>
  <c r="I2" i="7"/>
  <c r="H2" i="7"/>
  <c r="I7" i="14" s="1"/>
  <c r="G2" i="7"/>
  <c r="H7" i="14" s="1"/>
  <c r="F2" i="7"/>
  <c r="G7" i="14" s="1"/>
  <c r="A2" i="7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C149" i="6"/>
  <c r="B149" i="6"/>
  <c r="E148" i="6"/>
  <c r="C148" i="6"/>
  <c r="B148" i="6"/>
  <c r="E147" i="6"/>
  <c r="C147" i="6"/>
  <c r="B147" i="6"/>
  <c r="E146" i="6"/>
  <c r="C146" i="6"/>
  <c r="B146" i="6"/>
  <c r="E145" i="6"/>
  <c r="C145" i="6"/>
  <c r="B145" i="6"/>
  <c r="E144" i="6"/>
  <c r="C144" i="6"/>
  <c r="B144" i="6"/>
  <c r="E143" i="6"/>
  <c r="C143" i="6"/>
  <c r="B143" i="6"/>
  <c r="E142" i="6"/>
  <c r="C142" i="6"/>
  <c r="B142" i="6"/>
  <c r="E141" i="6"/>
  <c r="C141" i="6"/>
  <c r="B141" i="6"/>
  <c r="E140" i="6"/>
  <c r="C140" i="6"/>
  <c r="B140" i="6"/>
  <c r="E139" i="6"/>
  <c r="C139" i="6"/>
  <c r="B139" i="6"/>
  <c r="E138" i="6"/>
  <c r="C138" i="6"/>
  <c r="B138" i="6"/>
  <c r="E137" i="6"/>
  <c r="C137" i="6"/>
  <c r="B137" i="6"/>
  <c r="E136" i="6"/>
  <c r="C136" i="6"/>
  <c r="B136" i="6"/>
  <c r="E135" i="6"/>
  <c r="C135" i="6"/>
  <c r="B135" i="6"/>
  <c r="E134" i="6"/>
  <c r="C134" i="6"/>
  <c r="B134" i="6"/>
  <c r="E133" i="6"/>
  <c r="C133" i="6"/>
  <c r="B133" i="6"/>
  <c r="E132" i="6"/>
  <c r="C132" i="6"/>
  <c r="B132" i="6"/>
  <c r="E131" i="6"/>
  <c r="C131" i="6"/>
  <c r="B131" i="6"/>
  <c r="E130" i="6"/>
  <c r="C130" i="6"/>
  <c r="B130" i="6"/>
  <c r="E129" i="6"/>
  <c r="C129" i="6"/>
  <c r="B129" i="6"/>
  <c r="E128" i="6"/>
  <c r="C128" i="6"/>
  <c r="B128" i="6"/>
  <c r="E127" i="6"/>
  <c r="C127" i="6"/>
  <c r="B127" i="6"/>
  <c r="E126" i="6"/>
  <c r="C126" i="6"/>
  <c r="B126" i="6"/>
  <c r="E125" i="6"/>
  <c r="C125" i="6"/>
  <c r="B125" i="6"/>
  <c r="E124" i="6"/>
  <c r="C124" i="6"/>
  <c r="B124" i="6"/>
  <c r="E123" i="6"/>
  <c r="C123" i="6"/>
  <c r="B123" i="6"/>
  <c r="E122" i="6"/>
  <c r="C122" i="6"/>
  <c r="B122" i="6"/>
  <c r="E121" i="6"/>
  <c r="C121" i="6"/>
  <c r="B121" i="6"/>
  <c r="E120" i="6"/>
  <c r="C120" i="6"/>
  <c r="B120" i="6"/>
  <c r="E119" i="6"/>
  <c r="C119" i="6"/>
  <c r="B119" i="6"/>
  <c r="E118" i="6"/>
  <c r="C118" i="6"/>
  <c r="B118" i="6"/>
  <c r="E117" i="6"/>
  <c r="C117" i="6"/>
  <c r="B117" i="6"/>
  <c r="E116" i="6"/>
  <c r="C116" i="6"/>
  <c r="B116" i="6"/>
  <c r="E115" i="6"/>
  <c r="C115" i="6"/>
  <c r="B115" i="6"/>
  <c r="E114" i="6"/>
  <c r="C114" i="6"/>
  <c r="B114" i="6"/>
  <c r="E113" i="6"/>
  <c r="C113" i="6"/>
  <c r="B113" i="6"/>
  <c r="E112" i="6"/>
  <c r="C112" i="6"/>
  <c r="B112" i="6"/>
  <c r="E111" i="6"/>
  <c r="C111" i="6"/>
  <c r="B111" i="6"/>
  <c r="E110" i="6"/>
  <c r="C110" i="6"/>
  <c r="B110" i="6"/>
  <c r="E109" i="6"/>
  <c r="C109" i="6"/>
  <c r="B109" i="6"/>
  <c r="E108" i="6"/>
  <c r="C108" i="6"/>
  <c r="B108" i="6"/>
  <c r="E107" i="6"/>
  <c r="C107" i="6"/>
  <c r="B107" i="6"/>
  <c r="E106" i="6"/>
  <c r="C106" i="6"/>
  <c r="B106" i="6"/>
  <c r="E105" i="6"/>
  <c r="C105" i="6"/>
  <c r="B105" i="6"/>
  <c r="E104" i="6"/>
  <c r="C104" i="6"/>
  <c r="B104" i="6"/>
  <c r="E103" i="6"/>
  <c r="C103" i="6"/>
  <c r="B103" i="6"/>
  <c r="E102" i="6"/>
  <c r="C102" i="6"/>
  <c r="B102" i="6"/>
  <c r="E101" i="6"/>
  <c r="C101" i="6"/>
  <c r="B101" i="6"/>
  <c r="E100" i="6"/>
  <c r="C100" i="6"/>
  <c r="B100" i="6"/>
  <c r="E99" i="6"/>
  <c r="C99" i="6"/>
  <c r="B99" i="6"/>
  <c r="E98" i="6"/>
  <c r="C98" i="6"/>
  <c r="B98" i="6"/>
  <c r="E97" i="6"/>
  <c r="C97" i="6"/>
  <c r="B97" i="6"/>
  <c r="E96" i="6"/>
  <c r="C96" i="6"/>
  <c r="B96" i="6"/>
  <c r="E95" i="6"/>
  <c r="C95" i="6"/>
  <c r="B95" i="6"/>
  <c r="E94" i="6"/>
  <c r="C94" i="6"/>
  <c r="B94" i="6"/>
  <c r="E93" i="6"/>
  <c r="C93" i="6"/>
  <c r="B93" i="6"/>
  <c r="E92" i="6"/>
  <c r="C92" i="6"/>
  <c r="B92" i="6"/>
  <c r="E91" i="6"/>
  <c r="C91" i="6"/>
  <c r="B91" i="6"/>
  <c r="E90" i="6"/>
  <c r="C90" i="6"/>
  <c r="B90" i="6"/>
  <c r="E89" i="6"/>
  <c r="C89" i="6"/>
  <c r="B89" i="6"/>
  <c r="E88" i="6"/>
  <c r="C88" i="6"/>
  <c r="B88" i="6"/>
  <c r="E87" i="6"/>
  <c r="C87" i="6"/>
  <c r="B87" i="6"/>
  <c r="E86" i="6"/>
  <c r="C86" i="6"/>
  <c r="B86" i="6"/>
  <c r="E85" i="6"/>
  <c r="C85" i="6"/>
  <c r="B85" i="6"/>
  <c r="E84" i="6"/>
  <c r="C84" i="6"/>
  <c r="B84" i="6"/>
  <c r="E83" i="6"/>
  <c r="C83" i="6"/>
  <c r="B83" i="6"/>
  <c r="E82" i="6"/>
  <c r="C82" i="6"/>
  <c r="B82" i="6"/>
  <c r="E81" i="6"/>
  <c r="C81" i="6"/>
  <c r="B81" i="6"/>
  <c r="E80" i="6"/>
  <c r="C80" i="6"/>
  <c r="B80" i="6"/>
  <c r="E79" i="6"/>
  <c r="C79" i="6"/>
  <c r="B79" i="6"/>
  <c r="E78" i="6"/>
  <c r="C78" i="6"/>
  <c r="B78" i="6"/>
  <c r="E77" i="6"/>
  <c r="C77" i="6"/>
  <c r="B77" i="6"/>
  <c r="E76" i="6"/>
  <c r="C76" i="6"/>
  <c r="B76" i="6"/>
  <c r="E75" i="6"/>
  <c r="C75" i="6"/>
  <c r="B75" i="6"/>
  <c r="E74" i="6"/>
  <c r="C74" i="6"/>
  <c r="B74" i="6"/>
  <c r="E73" i="6"/>
  <c r="C73" i="6"/>
  <c r="B73" i="6"/>
  <c r="E72" i="6"/>
  <c r="C72" i="6"/>
  <c r="B72" i="6"/>
  <c r="E71" i="6"/>
  <c r="C71" i="6"/>
  <c r="B71" i="6"/>
  <c r="E70" i="6"/>
  <c r="C70" i="6"/>
  <c r="B70" i="6"/>
  <c r="E69" i="6"/>
  <c r="C69" i="6"/>
  <c r="B69" i="6"/>
  <c r="E68" i="6"/>
  <c r="C68" i="6"/>
  <c r="B68" i="6"/>
  <c r="E67" i="6"/>
  <c r="C67" i="6"/>
  <c r="B67" i="6"/>
  <c r="E66" i="6"/>
  <c r="C66" i="6"/>
  <c r="B66" i="6"/>
  <c r="E65" i="6"/>
  <c r="C65" i="6"/>
  <c r="B65" i="6"/>
  <c r="E64" i="6"/>
  <c r="C64" i="6"/>
  <c r="B64" i="6"/>
  <c r="E63" i="6"/>
  <c r="C63" i="6"/>
  <c r="B63" i="6"/>
  <c r="E62" i="6"/>
  <c r="C62" i="6"/>
  <c r="B62" i="6"/>
  <c r="E61" i="6"/>
  <c r="C61" i="6"/>
  <c r="B61" i="6"/>
  <c r="E60" i="6"/>
  <c r="C60" i="6"/>
  <c r="B60" i="6"/>
  <c r="E59" i="6"/>
  <c r="C59" i="6"/>
  <c r="B59" i="6"/>
  <c r="E58" i="6"/>
  <c r="C58" i="6"/>
  <c r="B58" i="6"/>
  <c r="E57" i="6"/>
  <c r="C57" i="6"/>
  <c r="B57" i="6"/>
  <c r="E56" i="6"/>
  <c r="C56" i="6"/>
  <c r="B56" i="6"/>
  <c r="E55" i="6"/>
  <c r="C55" i="6"/>
  <c r="B55" i="6"/>
  <c r="E54" i="6"/>
  <c r="C54" i="6"/>
  <c r="B54" i="6"/>
  <c r="E53" i="6"/>
  <c r="C53" i="6"/>
  <c r="B53" i="6"/>
  <c r="E52" i="6"/>
  <c r="C52" i="6"/>
  <c r="B52" i="6"/>
  <c r="E51" i="6"/>
  <c r="C51" i="6"/>
  <c r="B51" i="6"/>
  <c r="E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B2" i="6" s="1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C2" i="6" s="1"/>
  <c r="C6" i="14" s="1"/>
  <c r="D4" i="6"/>
  <c r="C4" i="6"/>
  <c r="B4" i="6"/>
  <c r="U2" i="6"/>
  <c r="R6" i="14" s="1"/>
  <c r="T2" i="6"/>
  <c r="S2" i="6"/>
  <c r="Q6" i="14" s="1"/>
  <c r="R2" i="6"/>
  <c r="P6" i="14" s="1"/>
  <c r="Q2" i="6"/>
  <c r="P2" i="6"/>
  <c r="O6" i="14" s="1"/>
  <c r="O2" i="6"/>
  <c r="N6" i="14" s="1"/>
  <c r="N2" i="6"/>
  <c r="M6" i="14" s="1"/>
  <c r="M2" i="6"/>
  <c r="L2" i="6"/>
  <c r="L6" i="14" s="1"/>
  <c r="K2" i="6"/>
  <c r="K6" i="14" s="1"/>
  <c r="J2" i="6"/>
  <c r="J6" i="14" s="1"/>
  <c r="I2" i="6"/>
  <c r="H2" i="6"/>
  <c r="I6" i="14" s="1"/>
  <c r="G2" i="6"/>
  <c r="H6" i="14" s="1"/>
  <c r="F2" i="6"/>
  <c r="G6" i="14" s="1"/>
  <c r="A2" i="6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C142" i="5"/>
  <c r="B142" i="5"/>
  <c r="E141" i="5"/>
  <c r="C141" i="5"/>
  <c r="B141" i="5"/>
  <c r="E140" i="5"/>
  <c r="C140" i="5"/>
  <c r="B140" i="5"/>
  <c r="E139" i="5"/>
  <c r="C139" i="5"/>
  <c r="B139" i="5"/>
  <c r="E138" i="5"/>
  <c r="C138" i="5"/>
  <c r="B138" i="5"/>
  <c r="E137" i="5"/>
  <c r="C137" i="5"/>
  <c r="B137" i="5"/>
  <c r="E136" i="5"/>
  <c r="C136" i="5"/>
  <c r="B136" i="5"/>
  <c r="E135" i="5"/>
  <c r="C135" i="5"/>
  <c r="B135" i="5"/>
  <c r="E134" i="5"/>
  <c r="C134" i="5"/>
  <c r="B134" i="5"/>
  <c r="E133" i="5"/>
  <c r="C133" i="5"/>
  <c r="B133" i="5"/>
  <c r="E132" i="5"/>
  <c r="C132" i="5"/>
  <c r="B132" i="5"/>
  <c r="E131" i="5"/>
  <c r="C131" i="5"/>
  <c r="B131" i="5"/>
  <c r="E130" i="5"/>
  <c r="C130" i="5"/>
  <c r="B130" i="5"/>
  <c r="E129" i="5"/>
  <c r="C129" i="5"/>
  <c r="B129" i="5"/>
  <c r="E128" i="5"/>
  <c r="C128" i="5"/>
  <c r="B128" i="5"/>
  <c r="E127" i="5"/>
  <c r="C127" i="5"/>
  <c r="B127" i="5"/>
  <c r="E126" i="5"/>
  <c r="C126" i="5"/>
  <c r="B126" i="5"/>
  <c r="E125" i="5"/>
  <c r="C125" i="5"/>
  <c r="B125" i="5"/>
  <c r="E124" i="5"/>
  <c r="C124" i="5"/>
  <c r="B124" i="5"/>
  <c r="E123" i="5"/>
  <c r="C123" i="5"/>
  <c r="B123" i="5"/>
  <c r="E122" i="5"/>
  <c r="C122" i="5"/>
  <c r="B122" i="5"/>
  <c r="E121" i="5"/>
  <c r="C121" i="5"/>
  <c r="B121" i="5"/>
  <c r="E120" i="5"/>
  <c r="C120" i="5"/>
  <c r="B120" i="5"/>
  <c r="E119" i="5"/>
  <c r="C119" i="5"/>
  <c r="B119" i="5"/>
  <c r="E118" i="5"/>
  <c r="C118" i="5"/>
  <c r="B118" i="5"/>
  <c r="E117" i="5"/>
  <c r="C117" i="5"/>
  <c r="B117" i="5"/>
  <c r="E116" i="5"/>
  <c r="C116" i="5"/>
  <c r="B116" i="5"/>
  <c r="E115" i="5"/>
  <c r="C115" i="5"/>
  <c r="B115" i="5"/>
  <c r="E114" i="5"/>
  <c r="C114" i="5"/>
  <c r="B114" i="5"/>
  <c r="E113" i="5"/>
  <c r="C113" i="5"/>
  <c r="B113" i="5"/>
  <c r="E112" i="5"/>
  <c r="C112" i="5"/>
  <c r="B112" i="5"/>
  <c r="E111" i="5"/>
  <c r="C111" i="5"/>
  <c r="B111" i="5"/>
  <c r="E110" i="5"/>
  <c r="C110" i="5"/>
  <c r="B110" i="5"/>
  <c r="E109" i="5"/>
  <c r="C109" i="5"/>
  <c r="B109" i="5"/>
  <c r="E108" i="5"/>
  <c r="C108" i="5"/>
  <c r="B108" i="5"/>
  <c r="E107" i="5"/>
  <c r="C107" i="5"/>
  <c r="B107" i="5"/>
  <c r="E106" i="5"/>
  <c r="C106" i="5"/>
  <c r="B106" i="5"/>
  <c r="E105" i="5"/>
  <c r="C105" i="5"/>
  <c r="B105" i="5"/>
  <c r="E104" i="5"/>
  <c r="C104" i="5"/>
  <c r="B104" i="5"/>
  <c r="E103" i="5"/>
  <c r="C103" i="5"/>
  <c r="B103" i="5"/>
  <c r="E102" i="5"/>
  <c r="C102" i="5"/>
  <c r="B102" i="5"/>
  <c r="E101" i="5"/>
  <c r="C101" i="5"/>
  <c r="B101" i="5"/>
  <c r="E100" i="5"/>
  <c r="C100" i="5"/>
  <c r="B100" i="5"/>
  <c r="E99" i="5"/>
  <c r="C99" i="5"/>
  <c r="B99" i="5"/>
  <c r="E98" i="5"/>
  <c r="C98" i="5"/>
  <c r="B98" i="5"/>
  <c r="E97" i="5"/>
  <c r="C97" i="5"/>
  <c r="B97" i="5"/>
  <c r="E96" i="5"/>
  <c r="C96" i="5"/>
  <c r="B96" i="5"/>
  <c r="E95" i="5"/>
  <c r="C95" i="5"/>
  <c r="B95" i="5"/>
  <c r="E94" i="5"/>
  <c r="C94" i="5"/>
  <c r="B94" i="5"/>
  <c r="E93" i="5"/>
  <c r="C93" i="5"/>
  <c r="B93" i="5"/>
  <c r="E92" i="5"/>
  <c r="C92" i="5"/>
  <c r="B92" i="5"/>
  <c r="E91" i="5"/>
  <c r="C91" i="5"/>
  <c r="B91" i="5"/>
  <c r="E90" i="5"/>
  <c r="C90" i="5"/>
  <c r="B90" i="5"/>
  <c r="E89" i="5"/>
  <c r="C89" i="5"/>
  <c r="B89" i="5"/>
  <c r="E88" i="5"/>
  <c r="C88" i="5"/>
  <c r="B88" i="5"/>
  <c r="E87" i="5"/>
  <c r="C87" i="5"/>
  <c r="B87" i="5"/>
  <c r="E86" i="5"/>
  <c r="C86" i="5"/>
  <c r="B86" i="5"/>
  <c r="E85" i="5"/>
  <c r="C85" i="5"/>
  <c r="B85" i="5"/>
  <c r="E84" i="5"/>
  <c r="C84" i="5"/>
  <c r="B84" i="5"/>
  <c r="E83" i="5"/>
  <c r="C83" i="5"/>
  <c r="B83" i="5"/>
  <c r="E82" i="5"/>
  <c r="C82" i="5"/>
  <c r="B82" i="5"/>
  <c r="E81" i="5"/>
  <c r="C81" i="5"/>
  <c r="B81" i="5"/>
  <c r="E80" i="5"/>
  <c r="C80" i="5"/>
  <c r="B80" i="5"/>
  <c r="E79" i="5"/>
  <c r="C79" i="5"/>
  <c r="B79" i="5"/>
  <c r="E78" i="5"/>
  <c r="C78" i="5"/>
  <c r="B78" i="5"/>
  <c r="E77" i="5"/>
  <c r="C77" i="5"/>
  <c r="B77" i="5"/>
  <c r="E76" i="5"/>
  <c r="C76" i="5"/>
  <c r="B76" i="5"/>
  <c r="E75" i="5"/>
  <c r="C75" i="5"/>
  <c r="B75" i="5"/>
  <c r="E74" i="5"/>
  <c r="C74" i="5"/>
  <c r="B74" i="5"/>
  <c r="E73" i="5"/>
  <c r="C73" i="5"/>
  <c r="B73" i="5"/>
  <c r="E72" i="5"/>
  <c r="C72" i="5"/>
  <c r="B72" i="5"/>
  <c r="E71" i="5"/>
  <c r="C71" i="5"/>
  <c r="B71" i="5"/>
  <c r="E70" i="5"/>
  <c r="C70" i="5"/>
  <c r="B70" i="5"/>
  <c r="E69" i="5"/>
  <c r="C69" i="5"/>
  <c r="B69" i="5"/>
  <c r="E68" i="5"/>
  <c r="C68" i="5"/>
  <c r="B68" i="5"/>
  <c r="E67" i="5"/>
  <c r="C67" i="5"/>
  <c r="B67" i="5"/>
  <c r="E66" i="5"/>
  <c r="C66" i="5"/>
  <c r="B66" i="5"/>
  <c r="E65" i="5"/>
  <c r="C65" i="5"/>
  <c r="B65" i="5"/>
  <c r="E64" i="5"/>
  <c r="C64" i="5"/>
  <c r="B64" i="5"/>
  <c r="E63" i="5"/>
  <c r="C63" i="5"/>
  <c r="B63" i="5"/>
  <c r="E62" i="5"/>
  <c r="C62" i="5"/>
  <c r="B62" i="5"/>
  <c r="E61" i="5"/>
  <c r="C61" i="5"/>
  <c r="B61" i="5"/>
  <c r="E60" i="5"/>
  <c r="C60" i="5"/>
  <c r="B60" i="5"/>
  <c r="E59" i="5"/>
  <c r="C59" i="5"/>
  <c r="B59" i="5"/>
  <c r="E58" i="5"/>
  <c r="C58" i="5"/>
  <c r="B58" i="5"/>
  <c r="E57" i="5"/>
  <c r="C57" i="5"/>
  <c r="B57" i="5"/>
  <c r="E56" i="5"/>
  <c r="C56" i="5"/>
  <c r="B56" i="5"/>
  <c r="E55" i="5"/>
  <c r="C55" i="5"/>
  <c r="B55" i="5"/>
  <c r="E54" i="5"/>
  <c r="C54" i="5"/>
  <c r="B54" i="5"/>
  <c r="E53" i="5"/>
  <c r="C53" i="5"/>
  <c r="B53" i="5"/>
  <c r="E52" i="5"/>
  <c r="C52" i="5"/>
  <c r="B52" i="5"/>
  <c r="E51" i="5"/>
  <c r="C51" i="5"/>
  <c r="B51" i="5"/>
  <c r="E50" i="5"/>
  <c r="C50" i="5"/>
  <c r="B50" i="5"/>
  <c r="E49" i="5"/>
  <c r="C49" i="5"/>
  <c r="B49" i="5"/>
  <c r="E48" i="5"/>
  <c r="C48" i="5"/>
  <c r="B48" i="5"/>
  <c r="E47" i="5"/>
  <c r="C47" i="5"/>
  <c r="B47" i="5"/>
  <c r="E46" i="5"/>
  <c r="C46" i="5"/>
  <c r="B46" i="5"/>
  <c r="E45" i="5"/>
  <c r="C45" i="5"/>
  <c r="B45" i="5"/>
  <c r="E44" i="5"/>
  <c r="C44" i="5"/>
  <c r="B44" i="5"/>
  <c r="E43" i="5"/>
  <c r="C43" i="5"/>
  <c r="B43" i="5"/>
  <c r="E42" i="5"/>
  <c r="C42" i="5"/>
  <c r="B42" i="5"/>
  <c r="E41" i="5"/>
  <c r="C41" i="5"/>
  <c r="B41" i="5"/>
  <c r="E40" i="5"/>
  <c r="C40" i="5"/>
  <c r="B40" i="5"/>
  <c r="E39" i="5"/>
  <c r="C39" i="5"/>
  <c r="B39" i="5"/>
  <c r="E38" i="5"/>
  <c r="C38" i="5"/>
  <c r="B38" i="5"/>
  <c r="E37" i="5"/>
  <c r="C37" i="5"/>
  <c r="B37" i="5"/>
  <c r="E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B2" i="5" s="1"/>
  <c r="D5" i="5"/>
  <c r="C5" i="5"/>
  <c r="B5" i="5"/>
  <c r="E4" i="5"/>
  <c r="D4" i="5"/>
  <c r="C4" i="5"/>
  <c r="B4" i="5"/>
  <c r="U2" i="5"/>
  <c r="R5" i="14" s="1"/>
  <c r="T2" i="5"/>
  <c r="S2" i="5"/>
  <c r="Q5" i="14" s="1"/>
  <c r="R2" i="5"/>
  <c r="P5" i="14" s="1"/>
  <c r="Q2" i="5"/>
  <c r="P2" i="5"/>
  <c r="O5" i="14" s="1"/>
  <c r="O2" i="5"/>
  <c r="N5" i="14" s="1"/>
  <c r="N2" i="5"/>
  <c r="M5" i="14" s="1"/>
  <c r="M2" i="5"/>
  <c r="L2" i="5"/>
  <c r="L5" i="14" s="1"/>
  <c r="K2" i="5"/>
  <c r="K5" i="14" s="1"/>
  <c r="J2" i="5"/>
  <c r="J5" i="14" s="1"/>
  <c r="I2" i="5"/>
  <c r="H2" i="5"/>
  <c r="I5" i="14" s="1"/>
  <c r="G2" i="5"/>
  <c r="H5" i="14" s="1"/>
  <c r="F2" i="5"/>
  <c r="G5" i="14" s="1"/>
  <c r="A2" i="5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C147" i="4"/>
  <c r="B147" i="4"/>
  <c r="E146" i="4"/>
  <c r="C146" i="4"/>
  <c r="B146" i="4"/>
  <c r="E145" i="4"/>
  <c r="C145" i="4"/>
  <c r="B145" i="4"/>
  <c r="E144" i="4"/>
  <c r="C144" i="4"/>
  <c r="B144" i="4"/>
  <c r="E143" i="4"/>
  <c r="C143" i="4"/>
  <c r="B143" i="4"/>
  <c r="E142" i="4"/>
  <c r="C142" i="4"/>
  <c r="B142" i="4"/>
  <c r="E141" i="4"/>
  <c r="C141" i="4"/>
  <c r="B141" i="4"/>
  <c r="E140" i="4"/>
  <c r="C140" i="4"/>
  <c r="B140" i="4"/>
  <c r="E139" i="4"/>
  <c r="C139" i="4"/>
  <c r="B139" i="4"/>
  <c r="E138" i="4"/>
  <c r="C138" i="4"/>
  <c r="B138" i="4"/>
  <c r="E137" i="4"/>
  <c r="C137" i="4"/>
  <c r="B137" i="4"/>
  <c r="E136" i="4"/>
  <c r="C136" i="4"/>
  <c r="B136" i="4"/>
  <c r="E135" i="4"/>
  <c r="C135" i="4"/>
  <c r="B135" i="4"/>
  <c r="E134" i="4"/>
  <c r="C134" i="4"/>
  <c r="B134" i="4"/>
  <c r="E133" i="4"/>
  <c r="C133" i="4"/>
  <c r="B133" i="4"/>
  <c r="E132" i="4"/>
  <c r="C132" i="4"/>
  <c r="B132" i="4"/>
  <c r="E131" i="4"/>
  <c r="C131" i="4"/>
  <c r="B131" i="4"/>
  <c r="E130" i="4"/>
  <c r="C130" i="4"/>
  <c r="B130" i="4"/>
  <c r="E129" i="4"/>
  <c r="C129" i="4"/>
  <c r="B129" i="4"/>
  <c r="E128" i="4"/>
  <c r="C128" i="4"/>
  <c r="B128" i="4"/>
  <c r="E127" i="4"/>
  <c r="C127" i="4"/>
  <c r="B127" i="4"/>
  <c r="E126" i="4"/>
  <c r="C126" i="4"/>
  <c r="B126" i="4"/>
  <c r="E125" i="4"/>
  <c r="C125" i="4"/>
  <c r="B125" i="4"/>
  <c r="E124" i="4"/>
  <c r="C124" i="4"/>
  <c r="B124" i="4"/>
  <c r="E123" i="4"/>
  <c r="C123" i="4"/>
  <c r="B123" i="4"/>
  <c r="E122" i="4"/>
  <c r="C122" i="4"/>
  <c r="B122" i="4"/>
  <c r="E121" i="4"/>
  <c r="C121" i="4"/>
  <c r="B121" i="4"/>
  <c r="E120" i="4"/>
  <c r="C120" i="4"/>
  <c r="B120" i="4"/>
  <c r="E119" i="4"/>
  <c r="C119" i="4"/>
  <c r="B119" i="4"/>
  <c r="E118" i="4"/>
  <c r="C118" i="4"/>
  <c r="B118" i="4"/>
  <c r="E117" i="4"/>
  <c r="C117" i="4"/>
  <c r="B117" i="4"/>
  <c r="E116" i="4"/>
  <c r="C116" i="4"/>
  <c r="B116" i="4"/>
  <c r="E115" i="4"/>
  <c r="C115" i="4"/>
  <c r="B115" i="4"/>
  <c r="E114" i="4"/>
  <c r="C114" i="4"/>
  <c r="B114" i="4"/>
  <c r="E113" i="4"/>
  <c r="C113" i="4"/>
  <c r="B113" i="4"/>
  <c r="E112" i="4"/>
  <c r="C112" i="4"/>
  <c r="B112" i="4"/>
  <c r="E111" i="4"/>
  <c r="C111" i="4"/>
  <c r="B111" i="4"/>
  <c r="E110" i="4"/>
  <c r="C110" i="4"/>
  <c r="B110" i="4"/>
  <c r="E109" i="4"/>
  <c r="C109" i="4"/>
  <c r="B109" i="4"/>
  <c r="E108" i="4"/>
  <c r="C108" i="4"/>
  <c r="B108" i="4"/>
  <c r="E107" i="4"/>
  <c r="C107" i="4"/>
  <c r="B107" i="4"/>
  <c r="E106" i="4"/>
  <c r="C106" i="4"/>
  <c r="B106" i="4"/>
  <c r="E105" i="4"/>
  <c r="C105" i="4"/>
  <c r="B105" i="4"/>
  <c r="E104" i="4"/>
  <c r="C104" i="4"/>
  <c r="B104" i="4"/>
  <c r="E103" i="4"/>
  <c r="C103" i="4"/>
  <c r="B103" i="4"/>
  <c r="E102" i="4"/>
  <c r="C102" i="4"/>
  <c r="B102" i="4"/>
  <c r="E101" i="4"/>
  <c r="C101" i="4"/>
  <c r="B101" i="4"/>
  <c r="E100" i="4"/>
  <c r="C100" i="4"/>
  <c r="B100" i="4"/>
  <c r="E99" i="4"/>
  <c r="C99" i="4"/>
  <c r="B99" i="4"/>
  <c r="E98" i="4"/>
  <c r="C98" i="4"/>
  <c r="B98" i="4"/>
  <c r="E97" i="4"/>
  <c r="C97" i="4"/>
  <c r="B97" i="4"/>
  <c r="E96" i="4"/>
  <c r="C96" i="4"/>
  <c r="B96" i="4"/>
  <c r="E95" i="4"/>
  <c r="C95" i="4"/>
  <c r="B95" i="4"/>
  <c r="E94" i="4"/>
  <c r="C94" i="4"/>
  <c r="B94" i="4"/>
  <c r="E93" i="4"/>
  <c r="C93" i="4"/>
  <c r="B93" i="4"/>
  <c r="E92" i="4"/>
  <c r="C92" i="4"/>
  <c r="B92" i="4"/>
  <c r="E91" i="4"/>
  <c r="C91" i="4"/>
  <c r="B91" i="4"/>
  <c r="E90" i="4"/>
  <c r="C90" i="4"/>
  <c r="B90" i="4"/>
  <c r="E89" i="4"/>
  <c r="C89" i="4"/>
  <c r="B89" i="4"/>
  <c r="E88" i="4"/>
  <c r="C88" i="4"/>
  <c r="B88" i="4"/>
  <c r="E87" i="4"/>
  <c r="C87" i="4"/>
  <c r="B87" i="4"/>
  <c r="E86" i="4"/>
  <c r="C86" i="4"/>
  <c r="B86" i="4"/>
  <c r="E85" i="4"/>
  <c r="C85" i="4"/>
  <c r="B85" i="4"/>
  <c r="E84" i="4"/>
  <c r="C84" i="4"/>
  <c r="B84" i="4"/>
  <c r="E83" i="4"/>
  <c r="C83" i="4"/>
  <c r="B83" i="4"/>
  <c r="E82" i="4"/>
  <c r="C82" i="4"/>
  <c r="B82" i="4"/>
  <c r="E81" i="4"/>
  <c r="C81" i="4"/>
  <c r="B81" i="4"/>
  <c r="E80" i="4"/>
  <c r="C80" i="4"/>
  <c r="B80" i="4"/>
  <c r="E79" i="4"/>
  <c r="C79" i="4"/>
  <c r="B79" i="4"/>
  <c r="E78" i="4"/>
  <c r="C78" i="4"/>
  <c r="B78" i="4"/>
  <c r="E77" i="4"/>
  <c r="C77" i="4"/>
  <c r="B77" i="4"/>
  <c r="E76" i="4"/>
  <c r="C76" i="4"/>
  <c r="B76" i="4"/>
  <c r="E75" i="4"/>
  <c r="C75" i="4"/>
  <c r="B75" i="4"/>
  <c r="E74" i="4"/>
  <c r="C74" i="4"/>
  <c r="B74" i="4"/>
  <c r="E73" i="4"/>
  <c r="C73" i="4"/>
  <c r="B73" i="4"/>
  <c r="E72" i="4"/>
  <c r="C72" i="4"/>
  <c r="B72" i="4"/>
  <c r="E71" i="4"/>
  <c r="C71" i="4"/>
  <c r="B71" i="4"/>
  <c r="E70" i="4"/>
  <c r="C70" i="4"/>
  <c r="B70" i="4"/>
  <c r="E69" i="4"/>
  <c r="C69" i="4"/>
  <c r="B69" i="4"/>
  <c r="E68" i="4"/>
  <c r="C68" i="4"/>
  <c r="B68" i="4"/>
  <c r="E67" i="4"/>
  <c r="C67" i="4"/>
  <c r="B67" i="4"/>
  <c r="E66" i="4"/>
  <c r="C66" i="4"/>
  <c r="B66" i="4"/>
  <c r="E65" i="4"/>
  <c r="C65" i="4"/>
  <c r="B65" i="4"/>
  <c r="E64" i="4"/>
  <c r="C64" i="4"/>
  <c r="B64" i="4"/>
  <c r="E63" i="4"/>
  <c r="C63" i="4"/>
  <c r="B63" i="4"/>
  <c r="E62" i="4"/>
  <c r="C62" i="4"/>
  <c r="B62" i="4"/>
  <c r="E61" i="4"/>
  <c r="C61" i="4"/>
  <c r="B61" i="4"/>
  <c r="E60" i="4"/>
  <c r="C60" i="4"/>
  <c r="B60" i="4"/>
  <c r="E59" i="4"/>
  <c r="C59" i="4"/>
  <c r="B59" i="4"/>
  <c r="E58" i="4"/>
  <c r="C58" i="4"/>
  <c r="B58" i="4"/>
  <c r="E57" i="4"/>
  <c r="C57" i="4"/>
  <c r="B57" i="4"/>
  <c r="E56" i="4"/>
  <c r="C56" i="4"/>
  <c r="B56" i="4"/>
  <c r="E55" i="4"/>
  <c r="C55" i="4"/>
  <c r="B55" i="4"/>
  <c r="E54" i="4"/>
  <c r="C54" i="4"/>
  <c r="B54" i="4"/>
  <c r="E53" i="4"/>
  <c r="C53" i="4"/>
  <c r="B53" i="4"/>
  <c r="E52" i="4"/>
  <c r="C52" i="4"/>
  <c r="B52" i="4"/>
  <c r="E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B2" i="4" s="1"/>
  <c r="D5" i="4"/>
  <c r="C5" i="4"/>
  <c r="B5" i="4"/>
  <c r="E4" i="4"/>
  <c r="D4" i="4"/>
  <c r="C4" i="4"/>
  <c r="B4" i="4"/>
  <c r="U2" i="4"/>
  <c r="R4" i="14" s="1"/>
  <c r="T2" i="4"/>
  <c r="S2" i="4"/>
  <c r="Q4" i="14" s="1"/>
  <c r="R2" i="4"/>
  <c r="P4" i="14" s="1"/>
  <c r="Q2" i="4"/>
  <c r="P2" i="4"/>
  <c r="O4" i="14" s="1"/>
  <c r="O2" i="4"/>
  <c r="N4" i="14" s="1"/>
  <c r="N2" i="4"/>
  <c r="M4" i="14" s="1"/>
  <c r="M2" i="4"/>
  <c r="L2" i="4"/>
  <c r="L4" i="14" s="1"/>
  <c r="K2" i="4"/>
  <c r="K4" i="14" s="1"/>
  <c r="J2" i="4"/>
  <c r="J4" i="14" s="1"/>
  <c r="I2" i="4"/>
  <c r="I4" i="14" s="1"/>
  <c r="H2" i="4"/>
  <c r="G2" i="4"/>
  <c r="H4" i="14" s="1"/>
  <c r="F2" i="4"/>
  <c r="G4" i="14" s="1"/>
  <c r="A2" i="4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D150" i="3"/>
  <c r="C150" i="3"/>
  <c r="B150" i="3"/>
  <c r="E149" i="3"/>
  <c r="D149" i="3"/>
  <c r="C149" i="3"/>
  <c r="B149" i="3"/>
  <c r="E148" i="3"/>
  <c r="D148" i="3"/>
  <c r="C148" i="3"/>
  <c r="B148" i="3"/>
  <c r="E147" i="3"/>
  <c r="D147" i="3"/>
  <c r="C147" i="3"/>
  <c r="B147" i="3"/>
  <c r="E146" i="3"/>
  <c r="D146" i="3"/>
  <c r="C146" i="3"/>
  <c r="B146" i="3"/>
  <c r="E145" i="3"/>
  <c r="D145" i="3"/>
  <c r="C145" i="3"/>
  <c r="B145" i="3"/>
  <c r="E144" i="3"/>
  <c r="D144" i="3"/>
  <c r="C144" i="3"/>
  <c r="B144" i="3"/>
  <c r="E143" i="3"/>
  <c r="D143" i="3"/>
  <c r="C143" i="3"/>
  <c r="B143" i="3"/>
  <c r="E142" i="3"/>
  <c r="D142" i="3"/>
  <c r="C142" i="3"/>
  <c r="B142" i="3"/>
  <c r="E141" i="3"/>
  <c r="D141" i="3"/>
  <c r="C141" i="3"/>
  <c r="B141" i="3"/>
  <c r="E140" i="3"/>
  <c r="D140" i="3"/>
  <c r="C140" i="3"/>
  <c r="B140" i="3"/>
  <c r="E139" i="3"/>
  <c r="D139" i="3"/>
  <c r="C139" i="3"/>
  <c r="B139" i="3"/>
  <c r="E138" i="3"/>
  <c r="D138" i="3"/>
  <c r="C138" i="3"/>
  <c r="B138" i="3"/>
  <c r="E137" i="3"/>
  <c r="D137" i="3"/>
  <c r="C137" i="3"/>
  <c r="B137" i="3"/>
  <c r="E136" i="3"/>
  <c r="D136" i="3"/>
  <c r="C136" i="3"/>
  <c r="B136" i="3"/>
  <c r="E135" i="3"/>
  <c r="D135" i="3"/>
  <c r="C135" i="3"/>
  <c r="B135" i="3"/>
  <c r="E134" i="3"/>
  <c r="D134" i="3"/>
  <c r="C134" i="3"/>
  <c r="B134" i="3"/>
  <c r="E133" i="3"/>
  <c r="D133" i="3"/>
  <c r="C133" i="3"/>
  <c r="B133" i="3"/>
  <c r="E132" i="3"/>
  <c r="D132" i="3"/>
  <c r="C132" i="3"/>
  <c r="B132" i="3"/>
  <c r="E131" i="3"/>
  <c r="D131" i="3"/>
  <c r="C131" i="3"/>
  <c r="B131" i="3"/>
  <c r="E130" i="3"/>
  <c r="D130" i="3"/>
  <c r="C130" i="3"/>
  <c r="B130" i="3"/>
  <c r="E129" i="3"/>
  <c r="D129" i="3"/>
  <c r="C129" i="3"/>
  <c r="B129" i="3"/>
  <c r="E128" i="3"/>
  <c r="D128" i="3"/>
  <c r="C128" i="3"/>
  <c r="B128" i="3"/>
  <c r="E127" i="3"/>
  <c r="D127" i="3"/>
  <c r="C127" i="3"/>
  <c r="B127" i="3"/>
  <c r="E126" i="3"/>
  <c r="D126" i="3"/>
  <c r="C126" i="3"/>
  <c r="B126" i="3"/>
  <c r="E125" i="3"/>
  <c r="D125" i="3"/>
  <c r="C125" i="3"/>
  <c r="B125" i="3"/>
  <c r="E124" i="3"/>
  <c r="D124" i="3"/>
  <c r="C124" i="3"/>
  <c r="B124" i="3"/>
  <c r="E123" i="3"/>
  <c r="D123" i="3"/>
  <c r="C123" i="3"/>
  <c r="B123" i="3"/>
  <c r="E122" i="3"/>
  <c r="D122" i="3"/>
  <c r="C122" i="3"/>
  <c r="B122" i="3"/>
  <c r="E121" i="3"/>
  <c r="D121" i="3"/>
  <c r="C121" i="3"/>
  <c r="B121" i="3"/>
  <c r="E120" i="3"/>
  <c r="D120" i="3"/>
  <c r="C120" i="3"/>
  <c r="B120" i="3"/>
  <c r="E119" i="3"/>
  <c r="D119" i="3"/>
  <c r="C119" i="3"/>
  <c r="B119" i="3"/>
  <c r="E118" i="3"/>
  <c r="D118" i="3"/>
  <c r="C118" i="3"/>
  <c r="B118" i="3"/>
  <c r="E117" i="3"/>
  <c r="D117" i="3"/>
  <c r="C117" i="3"/>
  <c r="B117" i="3"/>
  <c r="E116" i="3"/>
  <c r="D116" i="3"/>
  <c r="C116" i="3"/>
  <c r="B116" i="3"/>
  <c r="E115" i="3"/>
  <c r="D115" i="3"/>
  <c r="C115" i="3"/>
  <c r="B115" i="3"/>
  <c r="E114" i="3"/>
  <c r="D114" i="3"/>
  <c r="C114" i="3"/>
  <c r="B114" i="3"/>
  <c r="E113" i="3"/>
  <c r="D113" i="3"/>
  <c r="C113" i="3"/>
  <c r="B113" i="3"/>
  <c r="E112" i="3"/>
  <c r="D112" i="3"/>
  <c r="C112" i="3"/>
  <c r="B112" i="3"/>
  <c r="E111" i="3"/>
  <c r="D111" i="3"/>
  <c r="C111" i="3"/>
  <c r="B111" i="3"/>
  <c r="E110" i="3"/>
  <c r="D110" i="3"/>
  <c r="C110" i="3"/>
  <c r="B110" i="3"/>
  <c r="E109" i="3"/>
  <c r="D109" i="3"/>
  <c r="C109" i="3"/>
  <c r="B109" i="3"/>
  <c r="E108" i="3"/>
  <c r="D108" i="3"/>
  <c r="C108" i="3"/>
  <c r="B108" i="3"/>
  <c r="E107" i="3"/>
  <c r="D107" i="3"/>
  <c r="C107" i="3"/>
  <c r="B107" i="3"/>
  <c r="E106" i="3"/>
  <c r="D106" i="3"/>
  <c r="C106" i="3"/>
  <c r="B106" i="3"/>
  <c r="E105" i="3"/>
  <c r="D105" i="3"/>
  <c r="C105" i="3"/>
  <c r="B105" i="3"/>
  <c r="E104" i="3"/>
  <c r="D104" i="3"/>
  <c r="C104" i="3"/>
  <c r="B104" i="3"/>
  <c r="E103" i="3"/>
  <c r="D103" i="3"/>
  <c r="C103" i="3"/>
  <c r="B103" i="3"/>
  <c r="E102" i="3"/>
  <c r="D102" i="3"/>
  <c r="C102" i="3"/>
  <c r="B102" i="3"/>
  <c r="E101" i="3"/>
  <c r="D101" i="3"/>
  <c r="C101" i="3"/>
  <c r="B101" i="3"/>
  <c r="E100" i="3"/>
  <c r="D100" i="3"/>
  <c r="C100" i="3"/>
  <c r="B100" i="3"/>
  <c r="E99" i="3"/>
  <c r="D99" i="3"/>
  <c r="C99" i="3"/>
  <c r="B99" i="3"/>
  <c r="E98" i="3"/>
  <c r="D98" i="3"/>
  <c r="C98" i="3"/>
  <c r="B98" i="3"/>
  <c r="E97" i="3"/>
  <c r="D97" i="3"/>
  <c r="C97" i="3"/>
  <c r="B97" i="3"/>
  <c r="E96" i="3"/>
  <c r="D96" i="3"/>
  <c r="C96" i="3"/>
  <c r="B96" i="3"/>
  <c r="E95" i="3"/>
  <c r="D95" i="3"/>
  <c r="C95" i="3"/>
  <c r="B95" i="3"/>
  <c r="E94" i="3"/>
  <c r="D94" i="3"/>
  <c r="C94" i="3"/>
  <c r="B94" i="3"/>
  <c r="E93" i="3"/>
  <c r="D93" i="3"/>
  <c r="C93" i="3"/>
  <c r="B93" i="3"/>
  <c r="E92" i="3"/>
  <c r="D92" i="3"/>
  <c r="C92" i="3"/>
  <c r="B92" i="3"/>
  <c r="E91" i="3"/>
  <c r="D91" i="3"/>
  <c r="C91" i="3"/>
  <c r="B91" i="3"/>
  <c r="E90" i="3"/>
  <c r="D90" i="3"/>
  <c r="C90" i="3"/>
  <c r="B90" i="3"/>
  <c r="E89" i="3"/>
  <c r="D89" i="3"/>
  <c r="C89" i="3"/>
  <c r="B89" i="3"/>
  <c r="E88" i="3"/>
  <c r="D88" i="3"/>
  <c r="C88" i="3"/>
  <c r="B88" i="3"/>
  <c r="E87" i="3"/>
  <c r="D87" i="3"/>
  <c r="C87" i="3"/>
  <c r="B87" i="3"/>
  <c r="E86" i="3"/>
  <c r="D86" i="3"/>
  <c r="C86" i="3"/>
  <c r="B86" i="3"/>
  <c r="E85" i="3"/>
  <c r="D85" i="3"/>
  <c r="C85" i="3"/>
  <c r="B85" i="3"/>
  <c r="E84" i="3"/>
  <c r="D84" i="3"/>
  <c r="C84" i="3"/>
  <c r="B84" i="3"/>
  <c r="E83" i="3"/>
  <c r="D83" i="3"/>
  <c r="C83" i="3"/>
  <c r="B83" i="3"/>
  <c r="E82" i="3"/>
  <c r="D82" i="3"/>
  <c r="C82" i="3"/>
  <c r="B82" i="3"/>
  <c r="E81" i="3"/>
  <c r="D81" i="3"/>
  <c r="C81" i="3"/>
  <c r="B81" i="3"/>
  <c r="E80" i="3"/>
  <c r="D80" i="3"/>
  <c r="C80" i="3"/>
  <c r="B80" i="3"/>
  <c r="E79" i="3"/>
  <c r="D79" i="3"/>
  <c r="C79" i="3"/>
  <c r="B79" i="3"/>
  <c r="E78" i="3"/>
  <c r="D78" i="3"/>
  <c r="C78" i="3"/>
  <c r="B78" i="3"/>
  <c r="E77" i="3"/>
  <c r="D77" i="3"/>
  <c r="C77" i="3"/>
  <c r="B77" i="3"/>
  <c r="E76" i="3"/>
  <c r="D76" i="3"/>
  <c r="C76" i="3"/>
  <c r="B76" i="3"/>
  <c r="E75" i="3"/>
  <c r="D75" i="3"/>
  <c r="C75" i="3"/>
  <c r="B75" i="3"/>
  <c r="E74" i="3"/>
  <c r="D74" i="3"/>
  <c r="C74" i="3"/>
  <c r="B74" i="3"/>
  <c r="E73" i="3"/>
  <c r="D73" i="3"/>
  <c r="C73" i="3"/>
  <c r="B73" i="3"/>
  <c r="E72" i="3"/>
  <c r="D72" i="3"/>
  <c r="C72" i="3"/>
  <c r="B72" i="3"/>
  <c r="E71" i="3"/>
  <c r="D71" i="3"/>
  <c r="C71" i="3"/>
  <c r="B71" i="3"/>
  <c r="E70" i="3"/>
  <c r="D70" i="3"/>
  <c r="C70" i="3"/>
  <c r="B70" i="3"/>
  <c r="E69" i="3"/>
  <c r="D69" i="3"/>
  <c r="C69" i="3"/>
  <c r="B69" i="3"/>
  <c r="E68" i="3"/>
  <c r="D68" i="3"/>
  <c r="C68" i="3"/>
  <c r="B68" i="3"/>
  <c r="E67" i="3"/>
  <c r="D67" i="3"/>
  <c r="C67" i="3"/>
  <c r="B67" i="3"/>
  <c r="E66" i="3"/>
  <c r="D66" i="3"/>
  <c r="C66" i="3"/>
  <c r="B66" i="3"/>
  <c r="E65" i="3"/>
  <c r="D65" i="3"/>
  <c r="C65" i="3"/>
  <c r="B65" i="3"/>
  <c r="E64" i="3"/>
  <c r="D64" i="3"/>
  <c r="C64" i="3"/>
  <c r="B64" i="3"/>
  <c r="E63" i="3"/>
  <c r="D63" i="3"/>
  <c r="C63" i="3"/>
  <c r="B63" i="3"/>
  <c r="E62" i="3"/>
  <c r="D62" i="3"/>
  <c r="C62" i="3"/>
  <c r="B62" i="3"/>
  <c r="E61" i="3"/>
  <c r="D61" i="3"/>
  <c r="C61" i="3"/>
  <c r="B61" i="3"/>
  <c r="E60" i="3"/>
  <c r="D60" i="3"/>
  <c r="C60" i="3"/>
  <c r="B60" i="3"/>
  <c r="E59" i="3"/>
  <c r="D59" i="3"/>
  <c r="C59" i="3"/>
  <c r="B59" i="3"/>
  <c r="E58" i="3"/>
  <c r="D58" i="3"/>
  <c r="C58" i="3"/>
  <c r="B58" i="3"/>
  <c r="E57" i="3"/>
  <c r="D57" i="3"/>
  <c r="C57" i="3"/>
  <c r="B57" i="3"/>
  <c r="E56" i="3"/>
  <c r="D56" i="3"/>
  <c r="C56" i="3"/>
  <c r="B56" i="3"/>
  <c r="E55" i="3"/>
  <c r="D55" i="3"/>
  <c r="C55" i="3"/>
  <c r="B55" i="3"/>
  <c r="E54" i="3"/>
  <c r="D54" i="3"/>
  <c r="C54" i="3"/>
  <c r="B54" i="3"/>
  <c r="E53" i="3"/>
  <c r="D53" i="3"/>
  <c r="C53" i="3"/>
  <c r="B53" i="3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B2" i="3" s="1"/>
  <c r="D5" i="3"/>
  <c r="C5" i="3"/>
  <c r="B5" i="3"/>
  <c r="E4" i="3"/>
  <c r="D4" i="3"/>
  <c r="C4" i="3"/>
  <c r="B4" i="3"/>
  <c r="U2" i="3"/>
  <c r="R3" i="14" s="1"/>
  <c r="T2" i="3"/>
  <c r="S2" i="3"/>
  <c r="Q3" i="14" s="1"/>
  <c r="R2" i="3"/>
  <c r="P3" i="14" s="1"/>
  <c r="P14" i="14" s="1"/>
  <c r="Q2" i="3"/>
  <c r="P2" i="3"/>
  <c r="O3" i="14" s="1"/>
  <c r="O2" i="3"/>
  <c r="N3" i="14" s="1"/>
  <c r="N2" i="3"/>
  <c r="M3" i="14" s="1"/>
  <c r="M2" i="3"/>
  <c r="L2" i="3"/>
  <c r="L3" i="14" s="1"/>
  <c r="K2" i="3"/>
  <c r="K3" i="14" s="1"/>
  <c r="J2" i="3"/>
  <c r="J3" i="14" s="1"/>
  <c r="I2" i="3"/>
  <c r="H2" i="3"/>
  <c r="I3" i="14" s="1"/>
  <c r="I14" i="14" s="1"/>
  <c r="G2" i="3"/>
  <c r="H3" i="14" s="1"/>
  <c r="F2" i="3"/>
  <c r="G3" i="14" s="1"/>
  <c r="A2" i="3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P2" i="2"/>
  <c r="O2" i="2"/>
  <c r="N2" i="2"/>
  <c r="M2" i="2"/>
  <c r="L2" i="2"/>
  <c r="K2" i="2"/>
  <c r="J2" i="2"/>
  <c r="I2" i="2"/>
  <c r="H2" i="2"/>
  <c r="G2" i="2"/>
  <c r="F2" i="2"/>
  <c r="E2" i="2"/>
  <c r="D2" i="2" s="1"/>
  <c r="A2" i="2"/>
  <c r="B3" i="14" l="1"/>
  <c r="M11" i="15"/>
  <c r="C11" i="15"/>
  <c r="L11" i="15"/>
  <c r="B11" i="15"/>
  <c r="K11" i="15"/>
  <c r="J11" i="15"/>
  <c r="I11" i="15"/>
  <c r="B11" i="14"/>
  <c r="H11" i="15"/>
  <c r="G11" i="15"/>
  <c r="F11" i="15"/>
  <c r="E11" i="15"/>
  <c r="D11" i="15"/>
  <c r="J14" i="14"/>
  <c r="M6" i="15"/>
  <c r="C6" i="15"/>
  <c r="L6" i="15"/>
  <c r="B6" i="15"/>
  <c r="K6" i="15"/>
  <c r="J6" i="15"/>
  <c r="I6" i="15"/>
  <c r="H6" i="15"/>
  <c r="G6" i="15"/>
  <c r="F6" i="15"/>
  <c r="B6" i="14"/>
  <c r="E6" i="15"/>
  <c r="D6" i="15"/>
  <c r="K14" i="14"/>
  <c r="R14" i="14"/>
  <c r="L14" i="14"/>
  <c r="M5" i="15"/>
  <c r="B5" i="14"/>
  <c r="D5" i="14" s="1"/>
  <c r="L5" i="15"/>
  <c r="F5" i="15"/>
  <c r="M14" i="14"/>
  <c r="N14" i="14"/>
  <c r="B12" i="14"/>
  <c r="I13" i="15"/>
  <c r="H13" i="15"/>
  <c r="G13" i="15"/>
  <c r="F13" i="15"/>
  <c r="E13" i="15"/>
  <c r="B13" i="14"/>
  <c r="D13" i="15"/>
  <c r="M13" i="15"/>
  <c r="C13" i="15"/>
  <c r="L13" i="15"/>
  <c r="B13" i="15"/>
  <c r="K13" i="15"/>
  <c r="J13" i="15"/>
  <c r="Q14" i="14"/>
  <c r="G14" i="14"/>
  <c r="O14" i="14"/>
  <c r="G4" i="15"/>
  <c r="F4" i="15"/>
  <c r="K4" i="15"/>
  <c r="B4" i="14"/>
  <c r="D4" i="14" s="1"/>
  <c r="I4" i="15"/>
  <c r="H14" i="14"/>
  <c r="C2" i="3"/>
  <c r="C3" i="14" s="1"/>
  <c r="C14" i="14" s="1"/>
  <c r="C2" i="4"/>
  <c r="C4" i="14" s="1"/>
  <c r="C2" i="5"/>
  <c r="C5" i="14" s="1"/>
  <c r="B2" i="9"/>
  <c r="C2" i="11"/>
  <c r="C12" i="14" s="1"/>
  <c r="E2" i="3"/>
  <c r="E2" i="4"/>
  <c r="E2" i="5"/>
  <c r="E2" i="11"/>
  <c r="N10" i="14"/>
  <c r="B2" i="8"/>
  <c r="E2" i="9"/>
  <c r="E2" i="7"/>
  <c r="B2" i="7"/>
  <c r="B2" i="12"/>
  <c r="E2" i="6"/>
  <c r="E2" i="8"/>
  <c r="E2" i="10"/>
  <c r="E2" i="13"/>
  <c r="C12" i="15" l="1"/>
  <c r="C3" i="15"/>
  <c r="J4" i="15"/>
  <c r="M12" i="15"/>
  <c r="C5" i="15"/>
  <c r="M3" i="15"/>
  <c r="K12" i="15"/>
  <c r="D3" i="15"/>
  <c r="G9" i="15"/>
  <c r="F9" i="15"/>
  <c r="E9" i="15"/>
  <c r="D9" i="15"/>
  <c r="B9" i="14"/>
  <c r="M9" i="15"/>
  <c r="C9" i="15"/>
  <c r="L9" i="15"/>
  <c r="B9" i="15"/>
  <c r="K9" i="15"/>
  <c r="J9" i="15"/>
  <c r="I9" i="15"/>
  <c r="H9" i="15"/>
  <c r="B4" i="15"/>
  <c r="E12" i="15"/>
  <c r="G5" i="15"/>
  <c r="D5" i="15"/>
  <c r="E3" i="15"/>
  <c r="L12" i="15"/>
  <c r="K7" i="15"/>
  <c r="J7" i="15"/>
  <c r="I7" i="15"/>
  <c r="B7" i="14"/>
  <c r="H7" i="15"/>
  <c r="G7" i="15"/>
  <c r="F7" i="15"/>
  <c r="E7" i="15"/>
  <c r="D7" i="15"/>
  <c r="M7" i="15"/>
  <c r="C7" i="15"/>
  <c r="L7" i="15"/>
  <c r="B7" i="15"/>
  <c r="F12" i="15"/>
  <c r="H5" i="15"/>
  <c r="E5" i="15"/>
  <c r="F3" i="15"/>
  <c r="I5" i="15"/>
  <c r="E10" i="15"/>
  <c r="D10" i="15"/>
  <c r="M10" i="15"/>
  <c r="C10" i="15"/>
  <c r="L10" i="15"/>
  <c r="B10" i="15"/>
  <c r="K10" i="15"/>
  <c r="J10" i="15"/>
  <c r="I10" i="15"/>
  <c r="H10" i="15"/>
  <c r="G10" i="15"/>
  <c r="F10" i="15"/>
  <c r="B10" i="14"/>
  <c r="B14" i="14" s="1"/>
  <c r="L4" i="15"/>
  <c r="I8" i="15"/>
  <c r="H8" i="15"/>
  <c r="G8" i="15"/>
  <c r="F8" i="15"/>
  <c r="E8" i="15"/>
  <c r="D8" i="15"/>
  <c r="M8" i="15"/>
  <c r="C8" i="15"/>
  <c r="L8" i="15"/>
  <c r="B8" i="15"/>
  <c r="K8" i="15"/>
  <c r="B8" i="14"/>
  <c r="J8" i="15"/>
  <c r="J3" i="15"/>
  <c r="G3" i="15"/>
  <c r="M4" i="15"/>
  <c r="D12" i="14"/>
  <c r="D14" i="14" s="1"/>
  <c r="D17" i="14" s="1"/>
  <c r="I12" i="15"/>
  <c r="K5" i="15"/>
  <c r="K3" i="15"/>
  <c r="K14" i="15" s="1"/>
  <c r="H3" i="15"/>
  <c r="L3" i="15"/>
  <c r="D12" i="15"/>
  <c r="C4" i="15"/>
  <c r="G12" i="15"/>
  <c r="H12" i="15"/>
  <c r="J5" i="15"/>
  <c r="D4" i="15"/>
  <c r="H4" i="15"/>
  <c r="E4" i="15"/>
  <c r="B12" i="15"/>
  <c r="J12" i="15"/>
  <c r="B5" i="15"/>
  <c r="B3" i="15"/>
  <c r="I3" i="15"/>
  <c r="E14" i="15" l="1"/>
  <c r="M14" i="15"/>
  <c r="J14" i="15"/>
  <c r="F14" i="15"/>
  <c r="I14" i="15"/>
  <c r="B14" i="15"/>
  <c r="L14" i="15"/>
  <c r="C14" i="15"/>
  <c r="D14" i="15"/>
  <c r="G14" i="15"/>
  <c r="H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000-000001000000}">
      <text>
        <r>
          <rPr>
            <sz val="10"/>
            <color rgb="FF000000"/>
            <rFont val="Arial"/>
            <scheme val="minor"/>
          </rPr>
          <t>Month / Day /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4" authorId="0" shapeId="0" xr:uid="{00000000-0006-0000-0300-000002000000}">
      <text>
        <r>
          <rPr>
            <sz val="10"/>
            <color rgb="FF000000"/>
            <rFont val="Arial"/>
            <scheme val="minor"/>
          </rPr>
          <t>Reg admission due-1000
	-MEED PUBLIC</t>
        </r>
      </text>
    </comment>
    <comment ref="F15" authorId="0" shapeId="0" xr:uid="{00000000-0006-0000-0300-000001000000}">
      <text>
        <r>
          <rPr>
            <sz val="10"/>
            <color rgb="FF000000"/>
            <rFont val="Arial"/>
            <scheme val="minor"/>
          </rPr>
          <t>Reg admission due-1000
	-MEED PUBLIC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3" authorId="0" shapeId="0" xr:uid="{00000000-0006-0000-0400-000001000000}">
      <text>
        <r>
          <rPr>
            <sz val="10"/>
            <color rgb="FF000000"/>
            <rFont val="Arial"/>
            <scheme val="minor"/>
          </rPr>
          <t>reg-1000due
	-MEED PUBLIC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7" authorId="0" shapeId="0" xr:uid="{00000000-0006-0000-0500-000002000000}">
      <text>
        <r>
          <rPr>
            <sz val="10"/>
            <color rgb="FF000000"/>
            <rFont val="Arial"/>
            <scheme val="minor"/>
          </rPr>
          <t>Reg admission fee due-1000
	-MEED PUBLIC</t>
        </r>
      </text>
    </comment>
    <comment ref="F28" authorId="0" shapeId="0" xr:uid="{00000000-0006-0000-0500-000001000000}">
      <text>
        <r>
          <rPr>
            <sz val="10"/>
            <color rgb="FF000000"/>
            <rFont val="Arial"/>
            <scheme val="minor"/>
          </rPr>
          <t>Reg admission fee due-1000
	-MEED PUBLIC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9" authorId="0" shapeId="0" xr:uid="{00000000-0006-0000-0700-000001000000}">
      <text>
        <r>
          <rPr>
            <sz val="10"/>
            <color rgb="FF000000"/>
            <rFont val="Arial"/>
            <scheme val="minor"/>
          </rPr>
          <t>Reg admission due-1000
	-MEED PUBLIC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2" authorId="0" shapeId="0" xr:uid="{00000000-0006-0000-0A00-000001000000}">
      <text>
        <r>
          <rPr>
            <sz val="10"/>
            <color rgb="FF000000"/>
            <rFont val="Arial"/>
            <scheme val="minor"/>
          </rPr>
          <t>REG ADMISSION FEE-1000 DUE
	-MEED PUBLIC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8" authorId="0" shapeId="0" xr:uid="{00000000-0006-0000-0B00-000001000000}">
      <text>
        <r>
          <rPr>
            <sz val="10"/>
            <color rgb="FF000000"/>
            <rFont val="Arial"/>
            <scheme val="minor"/>
          </rPr>
          <t>reg-1000due
	-MEED PUBLIC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C00-000002000000}">
      <text>
        <r>
          <rPr>
            <sz val="10"/>
            <color rgb="FF000000"/>
            <rFont val="Arial"/>
            <scheme val="minor"/>
          </rPr>
          <t>REG ADMISSION FEE-1000 DUE
	-MEED PUBLIC</t>
        </r>
      </text>
    </comment>
    <comment ref="F12" authorId="0" shapeId="0" xr:uid="{00000000-0006-0000-0C00-000001000000}">
      <text>
        <r>
          <rPr>
            <sz val="10"/>
            <color rgb="FF000000"/>
            <rFont val="Arial"/>
            <scheme val="minor"/>
          </rPr>
          <t>REG ADMISSION FEE-1000 DUE
	-MEED PUBLIC</t>
        </r>
      </text>
    </comment>
  </commentList>
</comments>
</file>

<file path=xl/sharedStrings.xml><?xml version="1.0" encoding="utf-8"?>
<sst xmlns="http://schemas.openxmlformats.org/spreadsheetml/2006/main" count="1899" uniqueCount="608">
  <si>
    <t>Admission No.</t>
  </si>
  <si>
    <t>Admission_date</t>
  </si>
  <si>
    <t>Admission_Type</t>
  </si>
  <si>
    <t>Student_Name</t>
  </si>
  <si>
    <t>Father's_name</t>
  </si>
  <si>
    <t>Mother's_Name</t>
  </si>
  <si>
    <t>D.O.B</t>
  </si>
  <si>
    <t xml:space="preserve">Class </t>
  </si>
  <si>
    <t>Aadhar_No.</t>
  </si>
  <si>
    <t>Calling_No.</t>
  </si>
  <si>
    <t>Whatsapp_No.</t>
  </si>
  <si>
    <t>Address</t>
  </si>
  <si>
    <t>Blood Group</t>
  </si>
  <si>
    <t>Gender</t>
  </si>
  <si>
    <t>Status</t>
  </si>
  <si>
    <t>Hosteller</t>
  </si>
  <si>
    <t>REHAN SEKH</t>
  </si>
  <si>
    <t>AZMAL SEKH</t>
  </si>
  <si>
    <t>HENA BIBI</t>
  </si>
  <si>
    <t>IV</t>
  </si>
  <si>
    <t>RAHASPUR ,PAKUR</t>
  </si>
  <si>
    <t>Male</t>
  </si>
  <si>
    <t>Day Scholar</t>
  </si>
  <si>
    <t>TAMIM HASAN</t>
  </si>
  <si>
    <t>SAIFUL SEKH</t>
  </si>
  <si>
    <t>TANISHA NAJ</t>
  </si>
  <si>
    <t>MD JARRAR HUSSAIN</t>
  </si>
  <si>
    <t>KAYEMA BIBI</t>
  </si>
  <si>
    <t>I</t>
  </si>
  <si>
    <t>DARIYA PUR ,GUMANI</t>
  </si>
  <si>
    <t>Female</t>
  </si>
  <si>
    <t>SAHIL SHEKH</t>
  </si>
  <si>
    <t>KHALEK SEKH</t>
  </si>
  <si>
    <t>NAJIFA BIBI</t>
  </si>
  <si>
    <t>PAKUR</t>
  </si>
  <si>
    <t>ARHAAN HAQUE</t>
  </si>
  <si>
    <t>IZAJUL HAQUE</t>
  </si>
  <si>
    <t>MD ESHARUL HAQUE</t>
  </si>
  <si>
    <t>MD MOHAJERUL HAQUE</t>
  </si>
  <si>
    <t>SAYERA BIBI</t>
  </si>
  <si>
    <t>V</t>
  </si>
  <si>
    <t>ANDHARKOTA</t>
  </si>
  <si>
    <t>PARWEJ ISLAM</t>
  </si>
  <si>
    <t>RAFIKUL ISLAM</t>
  </si>
  <si>
    <t>RABINA BIBI</t>
  </si>
  <si>
    <t>HIRANPUR (pakur)</t>
  </si>
  <si>
    <t>MD ADIL ANSARI</t>
  </si>
  <si>
    <t>MD ATAUR RAHMAN ANSARI</t>
  </si>
  <si>
    <t>LALMATIYA ,GODDA</t>
  </si>
  <si>
    <t>NAGMA  TABASSUM</t>
  </si>
  <si>
    <t>MOJIBUR RAHMAN</t>
  </si>
  <si>
    <t>VII</t>
  </si>
  <si>
    <t>AGLOI</t>
  </si>
  <si>
    <t>REHAN ALAM</t>
  </si>
  <si>
    <t>RABIUL ISLAM</t>
  </si>
  <si>
    <t>JOLENUR BIBI</t>
  </si>
  <si>
    <t>ABDUL QABEZ</t>
  </si>
  <si>
    <t>ABDUL QAHAR</t>
  </si>
  <si>
    <t>FATEMA ROZI</t>
  </si>
  <si>
    <t>MD UMED ALI ANSARI</t>
  </si>
  <si>
    <t>JAHEDA NAAJ</t>
  </si>
  <si>
    <t>BARHET</t>
  </si>
  <si>
    <t>RASHID JAMAL</t>
  </si>
  <si>
    <t>IMTEYAZ AHMAD</t>
  </si>
  <si>
    <t>SAHEBA KHATOON</t>
  </si>
  <si>
    <t>UKG</t>
  </si>
  <si>
    <t>CHHOTA  GANGTI</t>
  </si>
  <si>
    <t>MD KAISAR PARWEZ</t>
  </si>
  <si>
    <t>WASI AHAMAD</t>
  </si>
  <si>
    <t>MD.MUKHTAR ANSARI</t>
  </si>
  <si>
    <t>ZULEKHA KHATOON</t>
  </si>
  <si>
    <t>HARINKOL(GODDA)</t>
  </si>
  <si>
    <t>AYAAN AKHTAR</t>
  </si>
  <si>
    <t>NASIM AKTAR</t>
  </si>
  <si>
    <t>TARANNUM RUBY</t>
  </si>
  <si>
    <t>PANCH KATIYA,BARHET</t>
  </si>
  <si>
    <t>MERAJ RABBANI</t>
  </si>
  <si>
    <t>EKRAMUL HOQUE</t>
  </si>
  <si>
    <t>BEGUM SAJEEDA HOQUE</t>
  </si>
  <si>
    <t>DARIYAPUR</t>
  </si>
  <si>
    <t>MD ASIM</t>
  </si>
  <si>
    <t>SAYEEDUR RAHMAN</t>
  </si>
  <si>
    <t>NAVERA RAHMAN</t>
  </si>
  <si>
    <t>III</t>
  </si>
  <si>
    <t>SIRAJ AHMAD</t>
  </si>
  <si>
    <t>KHUSHIRUDDIN SHEKH</t>
  </si>
  <si>
    <t>SAGRAMPUR,PAKUR</t>
  </si>
  <si>
    <t>NUSRAT KHATUN</t>
  </si>
  <si>
    <t>KALAM ANSARI</t>
  </si>
  <si>
    <t>SHAHBAJ ANSARI</t>
  </si>
  <si>
    <t xml:space="preserve">MD SAFID </t>
  </si>
  <si>
    <t>MD SAMSUL HAQUE</t>
  </si>
  <si>
    <t>MD.SAZID ANSARI</t>
  </si>
  <si>
    <t>MD.SAMSUL HOQUE ANSARI</t>
  </si>
  <si>
    <t>JAIRUN NISHA</t>
  </si>
  <si>
    <t>AZIZA ASLAMI</t>
  </si>
  <si>
    <t>ABDUL HAKIM</t>
  </si>
  <si>
    <t>ESMIRA KHATUN</t>
  </si>
  <si>
    <t>ABDULLAPUR</t>
  </si>
  <si>
    <t>AHRAR AHMAD</t>
  </si>
  <si>
    <t>LKG</t>
  </si>
  <si>
    <t>NASIB ALAM</t>
  </si>
  <si>
    <t>SABBIR ALAM</t>
  </si>
  <si>
    <t>ASNARA KHATUN</t>
  </si>
  <si>
    <t>II</t>
  </si>
  <si>
    <t>SHRIKUND</t>
  </si>
  <si>
    <t>RUKSAR TABASSUM</t>
  </si>
  <si>
    <t>BADRUL ISLAM</t>
  </si>
  <si>
    <t>MUMTAJ BIBI</t>
  </si>
  <si>
    <t xml:space="preserve">PURNA PALASBANA </t>
  </si>
  <si>
    <t>FAHIM SEKH</t>
  </si>
  <si>
    <t>KHABIR SEKH</t>
  </si>
  <si>
    <t>ASFAK ALAM</t>
  </si>
  <si>
    <t>SARIFUL HOQUE</t>
  </si>
  <si>
    <t>MD REHAN</t>
  </si>
  <si>
    <t>NASIUR RAHMAN</t>
  </si>
  <si>
    <t>MALIK ASARI</t>
  </si>
  <si>
    <t>MD.AMIR HAMJA</t>
  </si>
  <si>
    <t>RUKSANA BIBI</t>
  </si>
  <si>
    <t>BARHAIT</t>
  </si>
  <si>
    <t>IMRAN ANSARI</t>
  </si>
  <si>
    <t>AMIR HAMZA ANSARI</t>
  </si>
  <si>
    <t>ARMAN IKBAL</t>
  </si>
  <si>
    <t>ANWAR ALAM</t>
  </si>
  <si>
    <t>SAKIB ANSARI</t>
  </si>
  <si>
    <t>ABDUL GAFFAR ANSARI</t>
  </si>
  <si>
    <t>HASINA KHATUN</t>
  </si>
  <si>
    <t>BASDIHA</t>
  </si>
  <si>
    <t>ADIL JAMIL</t>
  </si>
  <si>
    <t>MD.SAGIRUZZAMAN</t>
  </si>
  <si>
    <t>SHIRI SARMIN</t>
  </si>
  <si>
    <t>ABDULLAHPUR</t>
  </si>
  <si>
    <t>TOUHID ALAM</t>
  </si>
  <si>
    <t>TOFAIL ISLAM</t>
  </si>
  <si>
    <t>RAHMATPUR</t>
  </si>
  <si>
    <t>SHAH JISAN</t>
  </si>
  <si>
    <t>RAFIK ALAM</t>
  </si>
  <si>
    <t xml:space="preserve">ZAKE AHMAD MOMIN </t>
  </si>
  <si>
    <t>ANISUR RAHMAN MOMIN</t>
  </si>
  <si>
    <t>SHAMIMA KHATUN</t>
  </si>
  <si>
    <t>NAJIJA PARWEEN</t>
  </si>
  <si>
    <t>HAJIKUL ALAM</t>
  </si>
  <si>
    <t>SHRIKUND (GUMANI)</t>
  </si>
  <si>
    <t>NIMAT PARVEEN</t>
  </si>
  <si>
    <t>WAJIHA ABDULLAH</t>
  </si>
  <si>
    <t>FARUK ABDULLAH</t>
  </si>
  <si>
    <t>HARIHARA</t>
  </si>
  <si>
    <t xml:space="preserve">MAHDIYA SULTANA </t>
  </si>
  <si>
    <t>FAHIM AKHTAR</t>
  </si>
  <si>
    <t>KANKJOL</t>
  </si>
  <si>
    <t>SADIYA PARVIN</t>
  </si>
  <si>
    <t>SALAUDDIN SEKH</t>
  </si>
  <si>
    <t>ISRAT KHATUN</t>
  </si>
  <si>
    <t>USMAN SHEKH</t>
  </si>
  <si>
    <t>MOMTAJ BIBI</t>
  </si>
  <si>
    <t>PURANA PALASBONA</t>
  </si>
  <si>
    <t>MOHAMMAD AFTAN</t>
  </si>
  <si>
    <t>ABDUL JABBAR</t>
  </si>
  <si>
    <t>MABIYA BIBI</t>
  </si>
  <si>
    <t>PALASBONA,GUMANI</t>
  </si>
  <si>
    <t>ATIFA NAAZ</t>
  </si>
  <si>
    <t>TARIQUE ANWAR</t>
  </si>
  <si>
    <t>KHALEDA KHATUN</t>
  </si>
  <si>
    <t>KANKJOL,GUMANI</t>
  </si>
  <si>
    <t>EHAN ISLAM</t>
  </si>
  <si>
    <t>ANIKUL ISLAM</t>
  </si>
  <si>
    <t>MAHFUJA KHATUN</t>
  </si>
  <si>
    <t>SAHIDA PARWEEN</t>
  </si>
  <si>
    <t>JAMIRUL ISLAM</t>
  </si>
  <si>
    <t>FAIYAZ ALAM</t>
  </si>
  <si>
    <t>MD AKMAL HUSSAIN</t>
  </si>
  <si>
    <t>MD ASLAM</t>
  </si>
  <si>
    <t>MD BASHARAT</t>
  </si>
  <si>
    <t>SAMINA KHATOON</t>
  </si>
  <si>
    <t>BARMASIA (BARHAIT)</t>
  </si>
  <si>
    <t>MD AKRAM</t>
  </si>
  <si>
    <t>MIFTAHUL ISLAM</t>
  </si>
  <si>
    <t xml:space="preserve">MD ALAUDDIN </t>
  </si>
  <si>
    <t>NAZMUN NESA</t>
  </si>
  <si>
    <t>PURLIA DANGA</t>
  </si>
  <si>
    <t>ROSHHAK ANSARI</t>
  </si>
  <si>
    <t>ISRAIL ANSARI</t>
  </si>
  <si>
    <t>RESMA BIBI</t>
  </si>
  <si>
    <t>KAMALGHATI   (HIRANPUR)</t>
  </si>
  <si>
    <t>MD JAMALUDDIN ANSARI</t>
  </si>
  <si>
    <t>MD ISRAIL ANSARI</t>
  </si>
  <si>
    <t>MD KAMALUDDIN ANSARI</t>
  </si>
  <si>
    <t>NAFISH IKBAL</t>
  </si>
  <si>
    <t>AKMAL HUSSAIN</t>
  </si>
  <si>
    <t>SHABNAM TABASSUM</t>
  </si>
  <si>
    <t>GAGANPAHARI (PAKUR)</t>
  </si>
  <si>
    <t>FARIK ALAM</t>
  </si>
  <si>
    <t>SEKH SAIYAD ALI</t>
  </si>
  <si>
    <t>ATIF SAMSH</t>
  </si>
  <si>
    <t>ABDUR RAHMAN</t>
  </si>
  <si>
    <t>MD RAYEES</t>
  </si>
  <si>
    <t>LALMATIYA</t>
  </si>
  <si>
    <t>ABDUR RAIJAK</t>
  </si>
  <si>
    <t>VI</t>
  </si>
  <si>
    <t>SARTAJ AJIJ</t>
  </si>
  <si>
    <t>MD IMDAD</t>
  </si>
  <si>
    <t>IMRAUL HASAN</t>
  </si>
  <si>
    <t>MD RELIM SEKH</t>
  </si>
  <si>
    <t>FAHIM AHMAD</t>
  </si>
  <si>
    <t>FEKARUL ISLAM</t>
  </si>
  <si>
    <t xml:space="preserve">ABDUR RAKIB </t>
  </si>
  <si>
    <t>ZAMIL AKHTAR</t>
  </si>
  <si>
    <t>SAKIB AL HASAN</t>
  </si>
  <si>
    <t>YASIR AHMAD</t>
  </si>
  <si>
    <t>YUNUS SEKH</t>
  </si>
  <si>
    <t>VIII</t>
  </si>
  <si>
    <t>SATTAR ANSARI</t>
  </si>
  <si>
    <t>ABDUL BARIK ANSARI</t>
  </si>
  <si>
    <t>SARIFAN BIBI</t>
  </si>
  <si>
    <t>DUMARIA</t>
  </si>
  <si>
    <t>MD TAUFIQUE ANSARI</t>
  </si>
  <si>
    <t>MD RAFIQUE ANSARI</t>
  </si>
  <si>
    <t>ISTARA KHATUN</t>
  </si>
  <si>
    <t>KHERWA ,BARHET</t>
  </si>
  <si>
    <t>NAISA PERWIN</t>
  </si>
  <si>
    <t>KHERWA, BERHAIT</t>
  </si>
  <si>
    <t>MD ADIL AZHAR</t>
  </si>
  <si>
    <t>MD ZIAUL HAQUE</t>
  </si>
  <si>
    <t>SIRINA PARWIN</t>
  </si>
  <si>
    <t>SANMANI (BARHET)</t>
  </si>
  <si>
    <t>DANISH ANSARI</t>
  </si>
  <si>
    <t>ABDUL HAMID ANSARI</t>
  </si>
  <si>
    <t>KOYEL AKHTAR</t>
  </si>
  <si>
    <t>AKHTARUL ISLAM</t>
  </si>
  <si>
    <t>MHAJURA BIBI</t>
  </si>
  <si>
    <t>MD JAYED AKHTAT</t>
  </si>
  <si>
    <t>FEKARUL SHEKH</t>
  </si>
  <si>
    <t>ROKIYARA BIBI</t>
  </si>
  <si>
    <t>JAYKISHTOPUR (PAKUR)</t>
  </si>
  <si>
    <t>MOHAMMAD AYAAN ANSARI</t>
  </si>
  <si>
    <t>MOHAMMAD JIYAUL ANSARI</t>
  </si>
  <si>
    <t>NAJNIN SULTANA</t>
  </si>
  <si>
    <t>MOHAMMAD FARHAN ANSARI</t>
  </si>
  <si>
    <t>MOHAMMAD REHAN ANSARI</t>
  </si>
  <si>
    <t>SAHEBEJ HASAN</t>
  </si>
  <si>
    <t>HAVIBUR RAHAMAN</t>
  </si>
  <si>
    <t>VILL-KANKJOL,KOTALPOKHAR,SAHIBGANJ</t>
  </si>
  <si>
    <t>DARAKSHA PARVIN</t>
  </si>
  <si>
    <t>TASKIL AHMAD</t>
  </si>
  <si>
    <t>NILUFAR YASMIN</t>
  </si>
  <si>
    <t>NUR</t>
  </si>
  <si>
    <t>MD MUSTAKIM</t>
  </si>
  <si>
    <t>MD AKHTAR ALAM</t>
  </si>
  <si>
    <t>KHAIRUN NISHA</t>
  </si>
  <si>
    <t>RAMPUR</t>
  </si>
  <si>
    <t>MD SAHID</t>
  </si>
  <si>
    <t>MD AZAD ALI</t>
  </si>
  <si>
    <t>FARIDA KHATOON</t>
  </si>
  <si>
    <t>LALBATHANI</t>
  </si>
  <si>
    <t>MD MODDASSHIR</t>
  </si>
  <si>
    <t>MD MOJAMMEL HAQUE</t>
  </si>
  <si>
    <t>SHANAJ PARWEEN</t>
  </si>
  <si>
    <t>ASIF AHMAD</t>
  </si>
  <si>
    <t>MD MUKHTAR ANSARI</t>
  </si>
  <si>
    <t>JULEKHA KATON</t>
  </si>
  <si>
    <t>HARINKOL (godda)</t>
  </si>
  <si>
    <t>HASAN</t>
  </si>
  <si>
    <t>HASHRUDDIN</t>
  </si>
  <si>
    <t>HAMIDA</t>
  </si>
  <si>
    <t>ILAMI (PAKUR)</t>
  </si>
  <si>
    <t>ESMA NAAJ</t>
  </si>
  <si>
    <t>PURANA PLASBONA</t>
  </si>
  <si>
    <t>MD ANAS</t>
  </si>
  <si>
    <t>MOTIUR RAHMAN</t>
  </si>
  <si>
    <t>TABASSUM KHATOON</t>
  </si>
  <si>
    <t>TALEDIH (dokadih)</t>
  </si>
  <si>
    <t>MUSHARRAF ANSARI</t>
  </si>
  <si>
    <t>RAMJAN ANSARI</t>
  </si>
  <si>
    <t>FAIJUN BIBI</t>
  </si>
  <si>
    <t>BIRAJPUR  (HIRANPUR)</t>
  </si>
  <si>
    <t>JAMELA KHATUN</t>
  </si>
  <si>
    <t>ASHARAF ANSARI</t>
  </si>
  <si>
    <t>IMAMUDIN ANSARI</t>
  </si>
  <si>
    <t>NASIMA BIBI</t>
  </si>
  <si>
    <t>NADIM SARFARAZ</t>
  </si>
  <si>
    <t>SAHDAT ANSARI</t>
  </si>
  <si>
    <t>SALEHA KHATOON</t>
  </si>
  <si>
    <t>TETARIA MAL (GODDA)</t>
  </si>
  <si>
    <t>AADIL ANSARI</t>
  </si>
  <si>
    <t>MD MEARAJ ANSARI</t>
  </si>
  <si>
    <t>HAJRA KHATUN</t>
  </si>
  <si>
    <t>BARHAIT SANTHALI</t>
  </si>
  <si>
    <t>SABA KARIM</t>
  </si>
  <si>
    <t>MD ASHTAK</t>
  </si>
  <si>
    <t>SAIYDA BIBI</t>
  </si>
  <si>
    <t>SOHEL SEKH</t>
  </si>
  <si>
    <t>NAUSAD SEKH</t>
  </si>
  <si>
    <t>SAHANAWAJ HUSSAIN</t>
  </si>
  <si>
    <t>RAJIBUL ISLAM</t>
  </si>
  <si>
    <t>SAHANAJPARVIN</t>
  </si>
  <si>
    <t>KANKARBONA (PAKUR)</t>
  </si>
  <si>
    <t>MD SARTAJ ANSARI</t>
  </si>
  <si>
    <t>TOFIK ANSARI</t>
  </si>
  <si>
    <t>SEDUN NISHA ANSARI</t>
  </si>
  <si>
    <t>MD SAMIM ANSARI</t>
  </si>
  <si>
    <t xml:space="preserve">AHAD ANSARI </t>
  </si>
  <si>
    <t>TAIMUR ANSARI</t>
  </si>
  <si>
    <t>DIL AFROSE KHATUN</t>
  </si>
  <si>
    <t>SRIKUND</t>
  </si>
  <si>
    <t>TAUKIR ALAM</t>
  </si>
  <si>
    <t>MD MAHBOOB ALAM</t>
  </si>
  <si>
    <t>NIGAR SULTANA</t>
  </si>
  <si>
    <t>NAKSHIMAL (BARHARWA)</t>
  </si>
  <si>
    <t>FAISHAL ALAM</t>
  </si>
  <si>
    <t>MD MEHBOOB ALAM</t>
  </si>
  <si>
    <t>NURSABA KHATUN</t>
  </si>
  <si>
    <t>AZMATUN NESA</t>
  </si>
  <si>
    <t>KANHAIDANGA</t>
  </si>
  <si>
    <t>left</t>
  </si>
  <si>
    <t>SAMIM ANSARI</t>
  </si>
  <si>
    <t>SHIS MD ANSARI</t>
  </si>
  <si>
    <t>HAJERA BIBI</t>
  </si>
  <si>
    <t>BARAMASIYA</t>
  </si>
  <si>
    <t>MD JUBAYER</t>
  </si>
  <si>
    <t>S.K MOSTAKIM</t>
  </si>
  <si>
    <t>JULIYA KHATUN</t>
  </si>
  <si>
    <t>ABYAZ ALAM</t>
  </si>
  <si>
    <t>MD MULEUDDIN</t>
  </si>
  <si>
    <t>SIMA KHATUN</t>
  </si>
  <si>
    <t>NAYA PALASBONA</t>
  </si>
  <si>
    <t>SAFIK ANSARI</t>
  </si>
  <si>
    <t>NUR HUSEN</t>
  </si>
  <si>
    <t>NURUN KHATUN</t>
  </si>
  <si>
    <t>MANJHLADIH</t>
  </si>
  <si>
    <t>TAWHID ALAM</t>
  </si>
  <si>
    <t>ALAMGIR ALAM</t>
  </si>
  <si>
    <t>LALMATI</t>
  </si>
  <si>
    <t>IMRANA HASAN</t>
  </si>
  <si>
    <t>MD RELIM SHEKH</t>
  </si>
  <si>
    <t>SRIKANTPARA ( HARIHARA)</t>
  </si>
  <si>
    <t>AKMAL ANSARI</t>
  </si>
  <si>
    <t>MOMINTOLA ( LAKHIPUR)</t>
  </si>
  <si>
    <t>MAHBUB ANSARI</t>
  </si>
  <si>
    <t>TOFIK  ANSARI</t>
  </si>
  <si>
    <t>FORIDA  BIBI</t>
  </si>
  <si>
    <t>DOMORIYA</t>
  </si>
  <si>
    <t xml:space="preserve">ARBAJ ANSARI </t>
  </si>
  <si>
    <t>TABARAK ANSARI</t>
  </si>
  <si>
    <t xml:space="preserve">SHAHBAJ ANSARI </t>
  </si>
  <si>
    <t>SAAD GANI</t>
  </si>
  <si>
    <t>ABDUL GANI</t>
  </si>
  <si>
    <t>LUTFA BIBI</t>
  </si>
  <si>
    <t>SOHIL ANWAR</t>
  </si>
  <si>
    <t>KAUSAR SHAIKH</t>
  </si>
  <si>
    <t>RAHASPUR</t>
  </si>
  <si>
    <t>MD ATIF SAHAL</t>
  </si>
  <si>
    <t>MD AMJAAD ANSARI</t>
  </si>
  <si>
    <t>NAGHMA BIBI</t>
  </si>
  <si>
    <t>10-Apr--2015</t>
  </si>
  <si>
    <t>MD HUSEL NABIL</t>
  </si>
  <si>
    <t>MD AMJAD ANSARI</t>
  </si>
  <si>
    <t>MD ARIF ANSARI</t>
  </si>
  <si>
    <t>MD HUSSAIN</t>
  </si>
  <si>
    <t>BARTALLA</t>
  </si>
  <si>
    <t>MD DILNAWAZ ANSARI</t>
  </si>
  <si>
    <t>MD DILDAR ANSARI</t>
  </si>
  <si>
    <t>REHANA BIBI</t>
  </si>
  <si>
    <t>LALMATIA</t>
  </si>
  <si>
    <t>MD NASHIR ANSARI</t>
  </si>
  <si>
    <t>REHANA KHATUN</t>
  </si>
  <si>
    <t>SAKIR ANSARI</t>
  </si>
  <si>
    <t>BAHARUDDIN ANSARI</t>
  </si>
  <si>
    <t>RUKSANA KHATUN</t>
  </si>
  <si>
    <t>TALEDIH</t>
  </si>
  <si>
    <t>SAJID AKHTAR</t>
  </si>
  <si>
    <t>MD ZIYAUR RAHMAN</t>
  </si>
  <si>
    <t xml:space="preserve">ASMATARA </t>
  </si>
  <si>
    <t>BASNA</t>
  </si>
  <si>
    <t>WAHIDA KHATUN</t>
  </si>
  <si>
    <t>SEBI BIBI</t>
  </si>
  <si>
    <t xml:space="preserve">MD FAHIM  </t>
  </si>
  <si>
    <t>ABDUL HAMID  ANSARI</t>
  </si>
  <si>
    <t>SALMA BIBI</t>
  </si>
  <si>
    <t>WASIM AKTAR</t>
  </si>
  <si>
    <t>SAFIK ALAM</t>
  </si>
  <si>
    <t>RIFFAT PARWEEN</t>
  </si>
  <si>
    <t>MUNIRUZZAMAN</t>
  </si>
  <si>
    <t>SARFARAJ ALAM</t>
  </si>
  <si>
    <t>MD IDRISH</t>
  </si>
  <si>
    <t>ABDUL BASIT ANSARI</t>
  </si>
  <si>
    <t>ABDUL KARIM ANSARI</t>
  </si>
  <si>
    <t>SHAHERA KHATUN</t>
  </si>
  <si>
    <t>GORAKHPUR</t>
  </si>
  <si>
    <t>SAHBAJ ANSARI</t>
  </si>
  <si>
    <t>MOHIBUL ANSARI</t>
  </si>
  <si>
    <t>EJAJUL HAQUE</t>
  </si>
  <si>
    <t>SAIDUR SEKH</t>
  </si>
  <si>
    <t>FAUZAN ALAM</t>
  </si>
  <si>
    <t xml:space="preserve">ABDUL KHABIR </t>
  </si>
  <si>
    <t>AMRIN NISHA</t>
  </si>
  <si>
    <t xml:space="preserve"> FIROJ ALAM</t>
  </si>
  <si>
    <t>Free</t>
  </si>
  <si>
    <t>FARHAN AKTAR</t>
  </si>
  <si>
    <t>MD AFJAL</t>
  </si>
  <si>
    <t>MD AKRAM ANSARI</t>
  </si>
  <si>
    <t>SALMA BEGAM</t>
  </si>
  <si>
    <t>BISHANPUR,,SAHIBGANJ</t>
  </si>
  <si>
    <t>SUPAYAN ANSARI</t>
  </si>
  <si>
    <t>MARJIYA PARVEEN</t>
  </si>
  <si>
    <t>RAFIKUL ISLAM,</t>
  </si>
  <si>
    <t>TARIKUL ISLAM</t>
  </si>
  <si>
    <t>MD.SHOEB ANSARI</t>
  </si>
  <si>
    <t>MD MOINUL HOQUE</t>
  </si>
  <si>
    <t>RUKSHANA KHATUN</t>
  </si>
  <si>
    <t>TALADIH, MANDRU PS- MIRACHOKI</t>
  </si>
  <si>
    <t>ASFAQ ALAM</t>
  </si>
  <si>
    <t>SAMIMA BIBI</t>
  </si>
  <si>
    <t>KUSHMI LAKHIPUR</t>
  </si>
  <si>
    <t>ADEEB IMTIYAZ</t>
  </si>
  <si>
    <t>IMTIYAZ ALAM</t>
  </si>
  <si>
    <t>JASMINA KHATUN</t>
  </si>
  <si>
    <t>MIRAJ ANSARI</t>
  </si>
  <si>
    <t>IMAM ANSARI</t>
  </si>
  <si>
    <t>NAJMA BIBI</t>
  </si>
  <si>
    <t>SHIMRA  (BARHAIT)</t>
  </si>
  <si>
    <t>SHAIKH FIRDOUS ALAM</t>
  </si>
  <si>
    <t>MD FIROZ</t>
  </si>
  <si>
    <t>ARSHAD HAQUE</t>
  </si>
  <si>
    <t>MANJARUL HAQUE</t>
  </si>
  <si>
    <t>TUHINA BIBI</t>
  </si>
  <si>
    <t>MUNTASIR HAQUE</t>
  </si>
  <si>
    <t>ANDHARKOTHA</t>
  </si>
  <si>
    <t>MD ALTAMAS FAIQ</t>
  </si>
  <si>
    <t>ZAHIDA NAAZ</t>
  </si>
  <si>
    <t>BARHAIT (SANTHALI)</t>
  </si>
  <si>
    <t>SAHA ALAM</t>
  </si>
  <si>
    <t>MD SAMIR SHEKH</t>
  </si>
  <si>
    <t>ARMANI BIBI</t>
  </si>
  <si>
    <t>PURANA PALABONA</t>
  </si>
  <si>
    <t>MD ALTAMAS</t>
  </si>
  <si>
    <t>MURSHID KHAN</t>
  </si>
  <si>
    <t>GAZALA PERWREN</t>
  </si>
  <si>
    <t xml:space="preserve">SAHEBGUNJ </t>
  </si>
  <si>
    <t>FARHAD HUSSAIN</t>
  </si>
  <si>
    <t>SAYEEDA SULTANA</t>
  </si>
  <si>
    <t>MD FARHAD HUSSAIN</t>
  </si>
  <si>
    <t>NAYLA KHATUN</t>
  </si>
  <si>
    <t>HAMIDA BIBI</t>
  </si>
  <si>
    <t>ILAMI</t>
  </si>
  <si>
    <t>RUHUL SHEKH</t>
  </si>
  <si>
    <t>ASLEMA BIBI</t>
  </si>
  <si>
    <t>BONGANW (DAHUTOLA)</t>
  </si>
  <si>
    <t>TUHINA KHATUN</t>
  </si>
  <si>
    <t>12-DEC--2015</t>
  </si>
  <si>
    <t>BONGAN (DHAHUTOLA)</t>
  </si>
  <si>
    <t>HABIBUR  BASAR</t>
  </si>
  <si>
    <t>MUNSUR SHEKH</t>
  </si>
  <si>
    <t>JOSNARF BIBI</t>
  </si>
  <si>
    <t>DAHU TOLA</t>
  </si>
  <si>
    <t>NASHRIN KHATUN</t>
  </si>
  <si>
    <t>MD MANSUR SHEKH</t>
  </si>
  <si>
    <t>JOSNARA BIBI</t>
  </si>
  <si>
    <t>DAHUTOLA  BONGAN</t>
  </si>
  <si>
    <t>RIJWAN HUSSAIN</t>
  </si>
  <si>
    <t>MD SADDAM HUSSAIN</t>
  </si>
  <si>
    <t>SULEKHA BIBI</t>
  </si>
  <si>
    <t>SHAHNAWAJ HUSSAIN</t>
  </si>
  <si>
    <t>NISAR AHMAD</t>
  </si>
  <si>
    <t xml:space="preserve">MD ITTEFAQUE </t>
  </si>
  <si>
    <t>RAUNAK ISLAM</t>
  </si>
  <si>
    <t>BELAL SEKH</t>
  </si>
  <si>
    <t>NIYAZ AHMAD</t>
  </si>
  <si>
    <t xml:space="preserve">MD SELIM </t>
  </si>
  <si>
    <t xml:space="preserve">ANDHARKOTHA </t>
  </si>
  <si>
    <t>ARHAM ASAD</t>
  </si>
  <si>
    <t>ASADULLAH</t>
  </si>
  <si>
    <t>RAHIMA KHATUN</t>
  </si>
  <si>
    <t>DOMPARA</t>
  </si>
  <si>
    <t>MD MUJAHIDUL ISLAM</t>
  </si>
  <si>
    <t>NASIM AHMAD</t>
  </si>
  <si>
    <t>MINHAZ ALAM</t>
  </si>
  <si>
    <t>ASFARUL SEKH</t>
  </si>
  <si>
    <t>EZMA JANNAT</t>
  </si>
  <si>
    <t>MD REJAUL HAQUE</t>
  </si>
  <si>
    <t>ASIYA PARVEEN</t>
  </si>
  <si>
    <t>RUKSABA BIBI</t>
  </si>
  <si>
    <t>BARA CHANDPUR</t>
  </si>
  <si>
    <t>JUNAID AKHTAR</t>
  </si>
  <si>
    <t>SHAMIM AKHTAR</t>
  </si>
  <si>
    <t>BADRI ALAM</t>
  </si>
  <si>
    <t>AKBAR SHEKH</t>
  </si>
  <si>
    <t>SAEERA BIBI</t>
  </si>
  <si>
    <t>KUMARPUR</t>
  </si>
  <si>
    <t>NAJMI ALAM</t>
  </si>
  <si>
    <t>APTARUL SHAIKH</t>
  </si>
  <si>
    <t>FOJIETUN NESHA</t>
  </si>
  <si>
    <t>KANKRBONA (PAKUR)</t>
  </si>
  <si>
    <t>AYAN RAHMAN</t>
  </si>
  <si>
    <t>OBAIDUR RAHMAN</t>
  </si>
  <si>
    <t>ESMOTARA KHATUN</t>
  </si>
  <si>
    <t>TAMIM IKBAL</t>
  </si>
  <si>
    <t>JAUHAR ALAM</t>
  </si>
  <si>
    <t>ATIK ALAM</t>
  </si>
  <si>
    <t>ATABUL SHAIKH</t>
  </si>
  <si>
    <t>SARIFA KHATUN</t>
  </si>
  <si>
    <t>DEVTALLA</t>
  </si>
  <si>
    <t>NAFISH ALAM</t>
  </si>
  <si>
    <t>SADIYA KHATUN</t>
  </si>
  <si>
    <t>FARJAN ALI</t>
  </si>
  <si>
    <t>ASAD GANI</t>
  </si>
  <si>
    <t>MEHNAZ AKHTAR</t>
  </si>
  <si>
    <t>SULTANA PARWEEN</t>
  </si>
  <si>
    <t>NAFISH AHMAD</t>
  </si>
  <si>
    <t>11-jun--2023</t>
  </si>
  <si>
    <t>SHAIKH AFRIDI</t>
  </si>
  <si>
    <t>SEKSADI SHAIKH</t>
  </si>
  <si>
    <t>WOJIHA BIBI</t>
  </si>
  <si>
    <t>LAKHINARAYAN PUR</t>
  </si>
  <si>
    <t>RAHNUMA KHATUN</t>
  </si>
  <si>
    <t xml:space="preserve">ABUL KASIM </t>
  </si>
  <si>
    <t>NIYAZ ALAM</t>
  </si>
  <si>
    <t>AFIF</t>
  </si>
  <si>
    <t>OBAIDULLAH</t>
  </si>
  <si>
    <t>JASMIN ARA</t>
  </si>
  <si>
    <t>NABEEL ANSARI</t>
  </si>
  <si>
    <t>ABDUR RAQUIB</t>
  </si>
  <si>
    <t>MASUDA KHATUN</t>
  </si>
  <si>
    <t>BARHAIT (KHERWA)</t>
  </si>
  <si>
    <t>IZHAAN ADEEB</t>
  </si>
  <si>
    <t>KAIFUL ISLAM</t>
  </si>
  <si>
    <t>HAJERA KHATUN</t>
  </si>
  <si>
    <t>CHANDPUR</t>
  </si>
  <si>
    <t>FARHAN HAIDER</t>
  </si>
  <si>
    <t>GULAM HAIDER MANSUNI</t>
  </si>
  <si>
    <t>ISRATUN NESA</t>
  </si>
  <si>
    <t xml:space="preserve">NAKSIMAL </t>
  </si>
  <si>
    <t>AHLIYA KHATUN</t>
  </si>
  <si>
    <t xml:space="preserve">ZAKIR HUSSAIN </t>
  </si>
  <si>
    <t>15fe</t>
  </si>
  <si>
    <t>MUSARAAF ANSARI</t>
  </si>
  <si>
    <t>MANIRUL ANSARI</t>
  </si>
  <si>
    <t>MAHJABIN BIBI</t>
  </si>
  <si>
    <t>MODIKOLA (RANGA)</t>
  </si>
  <si>
    <t>RAHNUMA TANJIR</t>
  </si>
  <si>
    <t>MD TANJIRUL SHAIKH</t>
  </si>
  <si>
    <t>FATEMA KHATUN</t>
  </si>
  <si>
    <t>MINSHA PARVEEN</t>
  </si>
  <si>
    <t>ASHRUDDIN ALAM</t>
  </si>
  <si>
    <t>RIJBANA BIBI</t>
  </si>
  <si>
    <t>BIJAYPUR (KOTALPOHKAR)</t>
  </si>
  <si>
    <t xml:space="preserve">  MPS/2022-23/184</t>
  </si>
  <si>
    <t>AKRAM ANSARI</t>
  </si>
  <si>
    <t>MORSALIM ANSARI</t>
  </si>
  <si>
    <t>Total Students</t>
  </si>
  <si>
    <t>Overall collection</t>
  </si>
  <si>
    <t>Monthly total fees collection</t>
  </si>
  <si>
    <t>Ledger_No.</t>
  </si>
  <si>
    <t>Father's name</t>
  </si>
  <si>
    <t>Van Fee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</si>
  <si>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</si>
  <si>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</si>
  <si>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</si>
  <si>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</si>
  <si>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</si>
  <si>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</si>
  <si>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</si>
  <si>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</si>
  <si>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</si>
  <si>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</si>
  <si>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</si>
  <si>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</si>
  <si>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</si>
  <si>
    <t>Overall Collection</t>
  </si>
  <si>
    <t>Phone No:</t>
  </si>
  <si>
    <t>Exam</t>
  </si>
  <si>
    <t>Exam Fee</t>
  </si>
  <si>
    <t>z</t>
  </si>
  <si>
    <t>free</t>
  </si>
  <si>
    <t xml:space="preserve">   </t>
  </si>
  <si>
    <t>s</t>
  </si>
  <si>
    <t>Eame</t>
  </si>
  <si>
    <t>ieft</t>
  </si>
  <si>
    <t>FREE</t>
  </si>
  <si>
    <t>Phone No :</t>
  </si>
  <si>
    <t>LEFT</t>
  </si>
  <si>
    <t>NIL</t>
  </si>
  <si>
    <t>Phone No</t>
  </si>
  <si>
    <t>Phone no:</t>
  </si>
  <si>
    <t>*</t>
  </si>
  <si>
    <t>k0</t>
  </si>
  <si>
    <t>EXAM</t>
  </si>
  <si>
    <t>MPS/2022-23/184</t>
  </si>
  <si>
    <t>MD MORSALIM ANSARI</t>
  </si>
  <si>
    <t>/</t>
  </si>
  <si>
    <t>Monthly Collection</t>
  </si>
  <si>
    <t>Class</t>
  </si>
  <si>
    <t>Total</t>
  </si>
  <si>
    <t>June</t>
  </si>
  <si>
    <t>July</t>
  </si>
  <si>
    <t>Nur</t>
  </si>
  <si>
    <t>Left</t>
  </si>
  <si>
    <t>Expect Monthly Collection</t>
  </si>
  <si>
    <t>HOSTELER NEW SESSION FEES INCULUDING ALL 2022-2023</t>
  </si>
  <si>
    <t>CLASS</t>
  </si>
  <si>
    <t>ADMISSION FEE</t>
  </si>
  <si>
    <t>MONTHLY FEES</t>
  </si>
  <si>
    <t>UNIFORM</t>
  </si>
  <si>
    <t>COPY</t>
  </si>
  <si>
    <t>BOOK</t>
  </si>
  <si>
    <t>TOTAL</t>
  </si>
  <si>
    <t>SCHOOL FEES</t>
  </si>
  <si>
    <t>HST DRESS</t>
  </si>
  <si>
    <t>DAY SCHOLAR NEW SESSION FEES INCULUDING ALL 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</si>
</sst>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MPS/2022-23/&quot;0"/>
    <numFmt numFmtId="165" formatCode="d&quot;-&quot;mmm&quot;-&quot;yyyy"/>
    <numFmt numFmtId="166" formatCode="dd&quot;-&quot;mmm&quot;-&quot;yyyy"/>
    <numFmt numFmtId="167" formatCode="mm/dd/yyyy"/>
    <numFmt numFmtId="168" formatCode="d\-mmm\-yyyy"/>
    <numFmt numFmtId="169" formatCode="dd\-mmm\-yyyy"/>
    <numFmt numFmtId="170" formatCode="d\-mmmm\-yyyy"/>
    <numFmt numFmtId="171" formatCode="mm\-dd\-yyyy"/>
  </numFmts>
  <fonts count="25" x14ac:knownFonts="1">
    <font>
      <sz val="10"/>
      <color rgb="FF000000"/>
      <name val="Arial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1155CC"/>
      <name val="Arial"/>
      <family val="2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38761D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color theme="7"/>
      <name val="Arial"/>
      <family val="2"/>
      <scheme val="minor"/>
    </font>
    <font>
      <sz val="11"/>
      <color rgb="FF000000"/>
      <name val="Inconsolata"/>
    </font>
    <font>
      <b/>
      <sz val="11"/>
      <color theme="7"/>
      <name val="Inconsolata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FE599"/>
        <bgColor rgb="FFFFE599"/>
      </patternFill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31849B"/>
        <bgColor rgb="FF31849B"/>
      </patternFill>
    </fill>
    <fill>
      <patternFill patternType="solid">
        <fgColor rgb="FF538ED5"/>
        <bgColor rgb="FF538ED5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2" borderId="0" xfId="0" applyFont="1" applyFill="1"/>
    <xf numFmtId="0" fontId="3" fillId="0" borderId="0" xfId="0" applyFont="1"/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0" fontId="4" fillId="0" borderId="0" xfId="0" applyFont="1" applyAlignment="1">
      <alignment horizontal="right"/>
    </xf>
    <xf numFmtId="164" fontId="5" fillId="0" borderId="0" xfId="0" applyNumberFormat="1" applyFont="1"/>
    <xf numFmtId="168" fontId="5" fillId="0" borderId="0" xfId="0" applyNumberFormat="1" applyFont="1"/>
    <xf numFmtId="0" fontId="5" fillId="0" borderId="0" xfId="0" applyFont="1"/>
    <xf numFmtId="166" fontId="5" fillId="0" borderId="0" xfId="0" applyNumberFormat="1" applyFont="1"/>
    <xf numFmtId="0" fontId="5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right"/>
    </xf>
    <xf numFmtId="165" fontId="2" fillId="0" borderId="0" xfId="0" applyNumberFormat="1" applyFont="1"/>
    <xf numFmtId="0" fontId="2" fillId="0" borderId="0" xfId="0" applyFont="1"/>
    <xf numFmtId="166" fontId="2" fillId="0" borderId="0" xfId="0" applyNumberFormat="1" applyFont="1"/>
    <xf numFmtId="0" fontId="2" fillId="0" borderId="0" xfId="0" applyFont="1" applyAlignment="1">
      <alignment horizontal="center" vertical="center"/>
    </xf>
    <xf numFmtId="165" fontId="5" fillId="0" borderId="0" xfId="0" applyNumberFormat="1" applyFont="1"/>
    <xf numFmtId="169" fontId="3" fillId="0" borderId="0" xfId="0" applyNumberFormat="1" applyFont="1" applyAlignment="1">
      <alignment horizontal="right"/>
    </xf>
    <xf numFmtId="168" fontId="2" fillId="0" borderId="0" xfId="0" applyNumberFormat="1" applyFont="1"/>
    <xf numFmtId="0" fontId="5" fillId="3" borderId="0" xfId="0" applyFont="1" applyFill="1"/>
    <xf numFmtId="164" fontId="5" fillId="3" borderId="0" xfId="0" applyNumberFormat="1" applyFont="1" applyFill="1"/>
    <xf numFmtId="166" fontId="5" fillId="3" borderId="0" xfId="0" applyNumberFormat="1" applyFont="1" applyFill="1"/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/>
    </xf>
    <xf numFmtId="164" fontId="6" fillId="0" borderId="0" xfId="0" applyNumberFormat="1" applyFont="1" applyAlignment="1">
      <alignment horizontal="right"/>
    </xf>
    <xf numFmtId="165" fontId="6" fillId="0" borderId="0" xfId="0" applyNumberFormat="1" applyFont="1"/>
    <xf numFmtId="0" fontId="6" fillId="2" borderId="0" xfId="0" applyFont="1" applyFill="1"/>
    <xf numFmtId="0" fontId="6" fillId="0" borderId="0" xfId="0" applyFont="1"/>
    <xf numFmtId="166" fontId="6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70" fontId="2" fillId="0" borderId="0" xfId="0" applyNumberFormat="1" applyFont="1"/>
    <xf numFmtId="0" fontId="8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9" fontId="2" fillId="0" borderId="0" xfId="0" applyNumberFormat="1" applyFont="1"/>
    <xf numFmtId="171" fontId="2" fillId="0" borderId="0" xfId="0" applyNumberFormat="1" applyFont="1"/>
    <xf numFmtId="165" fontId="9" fillId="0" borderId="0" xfId="0" applyNumberFormat="1" applyFont="1"/>
    <xf numFmtId="0" fontId="9" fillId="0" borderId="0" xfId="0" applyFont="1"/>
    <xf numFmtId="166" fontId="9" fillId="0" borderId="0" xfId="0" applyNumberFormat="1" applyFont="1"/>
    <xf numFmtId="164" fontId="2" fillId="0" borderId="0" xfId="0" applyNumberFormat="1" applyFont="1"/>
    <xf numFmtId="0" fontId="10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64" fontId="10" fillId="0" borderId="0" xfId="0" applyNumberFormat="1" applyFont="1" applyAlignment="1">
      <alignment horizontal="left" vertical="center"/>
    </xf>
    <xf numFmtId="0" fontId="2" fillId="7" borderId="0" xfId="0" applyFont="1" applyFill="1" applyAlignment="1">
      <alignment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64" fontId="10" fillId="9" borderId="0" xfId="0" applyNumberFormat="1" applyFont="1" applyFill="1" applyAlignment="1">
      <alignment horizontal="left" vertical="center"/>
    </xf>
    <xf numFmtId="0" fontId="2" fillId="9" borderId="0" xfId="0" applyFont="1" applyFill="1"/>
    <xf numFmtId="0" fontId="2" fillId="8" borderId="0" xfId="0" applyFont="1" applyFill="1"/>
    <xf numFmtId="0" fontId="16" fillId="0" borderId="0" xfId="0" applyFont="1" applyAlignment="1">
      <alignment horizontal="center" vertical="center"/>
    </xf>
    <xf numFmtId="0" fontId="2" fillId="7" borderId="0" xfId="0" applyFont="1" applyFill="1"/>
    <xf numFmtId="10" fontId="2" fillId="0" borderId="0" xfId="0" applyNumberFormat="1" applyFont="1" applyAlignment="1">
      <alignment horizontal="center" vertical="center"/>
    </xf>
    <xf numFmtId="0" fontId="10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10" fillId="0" borderId="6" xfId="0" applyFont="1" applyBorder="1"/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19" fillId="3" borderId="0" xfId="0" applyFont="1" applyFill="1"/>
    <xf numFmtId="0" fontId="22" fillId="11" borderId="11" xfId="0" applyFont="1" applyFill="1" applyBorder="1" applyAlignment="1">
      <alignment horizontal="center"/>
    </xf>
    <xf numFmtId="0" fontId="22" fillId="11" borderId="13" xfId="0" applyFont="1" applyFill="1" applyBorder="1" applyAlignment="1">
      <alignment horizontal="center"/>
    </xf>
    <xf numFmtId="0" fontId="23" fillId="0" borderId="11" xfId="0" applyFont="1" applyBorder="1"/>
    <xf numFmtId="0" fontId="7" fillId="0" borderId="13" xfId="0" applyFont="1" applyBorder="1" applyAlignment="1">
      <alignment horizontal="center"/>
    </xf>
    <xf numFmtId="0" fontId="7" fillId="12" borderId="13" xfId="0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7" fillId="7" borderId="1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0" fillId="0" borderId="0" xfId="0"/>
    <xf numFmtId="0" fontId="10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7" fillId="0" borderId="2" xfId="0" applyFont="1" applyBorder="1"/>
    <xf numFmtId="0" fontId="17" fillId="0" borderId="3" xfId="0" applyFont="1" applyBorder="1"/>
    <xf numFmtId="0" fontId="2" fillId="0" borderId="10" xfId="0" applyFont="1" applyBorder="1" applyAlignment="1">
      <alignment horizontal="center" vertical="center"/>
    </xf>
    <xf numFmtId="0" fontId="17" fillId="0" borderId="11" xfId="0" applyFont="1" applyBorder="1"/>
    <xf numFmtId="0" fontId="17" fillId="0" borderId="12" xfId="0" applyFont="1" applyBorder="1"/>
    <xf numFmtId="0" fontId="21" fillId="10" borderId="6" xfId="0" applyFont="1" applyFill="1" applyBorder="1" applyAlignment="1">
      <alignment horizontal="center"/>
    </xf>
    <xf numFmtId="0" fontId="17" fillId="0" borderId="7" xfId="0" applyFont="1" applyBorder="1"/>
    <xf numFmtId="0" fontId="17" fillId="0" borderId="8" xfId="0" applyFont="1" applyBorder="1"/>
    <xf numFmtId="0" fontId="22" fillId="11" borderId="12" xfId="0" applyFont="1" applyFill="1" applyBorder="1" applyAlignment="1">
      <alignment horizontal="center"/>
    </xf>
    <xf numFmtId="0" fontId="22" fillId="11" borderId="7" xfId="0" applyFont="1" applyFill="1" applyBorder="1" applyAlignment="1">
      <alignment horizontal="center"/>
    </xf>
  </cellXfs>
  <cellStyles count="1">
    <cellStyle name="Normal" xfId="0" builtinId="0"/>
  </cellStyles>
  <dxfs count="13"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b/>
        <color theme="0"/>
      </font>
      <fill>
        <patternFill patternType="solid">
          <fgColor rgb="FFA64D79"/>
          <bgColor rgb="FFA64D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98"/>
  <sheetViews>
    <sheetView tabSelected="1" workbookViewId="0">
      <pane ySplit="1" topLeftCell="A2" activePane="bottomLeft" state="frozen"/>
      <selection pane="bottomLeft" activeCell="R16" sqref="R16"/>
    </sheetView>
  </sheetViews>
  <sheetFormatPr baseColWidth="10" defaultColWidth="12.6640625" defaultRowHeight="15.75" customHeight="1" x14ac:dyDescent="0.15"/>
  <cols>
    <col min="1" max="1" width="15.5" customWidth="1"/>
    <col min="2" max="2" width="16.33203125" customWidth="1"/>
    <col min="3" max="3" width="14.1640625" customWidth="1"/>
    <col min="4" max="4" width="25" customWidth="1"/>
    <col min="5" max="5" width="24.1640625" customWidth="1"/>
    <col min="6" max="6" width="22" customWidth="1"/>
    <col min="7" max="7" width="11.6640625" customWidth="1"/>
    <col min="12" max="12" width="35.33203125" customWidth="1"/>
  </cols>
  <sheetData>
    <row r="1" spans="1:30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</row>
    <row r="2" spans="1:30" ht="15.75" customHeight="1" x14ac:dyDescent="0.15">
      <c r="A2" s="5">
        <v>1</v>
      </c>
      <c r="B2" s="6">
        <v>44637</v>
      </c>
      <c r="C2" s="7" t="s">
        <v>15</v>
      </c>
      <c r="D2" s="8" t="s">
        <v>16</v>
      </c>
      <c r="E2" s="8" t="s">
        <v>17</v>
      </c>
      <c r="F2" s="8" t="s">
        <v>18</v>
      </c>
      <c r="G2" s="9">
        <v>40577</v>
      </c>
      <c r="H2" s="10" t="s">
        <v>19</v>
      </c>
      <c r="I2" s="11">
        <v>483830374536</v>
      </c>
      <c r="J2" s="11">
        <v>9065300299</v>
      </c>
      <c r="K2" s="8"/>
      <c r="L2" s="8" t="s">
        <v>20</v>
      </c>
      <c r="M2" s="8"/>
      <c r="N2" s="8" t="s">
        <v>21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ht="15.75" customHeight="1" x14ac:dyDescent="0.15">
      <c r="A3" s="5">
        <v>2</v>
      </c>
      <c r="B3" s="12"/>
      <c r="C3" s="8" t="s">
        <v>22</v>
      </c>
      <c r="D3" s="8" t="s">
        <v>23</v>
      </c>
      <c r="E3" s="8" t="s">
        <v>24</v>
      </c>
      <c r="F3" s="8"/>
      <c r="G3" s="13"/>
      <c r="H3" s="10" t="s">
        <v>19</v>
      </c>
      <c r="I3" s="8"/>
      <c r="J3" s="11">
        <v>9735411842</v>
      </c>
      <c r="K3" s="8"/>
      <c r="L3" s="8"/>
      <c r="M3" s="8"/>
      <c r="N3" s="8" t="s">
        <v>21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 x14ac:dyDescent="0.15">
      <c r="A4" s="5">
        <v>3</v>
      </c>
      <c r="B4" s="6">
        <v>44644</v>
      </c>
      <c r="C4" s="8" t="s">
        <v>22</v>
      </c>
      <c r="D4" s="8" t="s">
        <v>25</v>
      </c>
      <c r="E4" s="8" t="s">
        <v>26</v>
      </c>
      <c r="F4" s="8" t="s">
        <v>27</v>
      </c>
      <c r="G4" s="9">
        <v>41642</v>
      </c>
      <c r="H4" s="10" t="s">
        <v>28</v>
      </c>
      <c r="I4" s="11">
        <v>678625398221</v>
      </c>
      <c r="J4" s="11">
        <v>7654919187</v>
      </c>
      <c r="K4" s="8"/>
      <c r="L4" s="8" t="s">
        <v>29</v>
      </c>
      <c r="M4" s="8"/>
      <c r="N4" s="8" t="s">
        <v>30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 x14ac:dyDescent="0.15">
      <c r="A5" s="5">
        <v>4</v>
      </c>
      <c r="B5" s="6">
        <v>44627</v>
      </c>
      <c r="C5" s="7" t="s">
        <v>15</v>
      </c>
      <c r="D5" s="8" t="s">
        <v>31</v>
      </c>
      <c r="E5" s="8" t="s">
        <v>32</v>
      </c>
      <c r="F5" s="8" t="s">
        <v>33</v>
      </c>
      <c r="G5" s="9">
        <v>40951</v>
      </c>
      <c r="H5" s="10" t="s">
        <v>19</v>
      </c>
      <c r="I5" s="11">
        <v>840670678705</v>
      </c>
      <c r="J5" s="11">
        <v>9955896968</v>
      </c>
      <c r="K5" s="8"/>
      <c r="L5" s="8" t="s">
        <v>34</v>
      </c>
      <c r="M5" s="8"/>
      <c r="N5" s="8" t="s">
        <v>21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 x14ac:dyDescent="0.15">
      <c r="A6" s="5">
        <v>5</v>
      </c>
      <c r="B6" s="12"/>
      <c r="C6" s="8" t="s">
        <v>22</v>
      </c>
      <c r="D6" s="8" t="s">
        <v>35</v>
      </c>
      <c r="E6" s="8" t="s">
        <v>36</v>
      </c>
      <c r="F6" s="8"/>
      <c r="G6" s="13"/>
      <c r="H6" s="10" t="s">
        <v>28</v>
      </c>
      <c r="I6" s="8"/>
      <c r="J6" s="11">
        <v>9507760994</v>
      </c>
      <c r="K6" s="8"/>
      <c r="L6" s="8"/>
      <c r="M6" s="8"/>
      <c r="N6" s="8" t="s">
        <v>21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5.75" customHeight="1" x14ac:dyDescent="0.15">
      <c r="A7" s="5">
        <v>6</v>
      </c>
      <c r="B7" s="6">
        <v>44743</v>
      </c>
      <c r="C7" s="8" t="s">
        <v>22</v>
      </c>
      <c r="D7" s="8" t="s">
        <v>37</v>
      </c>
      <c r="E7" s="8" t="s">
        <v>38</v>
      </c>
      <c r="F7" s="8" t="s">
        <v>39</v>
      </c>
      <c r="G7" s="9">
        <v>40249</v>
      </c>
      <c r="H7" s="10" t="s">
        <v>40</v>
      </c>
      <c r="I7" s="11">
        <v>736274395368</v>
      </c>
      <c r="J7" s="11">
        <v>9939748660</v>
      </c>
      <c r="K7" s="11">
        <v>9939748660</v>
      </c>
      <c r="L7" s="8" t="s">
        <v>41</v>
      </c>
      <c r="M7" s="8"/>
      <c r="N7" s="8" t="s">
        <v>21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 x14ac:dyDescent="0.15">
      <c r="A8" s="5">
        <v>7</v>
      </c>
      <c r="B8" s="6">
        <v>44772</v>
      </c>
      <c r="C8" s="7" t="s">
        <v>15</v>
      </c>
      <c r="D8" s="8" t="s">
        <v>42</v>
      </c>
      <c r="E8" s="8" t="s">
        <v>43</v>
      </c>
      <c r="F8" s="8" t="s">
        <v>44</v>
      </c>
      <c r="G8" s="9">
        <v>41504</v>
      </c>
      <c r="H8" s="10" t="s">
        <v>28</v>
      </c>
      <c r="I8" s="11">
        <v>718294463605</v>
      </c>
      <c r="J8" s="11">
        <v>9142128216</v>
      </c>
      <c r="K8" s="11">
        <v>9142128216</v>
      </c>
      <c r="L8" s="8" t="s">
        <v>45</v>
      </c>
      <c r="M8" s="8"/>
      <c r="N8" s="8" t="s">
        <v>21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 x14ac:dyDescent="0.15">
      <c r="A9" s="5">
        <v>8</v>
      </c>
      <c r="B9" s="6">
        <v>44634</v>
      </c>
      <c r="C9" s="7" t="s">
        <v>15</v>
      </c>
      <c r="D9" s="8" t="s">
        <v>46</v>
      </c>
      <c r="E9" s="8" t="s">
        <v>47</v>
      </c>
      <c r="F9" s="14"/>
      <c r="G9" s="9">
        <v>41162</v>
      </c>
      <c r="H9" s="10" t="s">
        <v>40</v>
      </c>
      <c r="I9" s="11">
        <v>384628964194</v>
      </c>
      <c r="J9" s="11">
        <v>9123150068</v>
      </c>
      <c r="K9" s="11">
        <v>9431776530</v>
      </c>
      <c r="L9" s="8" t="s">
        <v>48</v>
      </c>
      <c r="M9" s="8"/>
      <c r="N9" s="8" t="s">
        <v>21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x14ac:dyDescent="0.2">
      <c r="A10" s="5">
        <v>9</v>
      </c>
      <c r="B10" s="12"/>
      <c r="C10" s="8" t="s">
        <v>15</v>
      </c>
      <c r="D10" s="8" t="s">
        <v>49</v>
      </c>
      <c r="E10" s="8" t="s">
        <v>50</v>
      </c>
      <c r="F10" s="8"/>
      <c r="G10" s="13"/>
      <c r="H10" s="10" t="s">
        <v>51</v>
      </c>
      <c r="I10" s="8"/>
      <c r="J10" s="15">
        <v>9523145415</v>
      </c>
      <c r="K10" s="8"/>
      <c r="L10" s="8" t="s">
        <v>52</v>
      </c>
      <c r="M10" s="8"/>
      <c r="N10" s="8" t="s">
        <v>30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15.75" customHeight="1" x14ac:dyDescent="0.15">
      <c r="A11" s="5">
        <v>10</v>
      </c>
      <c r="B11" s="6">
        <v>44691</v>
      </c>
      <c r="C11" s="7" t="s">
        <v>15</v>
      </c>
      <c r="D11" s="8" t="s">
        <v>53</v>
      </c>
      <c r="E11" s="8" t="s">
        <v>54</v>
      </c>
      <c r="F11" s="8" t="s">
        <v>55</v>
      </c>
      <c r="G11" s="9">
        <v>41131</v>
      </c>
      <c r="H11" s="10" t="s">
        <v>19</v>
      </c>
      <c r="I11" s="11">
        <v>462714899661</v>
      </c>
      <c r="J11" s="11">
        <v>9693028244</v>
      </c>
      <c r="K11" s="8"/>
      <c r="L11" s="8"/>
      <c r="M11" s="8"/>
      <c r="N11" s="8" t="s">
        <v>21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15.75" customHeight="1" x14ac:dyDescent="0.15">
      <c r="A12" s="5">
        <v>11</v>
      </c>
      <c r="B12" s="12"/>
      <c r="C12" s="8" t="s">
        <v>22</v>
      </c>
      <c r="D12" s="8" t="s">
        <v>56</v>
      </c>
      <c r="E12" s="8" t="s">
        <v>57</v>
      </c>
      <c r="F12" s="14"/>
      <c r="G12" s="13"/>
      <c r="H12" s="10" t="s">
        <v>19</v>
      </c>
      <c r="I12" s="8"/>
      <c r="J12" s="11">
        <v>9973967538</v>
      </c>
      <c r="K12" s="8"/>
      <c r="L12" s="8"/>
      <c r="M12" s="8"/>
      <c r="N12" s="8" t="s">
        <v>21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15.75" customHeight="1" x14ac:dyDescent="0.15">
      <c r="A13" s="5">
        <v>12</v>
      </c>
      <c r="B13" s="6">
        <v>44805</v>
      </c>
      <c r="C13" s="7" t="s">
        <v>15</v>
      </c>
      <c r="D13" s="8" t="s">
        <v>58</v>
      </c>
      <c r="E13" s="8" t="s">
        <v>59</v>
      </c>
      <c r="F13" s="8" t="s">
        <v>60</v>
      </c>
      <c r="G13" s="9">
        <v>41384</v>
      </c>
      <c r="H13" s="10" t="s">
        <v>19</v>
      </c>
      <c r="I13" s="11">
        <v>744166970710</v>
      </c>
      <c r="J13" s="11">
        <v>9643292878</v>
      </c>
      <c r="K13" s="11">
        <v>9643292878</v>
      </c>
      <c r="L13" s="8" t="s">
        <v>61</v>
      </c>
      <c r="M13" s="8"/>
      <c r="N13" s="8" t="s">
        <v>30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15.75" customHeight="1" x14ac:dyDescent="0.15">
      <c r="A14" s="5">
        <v>13</v>
      </c>
      <c r="B14" s="6">
        <v>44715</v>
      </c>
      <c r="C14" s="7" t="s">
        <v>15</v>
      </c>
      <c r="D14" s="8" t="s">
        <v>62</v>
      </c>
      <c r="E14" s="8" t="s">
        <v>63</v>
      </c>
      <c r="F14" s="8" t="s">
        <v>64</v>
      </c>
      <c r="G14" s="9">
        <v>41510</v>
      </c>
      <c r="H14" s="10" t="s">
        <v>65</v>
      </c>
      <c r="I14" s="11">
        <v>790014867935</v>
      </c>
      <c r="J14" s="11">
        <v>7739447180</v>
      </c>
      <c r="K14" s="11">
        <v>7739447180</v>
      </c>
      <c r="L14" s="8" t="s">
        <v>66</v>
      </c>
      <c r="M14" s="8"/>
      <c r="N14" s="8" t="s">
        <v>21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15.75" customHeight="1" x14ac:dyDescent="0.15">
      <c r="A15" s="5">
        <v>14</v>
      </c>
      <c r="B15" s="6">
        <v>44805</v>
      </c>
      <c r="C15" s="7" t="s">
        <v>15</v>
      </c>
      <c r="D15" s="8" t="s">
        <v>67</v>
      </c>
      <c r="E15" s="8" t="s">
        <v>59</v>
      </c>
      <c r="F15" s="8" t="s">
        <v>60</v>
      </c>
      <c r="G15" s="9">
        <v>40968</v>
      </c>
      <c r="H15" s="10" t="s">
        <v>19</v>
      </c>
      <c r="I15" s="11">
        <v>715182659764</v>
      </c>
      <c r="J15" s="11">
        <v>9643292878</v>
      </c>
      <c r="K15" s="11">
        <v>9643292878</v>
      </c>
      <c r="L15" s="8" t="s">
        <v>61</v>
      </c>
      <c r="M15" s="8"/>
      <c r="N15" s="8" t="s">
        <v>21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15.75" customHeight="1" x14ac:dyDescent="0.15">
      <c r="A16" s="5">
        <v>15</v>
      </c>
      <c r="B16" s="6">
        <v>44715</v>
      </c>
      <c r="C16" s="7" t="s">
        <v>15</v>
      </c>
      <c r="D16" s="8" t="s">
        <v>68</v>
      </c>
      <c r="E16" s="8" t="s">
        <v>69</v>
      </c>
      <c r="F16" s="8" t="s">
        <v>70</v>
      </c>
      <c r="G16" s="9">
        <v>41821</v>
      </c>
      <c r="H16" s="10" t="s">
        <v>65</v>
      </c>
      <c r="I16" s="11">
        <v>225538245484</v>
      </c>
      <c r="J16" s="11">
        <v>8809878555</v>
      </c>
      <c r="K16" s="11">
        <v>8809878555</v>
      </c>
      <c r="L16" s="8" t="s">
        <v>71</v>
      </c>
      <c r="M16" s="8"/>
      <c r="N16" s="8" t="s">
        <v>21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15.75" customHeight="1" x14ac:dyDescent="0.15">
      <c r="A17" s="5">
        <v>16</v>
      </c>
      <c r="B17" s="6">
        <v>44620</v>
      </c>
      <c r="C17" s="7" t="s">
        <v>15</v>
      </c>
      <c r="D17" s="8" t="s">
        <v>72</v>
      </c>
      <c r="E17" s="8" t="s">
        <v>73</v>
      </c>
      <c r="F17" s="8" t="s">
        <v>74</v>
      </c>
      <c r="G17" s="9">
        <v>42286</v>
      </c>
      <c r="H17" s="10" t="s">
        <v>40</v>
      </c>
      <c r="I17" s="11">
        <v>294900296689</v>
      </c>
      <c r="J17" s="11">
        <v>9430329392</v>
      </c>
      <c r="K17" s="8"/>
      <c r="L17" s="8" t="s">
        <v>75</v>
      </c>
      <c r="M17" s="8"/>
      <c r="N17" s="8" t="s">
        <v>21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15.75" customHeight="1" x14ac:dyDescent="0.15">
      <c r="A18" s="5">
        <v>17</v>
      </c>
      <c r="B18" s="6">
        <v>44743</v>
      </c>
      <c r="C18" s="7" t="s">
        <v>15</v>
      </c>
      <c r="D18" s="8" t="s">
        <v>76</v>
      </c>
      <c r="E18" s="8" t="s">
        <v>77</v>
      </c>
      <c r="F18" s="8" t="s">
        <v>78</v>
      </c>
      <c r="G18" s="9">
        <v>40461</v>
      </c>
      <c r="H18" s="10" t="s">
        <v>51</v>
      </c>
      <c r="I18" s="8"/>
      <c r="J18" s="11">
        <v>8521460385</v>
      </c>
      <c r="K18" s="11">
        <v>8521460385</v>
      </c>
      <c r="L18" s="8" t="s">
        <v>79</v>
      </c>
      <c r="M18" s="8"/>
      <c r="N18" s="8" t="s">
        <v>21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15.75" customHeight="1" x14ac:dyDescent="0.15">
      <c r="A19" s="5">
        <v>18</v>
      </c>
      <c r="B19" s="12"/>
      <c r="C19" s="8" t="s">
        <v>22</v>
      </c>
      <c r="D19" s="8" t="s">
        <v>80</v>
      </c>
      <c r="E19" s="8" t="s">
        <v>81</v>
      </c>
      <c r="F19" s="8" t="s">
        <v>82</v>
      </c>
      <c r="G19" s="13"/>
      <c r="H19" s="10" t="s">
        <v>83</v>
      </c>
      <c r="I19" s="8"/>
      <c r="J19" s="11">
        <v>9199390869</v>
      </c>
      <c r="K19" s="8"/>
      <c r="L19" s="8"/>
      <c r="M19" s="8"/>
      <c r="N19" s="8" t="s">
        <v>21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15.75" customHeight="1" x14ac:dyDescent="0.15">
      <c r="A20" s="5">
        <v>19</v>
      </c>
      <c r="B20" s="6">
        <v>44634</v>
      </c>
      <c r="C20" s="7" t="s">
        <v>15</v>
      </c>
      <c r="D20" s="8" t="s">
        <v>84</v>
      </c>
      <c r="E20" s="8" t="s">
        <v>85</v>
      </c>
      <c r="F20" s="8"/>
      <c r="G20" s="9">
        <v>41492</v>
      </c>
      <c r="H20" s="10" t="s">
        <v>28</v>
      </c>
      <c r="I20" s="11">
        <v>769234991536</v>
      </c>
      <c r="J20" s="11">
        <v>9386044411</v>
      </c>
      <c r="K20" s="11">
        <v>7004550575</v>
      </c>
      <c r="L20" s="8" t="s">
        <v>86</v>
      </c>
      <c r="M20" s="8"/>
      <c r="N20" s="8" t="s">
        <v>21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15.75" customHeight="1" x14ac:dyDescent="0.15">
      <c r="A21" s="5">
        <v>20</v>
      </c>
      <c r="B21" s="12"/>
      <c r="C21" s="8" t="s">
        <v>22</v>
      </c>
      <c r="D21" s="8" t="s">
        <v>87</v>
      </c>
      <c r="E21" s="8" t="s">
        <v>88</v>
      </c>
      <c r="F21" s="8"/>
      <c r="G21" s="13"/>
      <c r="H21" s="10" t="s">
        <v>28</v>
      </c>
      <c r="I21" s="8"/>
      <c r="J21" s="11">
        <v>7667191848</v>
      </c>
      <c r="K21" s="8"/>
      <c r="L21" s="8"/>
      <c r="M21" s="8"/>
      <c r="N21" s="8" t="s">
        <v>30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15.75" customHeight="1" x14ac:dyDescent="0.15">
      <c r="A22" s="5">
        <v>21</v>
      </c>
      <c r="B22" s="12"/>
      <c r="C22" s="8" t="s">
        <v>22</v>
      </c>
      <c r="D22" s="8" t="s">
        <v>89</v>
      </c>
      <c r="E22" s="8" t="s">
        <v>88</v>
      </c>
      <c r="F22" s="8"/>
      <c r="G22" s="13">
        <v>42327</v>
      </c>
      <c r="H22" s="10" t="s">
        <v>65</v>
      </c>
      <c r="I22" s="8"/>
      <c r="J22" s="11">
        <v>7667191848</v>
      </c>
      <c r="K22" s="8"/>
      <c r="L22" s="8"/>
      <c r="M22" s="8"/>
      <c r="N22" s="8" t="s">
        <v>21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15.75" customHeight="1" x14ac:dyDescent="0.15">
      <c r="A23" s="5">
        <v>22</v>
      </c>
      <c r="B23" s="12"/>
      <c r="C23" s="7" t="s">
        <v>15</v>
      </c>
      <c r="D23" s="8" t="s">
        <v>90</v>
      </c>
      <c r="E23" s="8" t="s">
        <v>91</v>
      </c>
      <c r="F23" s="8"/>
      <c r="G23" s="13"/>
      <c r="H23" s="10" t="s">
        <v>65</v>
      </c>
      <c r="I23" s="8"/>
      <c r="J23" s="11">
        <v>9955449861</v>
      </c>
      <c r="K23" s="8"/>
      <c r="L23" s="8"/>
      <c r="M23" s="8"/>
      <c r="N23" s="8" t="s">
        <v>21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15.75" customHeight="1" x14ac:dyDescent="0.15">
      <c r="A24" s="5">
        <v>23</v>
      </c>
      <c r="B24" s="6">
        <v>44703</v>
      </c>
      <c r="C24" s="7" t="s">
        <v>15</v>
      </c>
      <c r="D24" s="8" t="s">
        <v>92</v>
      </c>
      <c r="E24" s="8" t="s">
        <v>93</v>
      </c>
      <c r="F24" s="8" t="s">
        <v>94</v>
      </c>
      <c r="G24" s="9">
        <v>41402</v>
      </c>
      <c r="H24" s="10" t="s">
        <v>19</v>
      </c>
      <c r="I24" s="11">
        <v>777311579947</v>
      </c>
      <c r="J24" s="11">
        <v>9955459861</v>
      </c>
      <c r="K24" s="8"/>
      <c r="L24" s="8"/>
      <c r="M24" s="8"/>
      <c r="N24" s="8" t="s">
        <v>21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15.75" customHeight="1" x14ac:dyDescent="0.15">
      <c r="A25" s="5">
        <v>24</v>
      </c>
      <c r="B25" s="6">
        <v>44693</v>
      </c>
      <c r="C25" s="8" t="s">
        <v>22</v>
      </c>
      <c r="D25" s="8" t="s">
        <v>95</v>
      </c>
      <c r="E25" s="8" t="s">
        <v>96</v>
      </c>
      <c r="F25" s="8" t="s">
        <v>97</v>
      </c>
      <c r="G25" s="9">
        <v>42597</v>
      </c>
      <c r="H25" s="10" t="s">
        <v>28</v>
      </c>
      <c r="I25" s="8"/>
      <c r="J25" s="11">
        <v>9631552396</v>
      </c>
      <c r="K25" s="8"/>
      <c r="L25" s="8" t="s">
        <v>98</v>
      </c>
      <c r="M25" s="8"/>
      <c r="N25" s="8" t="s">
        <v>30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15.75" customHeight="1" x14ac:dyDescent="0.15">
      <c r="A26" s="5">
        <v>25</v>
      </c>
      <c r="B26" s="6">
        <v>44740</v>
      </c>
      <c r="C26" s="8" t="s">
        <v>22</v>
      </c>
      <c r="D26" s="8" t="s">
        <v>99</v>
      </c>
      <c r="E26" s="8" t="s">
        <v>96</v>
      </c>
      <c r="F26" s="8" t="s">
        <v>97</v>
      </c>
      <c r="G26" s="13"/>
      <c r="H26" s="10" t="s">
        <v>100</v>
      </c>
      <c r="I26" s="8"/>
      <c r="J26" s="11">
        <v>9631552396</v>
      </c>
      <c r="K26" s="11">
        <v>9631552396</v>
      </c>
      <c r="L26" s="8" t="s">
        <v>98</v>
      </c>
      <c r="M26" s="8"/>
      <c r="N26" s="8" t="s">
        <v>21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15.75" customHeight="1" x14ac:dyDescent="0.15">
      <c r="A27" s="5">
        <v>26</v>
      </c>
      <c r="B27" s="6">
        <v>44723</v>
      </c>
      <c r="C27" s="8" t="s">
        <v>22</v>
      </c>
      <c r="D27" s="8" t="s">
        <v>101</v>
      </c>
      <c r="E27" s="8" t="s">
        <v>102</v>
      </c>
      <c r="F27" s="8" t="s">
        <v>103</v>
      </c>
      <c r="G27" s="9">
        <v>41222</v>
      </c>
      <c r="H27" s="10" t="s">
        <v>104</v>
      </c>
      <c r="I27" s="11">
        <v>606211628780</v>
      </c>
      <c r="J27" s="11">
        <v>7260034191</v>
      </c>
      <c r="K27" s="11">
        <v>7667144272</v>
      </c>
      <c r="L27" s="8" t="s">
        <v>105</v>
      </c>
      <c r="M27" s="8"/>
      <c r="N27" s="8" t="s">
        <v>21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15.75" customHeight="1" x14ac:dyDescent="0.15">
      <c r="A28" s="5">
        <v>27</v>
      </c>
      <c r="B28" s="12"/>
      <c r="C28" s="8" t="s">
        <v>22</v>
      </c>
      <c r="D28" s="8" t="s">
        <v>106</v>
      </c>
      <c r="E28" s="8" t="s">
        <v>107</v>
      </c>
      <c r="F28" s="8" t="s">
        <v>108</v>
      </c>
      <c r="G28" s="13"/>
      <c r="H28" s="10" t="s">
        <v>104</v>
      </c>
      <c r="I28" s="8"/>
      <c r="J28" s="11">
        <v>8340584833</v>
      </c>
      <c r="K28" s="8"/>
      <c r="L28" s="8" t="s">
        <v>109</v>
      </c>
      <c r="M28" s="8"/>
      <c r="N28" s="8" t="s">
        <v>30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15.75" customHeight="1" x14ac:dyDescent="0.15">
      <c r="A29" s="5">
        <v>28</v>
      </c>
      <c r="B29" s="12"/>
      <c r="C29" s="7" t="s">
        <v>15</v>
      </c>
      <c r="D29" s="8" t="s">
        <v>110</v>
      </c>
      <c r="E29" s="8" t="s">
        <v>111</v>
      </c>
      <c r="F29" s="8"/>
      <c r="G29" s="13"/>
      <c r="H29" s="10" t="s">
        <v>83</v>
      </c>
      <c r="I29" s="8"/>
      <c r="J29" s="11">
        <v>7003238326</v>
      </c>
      <c r="K29" s="8"/>
      <c r="L29" s="8"/>
      <c r="M29" s="8"/>
      <c r="N29" s="8" t="s">
        <v>21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15.75" customHeight="1" x14ac:dyDescent="0.15">
      <c r="A30" s="5">
        <v>29</v>
      </c>
      <c r="B30" s="12"/>
      <c r="C30" s="7" t="s">
        <v>15</v>
      </c>
      <c r="D30" s="8" t="s">
        <v>112</v>
      </c>
      <c r="E30" s="8" t="s">
        <v>113</v>
      </c>
      <c r="F30" s="8"/>
      <c r="G30" s="13"/>
      <c r="H30" s="10" t="s">
        <v>104</v>
      </c>
      <c r="I30" s="8"/>
      <c r="J30" s="11">
        <v>8825174593</v>
      </c>
      <c r="K30" s="8"/>
      <c r="L30" s="8"/>
      <c r="M30" s="8"/>
      <c r="N30" s="8" t="s">
        <v>21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5.75" customHeight="1" x14ac:dyDescent="0.15">
      <c r="A31" s="5">
        <v>30</v>
      </c>
      <c r="B31" s="12"/>
      <c r="C31" s="8" t="s">
        <v>15</v>
      </c>
      <c r="D31" s="8" t="s">
        <v>114</v>
      </c>
      <c r="E31" s="8" t="s">
        <v>115</v>
      </c>
      <c r="F31" s="8"/>
      <c r="G31" s="13"/>
      <c r="H31" s="10" t="s">
        <v>28</v>
      </c>
      <c r="I31" s="8"/>
      <c r="J31" s="11">
        <v>8969545954</v>
      </c>
      <c r="K31" s="8"/>
      <c r="L31" s="8"/>
      <c r="M31" s="8"/>
      <c r="N31" s="8" t="s">
        <v>21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 x14ac:dyDescent="0.15">
      <c r="A32" s="5">
        <v>31</v>
      </c>
      <c r="B32" s="6">
        <v>44704</v>
      </c>
      <c r="C32" s="7" t="s">
        <v>15</v>
      </c>
      <c r="D32" s="8" t="s">
        <v>116</v>
      </c>
      <c r="E32" s="8" t="s">
        <v>117</v>
      </c>
      <c r="F32" s="8" t="s">
        <v>118</v>
      </c>
      <c r="G32" s="9">
        <v>41067</v>
      </c>
      <c r="H32" s="10" t="s">
        <v>104</v>
      </c>
      <c r="I32" s="11">
        <v>866001943764</v>
      </c>
      <c r="J32" s="11">
        <v>9771026583</v>
      </c>
      <c r="K32" s="8"/>
      <c r="L32" s="8" t="s">
        <v>119</v>
      </c>
      <c r="M32" s="8"/>
      <c r="N32" s="8" t="s">
        <v>21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 x14ac:dyDescent="0.15">
      <c r="A33" s="5">
        <v>32</v>
      </c>
      <c r="B33" s="6">
        <v>44704</v>
      </c>
      <c r="C33" s="7" t="s">
        <v>15</v>
      </c>
      <c r="D33" s="8" t="s">
        <v>120</v>
      </c>
      <c r="E33" s="8" t="s">
        <v>121</v>
      </c>
      <c r="F33" s="8" t="s">
        <v>118</v>
      </c>
      <c r="G33" s="9">
        <v>39878</v>
      </c>
      <c r="H33" s="10" t="s">
        <v>40</v>
      </c>
      <c r="I33" s="11">
        <v>493543677435</v>
      </c>
      <c r="J33" s="11">
        <v>9771026583</v>
      </c>
      <c r="K33" s="8"/>
      <c r="L33" s="8" t="s">
        <v>119</v>
      </c>
      <c r="M33" s="8"/>
      <c r="N33" s="8" t="s">
        <v>21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 x14ac:dyDescent="0.15">
      <c r="A34" s="5">
        <v>33</v>
      </c>
      <c r="B34" s="12"/>
      <c r="C34" s="8" t="s">
        <v>22</v>
      </c>
      <c r="D34" s="8" t="s">
        <v>122</v>
      </c>
      <c r="E34" s="8" t="s">
        <v>123</v>
      </c>
      <c r="F34" s="8"/>
      <c r="G34" s="13"/>
      <c r="H34" s="10" t="s">
        <v>51</v>
      </c>
      <c r="I34" s="8"/>
      <c r="J34" s="11">
        <v>6201472350</v>
      </c>
      <c r="K34" s="8"/>
      <c r="L34" s="8"/>
      <c r="M34" s="8"/>
      <c r="N34" s="8" t="s">
        <v>21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 x14ac:dyDescent="0.15">
      <c r="A35" s="5">
        <v>34</v>
      </c>
      <c r="B35" s="6">
        <v>44709</v>
      </c>
      <c r="C35" s="7" t="s">
        <v>15</v>
      </c>
      <c r="D35" s="8" t="s">
        <v>124</v>
      </c>
      <c r="E35" s="8" t="s">
        <v>125</v>
      </c>
      <c r="F35" s="8" t="s">
        <v>126</v>
      </c>
      <c r="G35" s="9">
        <v>42193</v>
      </c>
      <c r="H35" s="10" t="s">
        <v>100</v>
      </c>
      <c r="I35" s="11">
        <v>731849466488</v>
      </c>
      <c r="J35" s="11">
        <v>9608682077</v>
      </c>
      <c r="K35" s="11">
        <v>9608682077</v>
      </c>
      <c r="L35" s="8" t="s">
        <v>127</v>
      </c>
      <c r="M35" s="8"/>
      <c r="N35" s="8" t="s">
        <v>21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 x14ac:dyDescent="0.15">
      <c r="A36" s="5">
        <v>35</v>
      </c>
      <c r="B36" s="6">
        <v>44712</v>
      </c>
      <c r="C36" s="8" t="s">
        <v>22</v>
      </c>
      <c r="D36" s="8" t="s">
        <v>128</v>
      </c>
      <c r="E36" s="8" t="s">
        <v>129</v>
      </c>
      <c r="F36" s="8" t="s">
        <v>130</v>
      </c>
      <c r="G36" s="9">
        <v>40822</v>
      </c>
      <c r="H36" s="10" t="s">
        <v>19</v>
      </c>
      <c r="I36" s="11">
        <v>585723050170</v>
      </c>
      <c r="J36" s="11">
        <v>8434026070</v>
      </c>
      <c r="K36" s="11">
        <v>9955442128</v>
      </c>
      <c r="L36" s="8" t="s">
        <v>131</v>
      </c>
      <c r="M36" s="8"/>
      <c r="N36" s="8" t="s">
        <v>21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 x14ac:dyDescent="0.15">
      <c r="A37" s="5">
        <v>36</v>
      </c>
      <c r="B37" s="6">
        <v>44687</v>
      </c>
      <c r="C37" s="8" t="s">
        <v>22</v>
      </c>
      <c r="D37" s="8" t="s">
        <v>132</v>
      </c>
      <c r="E37" s="8" t="s">
        <v>133</v>
      </c>
      <c r="F37" s="8"/>
      <c r="G37" s="13"/>
      <c r="H37" s="10" t="s">
        <v>40</v>
      </c>
      <c r="I37" s="11">
        <v>366842848459</v>
      </c>
      <c r="J37" s="11">
        <v>8340101326</v>
      </c>
      <c r="K37" s="8"/>
      <c r="L37" s="8" t="s">
        <v>134</v>
      </c>
      <c r="M37" s="8"/>
      <c r="N37" s="8" t="s">
        <v>21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 x14ac:dyDescent="0.15">
      <c r="A38" s="5">
        <v>37</v>
      </c>
      <c r="B38" s="12"/>
      <c r="C38" s="8" t="s">
        <v>22</v>
      </c>
      <c r="D38" s="8" t="s">
        <v>135</v>
      </c>
      <c r="E38" s="8" t="s">
        <v>136</v>
      </c>
      <c r="F38" s="8"/>
      <c r="G38" s="13"/>
      <c r="H38" s="10" t="s">
        <v>28</v>
      </c>
      <c r="I38" s="8"/>
      <c r="J38" s="11">
        <v>9955943696</v>
      </c>
      <c r="K38" s="8"/>
      <c r="L38" s="8"/>
      <c r="M38" s="8"/>
      <c r="N38" s="8" t="s">
        <v>21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 x14ac:dyDescent="0.15">
      <c r="A39" s="5">
        <v>38</v>
      </c>
      <c r="B39" s="6">
        <v>44688</v>
      </c>
      <c r="C39" s="7" t="s">
        <v>15</v>
      </c>
      <c r="D39" s="8" t="s">
        <v>137</v>
      </c>
      <c r="E39" s="8" t="s">
        <v>138</v>
      </c>
      <c r="F39" s="8" t="s">
        <v>139</v>
      </c>
      <c r="G39" s="13"/>
      <c r="H39" s="10" t="s">
        <v>65</v>
      </c>
      <c r="I39" s="11">
        <v>218062176695</v>
      </c>
      <c r="J39" s="11">
        <v>9883118912</v>
      </c>
      <c r="K39" s="8"/>
      <c r="L39" s="8"/>
      <c r="M39" s="8"/>
      <c r="N39" s="8" t="s">
        <v>21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 x14ac:dyDescent="0.15">
      <c r="A40" s="5">
        <v>39</v>
      </c>
      <c r="B40" s="12"/>
      <c r="C40" s="8" t="s">
        <v>22</v>
      </c>
      <c r="D40" s="8" t="s">
        <v>140</v>
      </c>
      <c r="E40" s="8" t="s">
        <v>141</v>
      </c>
      <c r="F40" s="8"/>
      <c r="G40" s="13"/>
      <c r="H40" s="10" t="s">
        <v>51</v>
      </c>
      <c r="I40" s="8"/>
      <c r="J40" s="11">
        <v>8084078810</v>
      </c>
      <c r="K40" s="8"/>
      <c r="L40" s="8" t="s">
        <v>142</v>
      </c>
      <c r="M40" s="8"/>
      <c r="N40" s="8" t="s">
        <v>30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 x14ac:dyDescent="0.15">
      <c r="A41" s="5">
        <v>40</v>
      </c>
      <c r="B41" s="6">
        <v>44709</v>
      </c>
      <c r="C41" s="8" t="s">
        <v>22</v>
      </c>
      <c r="D41" s="8" t="s">
        <v>143</v>
      </c>
      <c r="E41" s="8" t="s">
        <v>141</v>
      </c>
      <c r="F41" s="8"/>
      <c r="G41" s="9">
        <v>42047</v>
      </c>
      <c r="H41" s="10" t="s">
        <v>28</v>
      </c>
      <c r="I41" s="11">
        <v>270066829766</v>
      </c>
      <c r="J41" s="11">
        <v>8084078810</v>
      </c>
      <c r="K41" s="8"/>
      <c r="L41" s="8" t="s">
        <v>142</v>
      </c>
      <c r="M41" s="8"/>
      <c r="N41" s="8" t="s">
        <v>30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 x14ac:dyDescent="0.15">
      <c r="A42" s="5">
        <v>41</v>
      </c>
      <c r="B42" s="12"/>
      <c r="C42" s="8" t="s">
        <v>22</v>
      </c>
      <c r="D42" s="8" t="s">
        <v>144</v>
      </c>
      <c r="E42" s="8" t="s">
        <v>145</v>
      </c>
      <c r="F42" s="8"/>
      <c r="G42" s="13"/>
      <c r="H42" s="10" t="s">
        <v>83</v>
      </c>
      <c r="I42" s="8"/>
      <c r="J42" s="11">
        <v>8084353536</v>
      </c>
      <c r="K42" s="8"/>
      <c r="L42" s="8" t="s">
        <v>146</v>
      </c>
      <c r="M42" s="8"/>
      <c r="N42" s="8" t="s">
        <v>30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 x14ac:dyDescent="0.15">
      <c r="A43" s="5">
        <v>42</v>
      </c>
      <c r="B43" s="12"/>
      <c r="C43" s="8" t="s">
        <v>22</v>
      </c>
      <c r="D43" s="8" t="s">
        <v>147</v>
      </c>
      <c r="E43" s="8" t="s">
        <v>148</v>
      </c>
      <c r="F43" s="8"/>
      <c r="G43" s="13">
        <v>42198</v>
      </c>
      <c r="H43" s="10" t="s">
        <v>28</v>
      </c>
      <c r="I43" s="8"/>
      <c r="J43" s="11">
        <v>9932282091</v>
      </c>
      <c r="K43" s="8"/>
      <c r="L43" s="8" t="s">
        <v>149</v>
      </c>
      <c r="M43" s="8"/>
      <c r="N43" s="8" t="s">
        <v>30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 x14ac:dyDescent="0.15">
      <c r="A44" s="5">
        <v>43</v>
      </c>
      <c r="B44" s="12"/>
      <c r="C44" s="8" t="s">
        <v>22</v>
      </c>
      <c r="D44" s="8" t="s">
        <v>150</v>
      </c>
      <c r="E44" s="8" t="s">
        <v>151</v>
      </c>
      <c r="F44" s="8"/>
      <c r="G44" s="13"/>
      <c r="H44" s="10" t="s">
        <v>19</v>
      </c>
      <c r="I44" s="8"/>
      <c r="J44" s="11">
        <v>8802630534</v>
      </c>
      <c r="K44" s="8"/>
      <c r="L44" s="8"/>
      <c r="M44" s="8"/>
      <c r="N44" s="8" t="s">
        <v>30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 x14ac:dyDescent="0.15">
      <c r="A45" s="5">
        <v>44</v>
      </c>
      <c r="B45" s="6">
        <v>44760</v>
      </c>
      <c r="C45" s="8" t="s">
        <v>22</v>
      </c>
      <c r="D45" s="8" t="s">
        <v>152</v>
      </c>
      <c r="E45" s="8" t="s">
        <v>153</v>
      </c>
      <c r="F45" s="8" t="s">
        <v>154</v>
      </c>
      <c r="G45" s="9">
        <v>41275</v>
      </c>
      <c r="H45" s="10" t="s">
        <v>28</v>
      </c>
      <c r="I45" s="11">
        <v>617035664671</v>
      </c>
      <c r="J45" s="11">
        <v>8292473552</v>
      </c>
      <c r="K45" s="8"/>
      <c r="L45" s="8" t="s">
        <v>155</v>
      </c>
      <c r="M45" s="8"/>
      <c r="N45" s="8" t="s">
        <v>30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 x14ac:dyDescent="0.15">
      <c r="A46" s="5">
        <v>45</v>
      </c>
      <c r="B46" s="6">
        <v>44665</v>
      </c>
      <c r="C46" s="7" t="s">
        <v>15</v>
      </c>
      <c r="D46" s="8" t="s">
        <v>156</v>
      </c>
      <c r="E46" s="8" t="s">
        <v>157</v>
      </c>
      <c r="F46" s="8" t="s">
        <v>158</v>
      </c>
      <c r="G46" s="9">
        <v>41957</v>
      </c>
      <c r="H46" s="10" t="s">
        <v>83</v>
      </c>
      <c r="I46" s="8"/>
      <c r="J46" s="11">
        <v>9006956889</v>
      </c>
      <c r="K46" s="8"/>
      <c r="L46" s="8" t="s">
        <v>159</v>
      </c>
      <c r="M46" s="8"/>
      <c r="N46" s="8" t="s">
        <v>21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 x14ac:dyDescent="0.15">
      <c r="A47" s="5">
        <v>46</v>
      </c>
      <c r="B47" s="6">
        <v>44607</v>
      </c>
      <c r="C47" s="8" t="s">
        <v>22</v>
      </c>
      <c r="D47" s="8" t="s">
        <v>160</v>
      </c>
      <c r="E47" s="8" t="s">
        <v>161</v>
      </c>
      <c r="F47" s="8" t="s">
        <v>162</v>
      </c>
      <c r="G47" s="9">
        <v>42429</v>
      </c>
      <c r="H47" s="10" t="s">
        <v>65</v>
      </c>
      <c r="I47" s="11">
        <v>744012517159</v>
      </c>
      <c r="J47" s="11">
        <v>8271818964</v>
      </c>
      <c r="K47" s="11">
        <v>9064803071</v>
      </c>
      <c r="L47" s="8" t="s">
        <v>163</v>
      </c>
      <c r="M47" s="8"/>
      <c r="N47" s="8" t="s">
        <v>30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 x14ac:dyDescent="0.15">
      <c r="A48" s="5">
        <v>47</v>
      </c>
      <c r="B48" s="6">
        <v>44622</v>
      </c>
      <c r="C48" s="8" t="s">
        <v>22</v>
      </c>
      <c r="D48" s="8" t="s">
        <v>164</v>
      </c>
      <c r="E48" s="8" t="s">
        <v>165</v>
      </c>
      <c r="F48" s="8" t="s">
        <v>166</v>
      </c>
      <c r="G48" s="9">
        <v>42276</v>
      </c>
      <c r="H48" s="10" t="s">
        <v>28</v>
      </c>
      <c r="I48" s="11">
        <v>971937941455</v>
      </c>
      <c r="J48" s="11">
        <v>9064803071</v>
      </c>
      <c r="K48" s="11">
        <v>8436355725</v>
      </c>
      <c r="L48" s="8" t="s">
        <v>159</v>
      </c>
      <c r="M48" s="8"/>
      <c r="N48" s="8" t="s">
        <v>21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 x14ac:dyDescent="0.15">
      <c r="A49" s="5">
        <v>48</v>
      </c>
      <c r="B49" s="12"/>
      <c r="C49" s="8" t="s">
        <v>22</v>
      </c>
      <c r="D49" s="8" t="s">
        <v>167</v>
      </c>
      <c r="E49" s="8" t="s">
        <v>168</v>
      </c>
      <c r="F49" s="8"/>
      <c r="G49" s="13"/>
      <c r="H49" s="10" t="s">
        <v>28</v>
      </c>
      <c r="I49" s="8"/>
      <c r="J49" s="11">
        <v>9661301181</v>
      </c>
      <c r="K49" s="8"/>
      <c r="L49" s="8" t="s">
        <v>142</v>
      </c>
      <c r="M49" s="8"/>
      <c r="N49" s="8" t="s">
        <v>30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 x14ac:dyDescent="0.15">
      <c r="A50" s="5">
        <v>49</v>
      </c>
      <c r="B50" s="12"/>
      <c r="C50" s="8" t="s">
        <v>22</v>
      </c>
      <c r="D50" s="8" t="s">
        <v>169</v>
      </c>
      <c r="E50" s="8" t="s">
        <v>170</v>
      </c>
      <c r="F50" s="8"/>
      <c r="G50" s="13"/>
      <c r="H50" s="10" t="s">
        <v>40</v>
      </c>
      <c r="I50" s="8"/>
      <c r="J50" s="11">
        <v>6201125220</v>
      </c>
      <c r="K50" s="8"/>
      <c r="L50" s="8" t="s">
        <v>155</v>
      </c>
      <c r="M50" s="8"/>
      <c r="N50" s="8" t="s">
        <v>21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 x14ac:dyDescent="0.15">
      <c r="A51" s="5">
        <v>50</v>
      </c>
      <c r="B51" s="6">
        <v>44717</v>
      </c>
      <c r="C51" s="7" t="s">
        <v>15</v>
      </c>
      <c r="D51" s="8" t="s">
        <v>171</v>
      </c>
      <c r="E51" s="8" t="s">
        <v>172</v>
      </c>
      <c r="F51" s="8" t="s">
        <v>173</v>
      </c>
      <c r="G51" s="9">
        <v>41810</v>
      </c>
      <c r="H51" s="10" t="s">
        <v>104</v>
      </c>
      <c r="I51" s="11">
        <v>609858949731</v>
      </c>
      <c r="J51" s="11">
        <v>8521887277</v>
      </c>
      <c r="K51" s="11">
        <v>8521887277</v>
      </c>
      <c r="L51" s="8" t="s">
        <v>174</v>
      </c>
      <c r="M51" s="8"/>
      <c r="N51" s="8" t="s">
        <v>21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 x14ac:dyDescent="0.15">
      <c r="A52" s="5">
        <v>51</v>
      </c>
      <c r="B52" s="6">
        <v>44717</v>
      </c>
      <c r="C52" s="7" t="s">
        <v>15</v>
      </c>
      <c r="D52" s="8" t="s">
        <v>175</v>
      </c>
      <c r="E52" s="8" t="s">
        <v>172</v>
      </c>
      <c r="F52" s="8" t="s">
        <v>173</v>
      </c>
      <c r="G52" s="9">
        <v>40121</v>
      </c>
      <c r="H52" s="10" t="s">
        <v>51</v>
      </c>
      <c r="I52" s="11">
        <v>983004808657</v>
      </c>
      <c r="J52" s="11">
        <v>8521887277</v>
      </c>
      <c r="K52" s="11">
        <v>8521887277</v>
      </c>
      <c r="L52" s="8" t="s">
        <v>174</v>
      </c>
      <c r="M52" s="8"/>
      <c r="N52" s="8" t="s">
        <v>21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 x14ac:dyDescent="0.15">
      <c r="A53" s="5">
        <v>52</v>
      </c>
      <c r="B53" s="6">
        <v>44703</v>
      </c>
      <c r="C53" s="7" t="s">
        <v>15</v>
      </c>
      <c r="D53" s="8" t="s">
        <v>176</v>
      </c>
      <c r="E53" s="8" t="s">
        <v>177</v>
      </c>
      <c r="F53" s="8" t="s">
        <v>178</v>
      </c>
      <c r="G53" s="9">
        <v>41524</v>
      </c>
      <c r="H53" s="10" t="s">
        <v>28</v>
      </c>
      <c r="I53" s="11">
        <v>276346333176</v>
      </c>
      <c r="J53" s="11">
        <v>9955001819</v>
      </c>
      <c r="K53" s="8"/>
      <c r="L53" s="8" t="s">
        <v>179</v>
      </c>
      <c r="M53" s="8"/>
      <c r="N53" s="8" t="s">
        <v>21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 x14ac:dyDescent="0.15">
      <c r="A54" s="5">
        <v>53</v>
      </c>
      <c r="B54" s="6">
        <v>44761</v>
      </c>
      <c r="C54" s="7" t="s">
        <v>15</v>
      </c>
      <c r="D54" s="8" t="s">
        <v>180</v>
      </c>
      <c r="E54" s="8" t="s">
        <v>181</v>
      </c>
      <c r="F54" s="8" t="s">
        <v>182</v>
      </c>
      <c r="G54" s="9">
        <v>41640</v>
      </c>
      <c r="H54" s="10" t="s">
        <v>28</v>
      </c>
      <c r="I54" s="11">
        <v>369166235531</v>
      </c>
      <c r="J54" s="11">
        <v>9801331446</v>
      </c>
      <c r="K54" s="11">
        <v>9801331446</v>
      </c>
      <c r="L54" s="8" t="s">
        <v>183</v>
      </c>
      <c r="M54" s="8"/>
      <c r="N54" s="8" t="s">
        <v>21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 x14ac:dyDescent="0.15">
      <c r="A55" s="5">
        <v>54</v>
      </c>
      <c r="B55" s="6">
        <v>44761</v>
      </c>
      <c r="C55" s="7" t="s">
        <v>15</v>
      </c>
      <c r="D55" s="8" t="s">
        <v>184</v>
      </c>
      <c r="E55" s="8" t="s">
        <v>185</v>
      </c>
      <c r="F55" s="8" t="s">
        <v>182</v>
      </c>
      <c r="G55" s="9">
        <v>40361</v>
      </c>
      <c r="H55" s="10" t="s">
        <v>104</v>
      </c>
      <c r="I55" s="11">
        <v>330697230232</v>
      </c>
      <c r="J55" s="11">
        <v>9801331446</v>
      </c>
      <c r="K55" s="11">
        <v>9801331446</v>
      </c>
      <c r="L55" s="8" t="s">
        <v>183</v>
      </c>
      <c r="M55" s="8"/>
      <c r="N55" s="8" t="s">
        <v>21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 x14ac:dyDescent="0.15">
      <c r="A56" s="5">
        <v>55</v>
      </c>
      <c r="B56" s="6">
        <v>44761</v>
      </c>
      <c r="C56" s="7" t="s">
        <v>15</v>
      </c>
      <c r="D56" s="8" t="s">
        <v>186</v>
      </c>
      <c r="E56" s="8" t="s">
        <v>185</v>
      </c>
      <c r="F56" s="8" t="s">
        <v>182</v>
      </c>
      <c r="G56" s="9">
        <v>40361</v>
      </c>
      <c r="H56" s="10" t="s">
        <v>104</v>
      </c>
      <c r="I56" s="11">
        <v>646878516635</v>
      </c>
      <c r="J56" s="11">
        <v>9801331446</v>
      </c>
      <c r="K56" s="11">
        <v>9801331446</v>
      </c>
      <c r="L56" s="8" t="s">
        <v>183</v>
      </c>
      <c r="M56" s="8"/>
      <c r="N56" s="8" t="s">
        <v>21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 x14ac:dyDescent="0.15">
      <c r="A57" s="5">
        <v>56</v>
      </c>
      <c r="B57" s="6">
        <v>44717</v>
      </c>
      <c r="C57" s="7" t="s">
        <v>15</v>
      </c>
      <c r="D57" s="8" t="s">
        <v>187</v>
      </c>
      <c r="E57" s="8" t="s">
        <v>188</v>
      </c>
      <c r="F57" s="8" t="s">
        <v>189</v>
      </c>
      <c r="G57" s="9">
        <v>42511</v>
      </c>
      <c r="H57" s="10" t="s">
        <v>100</v>
      </c>
      <c r="I57" s="11">
        <v>712969797535</v>
      </c>
      <c r="J57" s="11">
        <v>9507632035</v>
      </c>
      <c r="K57" s="11">
        <v>9507632035</v>
      </c>
      <c r="L57" s="8" t="s">
        <v>190</v>
      </c>
      <c r="M57" s="8"/>
      <c r="N57" s="8" t="s">
        <v>21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 x14ac:dyDescent="0.15">
      <c r="A58" s="5">
        <v>57</v>
      </c>
      <c r="B58" s="12"/>
      <c r="C58" s="8" t="s">
        <v>22</v>
      </c>
      <c r="D58" s="8" t="s">
        <v>191</v>
      </c>
      <c r="E58" s="8" t="s">
        <v>192</v>
      </c>
      <c r="F58" s="8"/>
      <c r="G58" s="13">
        <v>42518</v>
      </c>
      <c r="H58" s="10" t="s">
        <v>104</v>
      </c>
      <c r="I58" s="8"/>
      <c r="J58" s="8"/>
      <c r="K58" s="8"/>
      <c r="L58" s="8" t="s">
        <v>155</v>
      </c>
      <c r="M58" s="8"/>
      <c r="N58" s="8" t="s">
        <v>21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 x14ac:dyDescent="0.15">
      <c r="A59" s="5">
        <v>58</v>
      </c>
      <c r="B59" s="12"/>
      <c r="C59" s="8" t="s">
        <v>22</v>
      </c>
      <c r="D59" s="8" t="s">
        <v>193</v>
      </c>
      <c r="E59" s="8" t="s">
        <v>91</v>
      </c>
      <c r="F59" s="8"/>
      <c r="G59" s="13"/>
      <c r="H59" s="10" t="s">
        <v>51</v>
      </c>
      <c r="I59" s="8"/>
      <c r="J59" s="8">
        <v>9771614663</v>
      </c>
      <c r="K59" s="8">
        <v>9771614663</v>
      </c>
      <c r="L59" s="8" t="s">
        <v>131</v>
      </c>
      <c r="M59" s="8"/>
      <c r="N59" s="8" t="s">
        <v>21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 x14ac:dyDescent="0.15">
      <c r="A60" s="5">
        <v>59</v>
      </c>
      <c r="B60" s="12"/>
      <c r="C60" s="7" t="s">
        <v>15</v>
      </c>
      <c r="D60" s="8" t="s">
        <v>194</v>
      </c>
      <c r="E60" s="8" t="s">
        <v>195</v>
      </c>
      <c r="F60" s="8"/>
      <c r="G60" s="13"/>
      <c r="H60" s="10" t="s">
        <v>51</v>
      </c>
      <c r="I60" s="8"/>
      <c r="J60" s="11">
        <v>8084727740</v>
      </c>
      <c r="K60" s="8"/>
      <c r="L60" s="8" t="s">
        <v>196</v>
      </c>
      <c r="M60" s="8"/>
      <c r="N60" s="8" t="s">
        <v>21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 x14ac:dyDescent="0.15">
      <c r="A61" s="5">
        <v>60</v>
      </c>
      <c r="B61" s="12"/>
      <c r="C61" s="7" t="s">
        <v>15</v>
      </c>
      <c r="D61" s="8" t="s">
        <v>197</v>
      </c>
      <c r="E61" s="8" t="s">
        <v>195</v>
      </c>
      <c r="F61" s="8"/>
      <c r="G61" s="13"/>
      <c r="H61" s="10" t="s">
        <v>198</v>
      </c>
      <c r="I61" s="8"/>
      <c r="J61" s="11">
        <v>8084727740</v>
      </c>
      <c r="K61" s="8"/>
      <c r="L61" s="8" t="s">
        <v>196</v>
      </c>
      <c r="M61" s="8"/>
      <c r="N61" s="8" t="s">
        <v>21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 x14ac:dyDescent="0.15">
      <c r="A62" s="5">
        <v>61</v>
      </c>
      <c r="B62" s="12"/>
      <c r="C62" s="8" t="s">
        <v>22</v>
      </c>
      <c r="D62" s="8" t="s">
        <v>199</v>
      </c>
      <c r="E62" s="8" t="s">
        <v>200</v>
      </c>
      <c r="F62" s="8"/>
      <c r="G62" s="13"/>
      <c r="H62" s="10" t="s">
        <v>104</v>
      </c>
      <c r="I62" s="8"/>
      <c r="J62" s="11">
        <v>7367091296</v>
      </c>
      <c r="K62" s="8"/>
      <c r="L62" s="8"/>
      <c r="M62" s="8"/>
      <c r="N62" s="8" t="s">
        <v>21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 x14ac:dyDescent="0.15">
      <c r="A63" s="5">
        <v>62</v>
      </c>
      <c r="B63" s="12"/>
      <c r="C63" s="8" t="s">
        <v>22</v>
      </c>
      <c r="D63" s="8" t="s">
        <v>201</v>
      </c>
      <c r="E63" s="8" t="s">
        <v>202</v>
      </c>
      <c r="F63" s="8"/>
      <c r="G63" s="13"/>
      <c r="H63" s="10" t="s">
        <v>104</v>
      </c>
      <c r="I63" s="8"/>
      <c r="J63" s="11">
        <v>7070636161</v>
      </c>
      <c r="K63" s="8"/>
      <c r="L63" s="8"/>
      <c r="M63" s="8"/>
      <c r="N63" s="8" t="s">
        <v>21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 x14ac:dyDescent="0.15">
      <c r="A64" s="5">
        <v>63</v>
      </c>
      <c r="B64" s="12"/>
      <c r="C64" s="7" t="s">
        <v>15</v>
      </c>
      <c r="D64" s="8" t="s">
        <v>203</v>
      </c>
      <c r="E64" s="8" t="s">
        <v>204</v>
      </c>
      <c r="F64" s="8"/>
      <c r="G64" s="13">
        <v>41640</v>
      </c>
      <c r="H64" s="10" t="s">
        <v>104</v>
      </c>
      <c r="I64" s="8"/>
      <c r="J64" s="11">
        <v>7903684660</v>
      </c>
      <c r="K64" s="8"/>
      <c r="L64" s="8"/>
      <c r="M64" s="8"/>
      <c r="N64" s="8" t="s">
        <v>21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 x14ac:dyDescent="0.15">
      <c r="A65" s="5">
        <v>64</v>
      </c>
      <c r="B65" s="12"/>
      <c r="C65" s="7" t="s">
        <v>15</v>
      </c>
      <c r="D65" s="8" t="s">
        <v>205</v>
      </c>
      <c r="E65" s="8" t="s">
        <v>206</v>
      </c>
      <c r="F65" s="8"/>
      <c r="G65" s="13"/>
      <c r="H65" s="10" t="s">
        <v>104</v>
      </c>
      <c r="I65" s="8"/>
      <c r="J65" s="11">
        <v>7903684660</v>
      </c>
      <c r="K65" s="8"/>
      <c r="L65" s="8"/>
      <c r="M65" s="8"/>
      <c r="N65" s="8" t="s">
        <v>21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 x14ac:dyDescent="0.15">
      <c r="A66" s="5">
        <v>65</v>
      </c>
      <c r="B66" s="12"/>
      <c r="C66" s="7" t="s">
        <v>15</v>
      </c>
      <c r="D66" s="8" t="s">
        <v>207</v>
      </c>
      <c r="E66" s="8" t="s">
        <v>206</v>
      </c>
      <c r="F66" s="8"/>
      <c r="G66" s="13"/>
      <c r="H66" s="10" t="s">
        <v>198</v>
      </c>
      <c r="I66" s="8"/>
      <c r="J66" s="11">
        <v>7903684660</v>
      </c>
      <c r="K66" s="8"/>
      <c r="L66" s="8"/>
      <c r="M66" s="8"/>
      <c r="N66" s="8" t="s">
        <v>21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 x14ac:dyDescent="0.15">
      <c r="A67" s="5">
        <v>66</v>
      </c>
      <c r="B67" s="12"/>
      <c r="C67" s="7" t="s">
        <v>15</v>
      </c>
      <c r="D67" s="8" t="s">
        <v>208</v>
      </c>
      <c r="E67" s="8" t="s">
        <v>209</v>
      </c>
      <c r="F67" s="8"/>
      <c r="G67" s="13"/>
      <c r="H67" s="10" t="s">
        <v>210</v>
      </c>
      <c r="I67" s="8"/>
      <c r="J67" s="11">
        <v>9006901468</v>
      </c>
      <c r="K67" s="8"/>
      <c r="L67" s="8"/>
      <c r="M67" s="8"/>
      <c r="N67" s="8" t="s">
        <v>21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 x14ac:dyDescent="0.15">
      <c r="A68" s="5">
        <v>67</v>
      </c>
      <c r="B68" s="6">
        <v>44703</v>
      </c>
      <c r="C68" s="7" t="s">
        <v>15</v>
      </c>
      <c r="D68" s="8" t="s">
        <v>211</v>
      </c>
      <c r="E68" s="8" t="s">
        <v>212</v>
      </c>
      <c r="F68" s="8" t="s">
        <v>213</v>
      </c>
      <c r="G68" s="9">
        <v>39811</v>
      </c>
      <c r="H68" s="10" t="s">
        <v>104</v>
      </c>
      <c r="I68" s="11">
        <v>957070003900</v>
      </c>
      <c r="J68" s="11">
        <v>9867568256</v>
      </c>
      <c r="K68" s="8"/>
      <c r="L68" s="8" t="s">
        <v>214</v>
      </c>
      <c r="M68" s="8"/>
      <c r="N68" s="8" t="s">
        <v>21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 x14ac:dyDescent="0.15">
      <c r="A69" s="5">
        <v>68</v>
      </c>
      <c r="B69" s="6">
        <v>44650</v>
      </c>
      <c r="C69" s="7" t="s">
        <v>15</v>
      </c>
      <c r="D69" s="8" t="s">
        <v>215</v>
      </c>
      <c r="E69" s="8" t="s">
        <v>216</v>
      </c>
      <c r="F69" s="8" t="s">
        <v>217</v>
      </c>
      <c r="G69" s="9">
        <v>41128</v>
      </c>
      <c r="H69" s="10" t="s">
        <v>83</v>
      </c>
      <c r="I69" s="11">
        <v>607712771955</v>
      </c>
      <c r="J69" s="11">
        <v>9065969256</v>
      </c>
      <c r="K69" s="11">
        <v>9631394540</v>
      </c>
      <c r="L69" s="8" t="s">
        <v>218</v>
      </c>
      <c r="M69" s="8"/>
      <c r="N69" s="8" t="s">
        <v>21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 x14ac:dyDescent="0.15">
      <c r="A70" s="5">
        <v>69</v>
      </c>
      <c r="B70" s="6">
        <v>44650</v>
      </c>
      <c r="C70" s="7" t="s">
        <v>15</v>
      </c>
      <c r="D70" s="8" t="s">
        <v>219</v>
      </c>
      <c r="E70" s="8" t="s">
        <v>216</v>
      </c>
      <c r="F70" s="8" t="s">
        <v>217</v>
      </c>
      <c r="G70" s="9">
        <v>42021</v>
      </c>
      <c r="H70" s="10" t="s">
        <v>100</v>
      </c>
      <c r="I70" s="11">
        <v>756916344463</v>
      </c>
      <c r="J70" s="11">
        <v>9065969256</v>
      </c>
      <c r="K70" s="8"/>
      <c r="L70" s="8" t="s">
        <v>220</v>
      </c>
      <c r="M70" s="8"/>
      <c r="N70" s="8" t="s">
        <v>30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 x14ac:dyDescent="0.15">
      <c r="A71" s="5">
        <v>70</v>
      </c>
      <c r="B71" s="6">
        <v>44828</v>
      </c>
      <c r="C71" s="7" t="s">
        <v>15</v>
      </c>
      <c r="D71" s="8" t="s">
        <v>221</v>
      </c>
      <c r="E71" s="8" t="s">
        <v>222</v>
      </c>
      <c r="F71" s="8" t="s">
        <v>223</v>
      </c>
      <c r="G71" s="9">
        <v>42039</v>
      </c>
      <c r="H71" s="10" t="s">
        <v>28</v>
      </c>
      <c r="I71" s="8"/>
      <c r="J71" s="11">
        <v>8809983740</v>
      </c>
      <c r="K71" s="11">
        <v>9955032141</v>
      </c>
      <c r="L71" s="8" t="s">
        <v>224</v>
      </c>
      <c r="M71" s="8"/>
      <c r="N71" s="8" t="s">
        <v>21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 x14ac:dyDescent="0.15">
      <c r="A72" s="5">
        <v>71</v>
      </c>
      <c r="B72" s="12"/>
      <c r="C72" s="7" t="s">
        <v>15</v>
      </c>
      <c r="D72" s="8" t="s">
        <v>225</v>
      </c>
      <c r="E72" s="8" t="s">
        <v>226</v>
      </c>
      <c r="F72" s="8"/>
      <c r="G72" s="13"/>
      <c r="H72" s="10" t="s">
        <v>198</v>
      </c>
      <c r="I72" s="8"/>
      <c r="J72" s="11">
        <v>9835842208</v>
      </c>
      <c r="K72" s="8"/>
      <c r="L72" s="8"/>
      <c r="M72" s="8"/>
      <c r="N72" s="8" t="s">
        <v>21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 x14ac:dyDescent="0.15">
      <c r="A73" s="5">
        <v>72</v>
      </c>
      <c r="B73" s="12"/>
      <c r="C73" s="7" t="s">
        <v>15</v>
      </c>
      <c r="D73" s="8" t="s">
        <v>227</v>
      </c>
      <c r="E73" s="8" t="s">
        <v>228</v>
      </c>
      <c r="F73" s="8" t="s">
        <v>229</v>
      </c>
      <c r="G73" s="13"/>
      <c r="H73" s="10" t="s">
        <v>19</v>
      </c>
      <c r="I73" s="8"/>
      <c r="J73" s="8"/>
      <c r="K73" s="8"/>
      <c r="L73" s="8"/>
      <c r="M73" s="8"/>
      <c r="N73" s="8" t="s">
        <v>21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 x14ac:dyDescent="0.15">
      <c r="A74" s="16">
        <v>73</v>
      </c>
      <c r="B74" s="17">
        <v>44938</v>
      </c>
      <c r="C74" s="18" t="s">
        <v>15</v>
      </c>
      <c r="D74" s="18" t="s">
        <v>230</v>
      </c>
      <c r="E74" s="18" t="s">
        <v>231</v>
      </c>
      <c r="F74" s="18" t="s">
        <v>232</v>
      </c>
      <c r="G74" s="19">
        <v>41273</v>
      </c>
      <c r="H74" s="20" t="s">
        <v>28</v>
      </c>
      <c r="I74" s="18">
        <v>960134360402</v>
      </c>
      <c r="J74" s="18">
        <v>9534235548</v>
      </c>
      <c r="K74" s="18">
        <v>9534235548</v>
      </c>
      <c r="L74" s="18" t="s">
        <v>233</v>
      </c>
      <c r="M74" s="18"/>
      <c r="N74" s="18" t="s">
        <v>21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spans="1:30" ht="15.75" customHeight="1" x14ac:dyDescent="0.15">
      <c r="A75" s="5">
        <v>74</v>
      </c>
      <c r="B75" s="6">
        <v>44952</v>
      </c>
      <c r="C75" s="7" t="s">
        <v>15</v>
      </c>
      <c r="D75" s="8" t="s">
        <v>234</v>
      </c>
      <c r="E75" s="8" t="s">
        <v>235</v>
      </c>
      <c r="F75" s="8" t="s">
        <v>236</v>
      </c>
      <c r="G75" s="9">
        <v>43709</v>
      </c>
      <c r="H75" s="10" t="s">
        <v>100</v>
      </c>
      <c r="I75" s="8"/>
      <c r="J75" s="11">
        <v>8809023587</v>
      </c>
      <c r="K75" s="11">
        <v>9304043436</v>
      </c>
      <c r="L75" s="8" t="s">
        <v>45</v>
      </c>
      <c r="M75" s="8"/>
      <c r="N75" s="8" t="s">
        <v>21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 x14ac:dyDescent="0.15">
      <c r="A76" s="5">
        <v>75</v>
      </c>
      <c r="B76" s="6">
        <v>44952</v>
      </c>
      <c r="C76" s="7" t="s">
        <v>15</v>
      </c>
      <c r="D76" s="8" t="s">
        <v>237</v>
      </c>
      <c r="E76" s="8" t="s">
        <v>235</v>
      </c>
      <c r="F76" s="8" t="s">
        <v>236</v>
      </c>
      <c r="G76" s="21">
        <v>42384</v>
      </c>
      <c r="H76" s="10" t="s">
        <v>28</v>
      </c>
      <c r="I76" s="8"/>
      <c r="J76" s="11">
        <v>8809023587</v>
      </c>
      <c r="K76" s="11">
        <v>9304043436</v>
      </c>
      <c r="L76" s="8" t="s">
        <v>45</v>
      </c>
      <c r="M76" s="8"/>
      <c r="N76" s="8" t="s">
        <v>21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 x14ac:dyDescent="0.15">
      <c r="A77" s="5">
        <v>76</v>
      </c>
      <c r="B77" s="6">
        <v>44952</v>
      </c>
      <c r="C77" s="7" t="s">
        <v>15</v>
      </c>
      <c r="D77" s="8" t="s">
        <v>238</v>
      </c>
      <c r="E77" s="8" t="s">
        <v>235</v>
      </c>
      <c r="F77" s="8" t="s">
        <v>236</v>
      </c>
      <c r="G77" s="9">
        <v>41853</v>
      </c>
      <c r="H77" s="10" t="s">
        <v>83</v>
      </c>
      <c r="I77" s="8"/>
      <c r="J77" s="11">
        <v>8809023587</v>
      </c>
      <c r="K77" s="11">
        <v>9304043436</v>
      </c>
      <c r="L77" s="8" t="s">
        <v>45</v>
      </c>
      <c r="M77" s="8"/>
      <c r="N77" s="8" t="s">
        <v>21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 x14ac:dyDescent="0.15">
      <c r="A78" s="5">
        <v>77</v>
      </c>
      <c r="B78" s="6">
        <v>44957</v>
      </c>
      <c r="C78" s="8" t="s">
        <v>22</v>
      </c>
      <c r="D78" s="8" t="s">
        <v>239</v>
      </c>
      <c r="E78" s="8" t="s">
        <v>240</v>
      </c>
      <c r="F78" s="8"/>
      <c r="G78" s="9">
        <v>2009</v>
      </c>
      <c r="H78" s="10" t="s">
        <v>198</v>
      </c>
      <c r="I78" s="11">
        <v>661675736244</v>
      </c>
      <c r="J78" s="8"/>
      <c r="K78" s="8"/>
      <c r="L78" s="8" t="s">
        <v>241</v>
      </c>
      <c r="M78" s="8"/>
      <c r="N78" s="8" t="s">
        <v>21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 x14ac:dyDescent="0.15">
      <c r="A79" s="16">
        <v>78</v>
      </c>
      <c r="B79" s="22">
        <v>44985</v>
      </c>
      <c r="C79" s="23" t="s">
        <v>22</v>
      </c>
      <c r="D79" s="23" t="s">
        <v>242</v>
      </c>
      <c r="E79" s="23" t="s">
        <v>243</v>
      </c>
      <c r="F79" s="23" t="s">
        <v>244</v>
      </c>
      <c r="G79" s="24">
        <v>42856</v>
      </c>
      <c r="H79" s="25" t="s">
        <v>245</v>
      </c>
      <c r="I79" s="23">
        <v>751057730979</v>
      </c>
      <c r="J79" s="23">
        <v>7033666624</v>
      </c>
      <c r="K79" s="23">
        <v>7033666624</v>
      </c>
      <c r="L79" s="8" t="s">
        <v>241</v>
      </c>
      <c r="N79" s="23" t="s">
        <v>30</v>
      </c>
    </row>
    <row r="80" spans="1:30" ht="15.75" customHeight="1" x14ac:dyDescent="0.15">
      <c r="A80" s="5">
        <v>79</v>
      </c>
      <c r="B80" s="6">
        <v>44994</v>
      </c>
      <c r="C80" s="7" t="s">
        <v>15</v>
      </c>
      <c r="D80" s="8" t="s">
        <v>246</v>
      </c>
      <c r="E80" s="8" t="s">
        <v>247</v>
      </c>
      <c r="F80" s="8" t="s">
        <v>248</v>
      </c>
      <c r="G80" s="9">
        <v>40544</v>
      </c>
      <c r="H80" s="10" t="s">
        <v>28</v>
      </c>
      <c r="I80" s="11">
        <v>577045454414</v>
      </c>
      <c r="J80" s="11">
        <v>9931742146</v>
      </c>
      <c r="K80" s="11">
        <v>9931742146</v>
      </c>
      <c r="L80" s="8" t="s">
        <v>249</v>
      </c>
      <c r="M80" s="8"/>
      <c r="N80" s="8" t="s">
        <v>21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 x14ac:dyDescent="0.15">
      <c r="A81" s="5">
        <v>80</v>
      </c>
      <c r="B81" s="6">
        <v>44994</v>
      </c>
      <c r="C81" s="7" t="s">
        <v>15</v>
      </c>
      <c r="D81" s="8" t="s">
        <v>250</v>
      </c>
      <c r="E81" s="8" t="s">
        <v>251</v>
      </c>
      <c r="F81" s="8" t="s">
        <v>252</v>
      </c>
      <c r="G81" s="9">
        <v>41487</v>
      </c>
      <c r="H81" s="10" t="s">
        <v>28</v>
      </c>
      <c r="I81" s="11">
        <v>903093500808</v>
      </c>
      <c r="J81" s="11">
        <v>6299311049</v>
      </c>
      <c r="K81" s="11">
        <v>6299311049</v>
      </c>
      <c r="L81" s="8" t="s">
        <v>253</v>
      </c>
      <c r="M81" s="8"/>
      <c r="N81" s="8" t="s">
        <v>21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 x14ac:dyDescent="0.15">
      <c r="A82" s="5">
        <v>81</v>
      </c>
      <c r="B82" s="6">
        <v>44994</v>
      </c>
      <c r="C82" s="7" t="s">
        <v>15</v>
      </c>
      <c r="D82" s="8" t="s">
        <v>254</v>
      </c>
      <c r="E82" s="8" t="s">
        <v>255</v>
      </c>
      <c r="F82" s="8" t="s">
        <v>256</v>
      </c>
      <c r="G82" s="13"/>
      <c r="H82" s="10" t="s">
        <v>28</v>
      </c>
      <c r="I82" s="11">
        <v>289971787685</v>
      </c>
      <c r="J82" s="11">
        <v>8051005138</v>
      </c>
      <c r="K82" s="11">
        <v>8051005138</v>
      </c>
      <c r="L82" s="8" t="s">
        <v>253</v>
      </c>
      <c r="M82" s="8"/>
      <c r="N82" s="8" t="s">
        <v>21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 x14ac:dyDescent="0.15">
      <c r="A83" s="5">
        <v>82</v>
      </c>
      <c r="B83" s="6">
        <v>44998</v>
      </c>
      <c r="C83" s="7" t="s">
        <v>15</v>
      </c>
      <c r="D83" s="8" t="s">
        <v>257</v>
      </c>
      <c r="E83" s="8" t="s">
        <v>258</v>
      </c>
      <c r="F83" s="8" t="s">
        <v>259</v>
      </c>
      <c r="G83" s="13">
        <v>42503</v>
      </c>
      <c r="H83" s="10" t="s">
        <v>245</v>
      </c>
      <c r="I83" s="11">
        <v>982858063025</v>
      </c>
      <c r="J83" s="11">
        <v>8809878555</v>
      </c>
      <c r="K83" s="11">
        <v>8809878555</v>
      </c>
      <c r="L83" s="8" t="s">
        <v>260</v>
      </c>
      <c r="M83" s="8"/>
      <c r="N83" s="8" t="s">
        <v>21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 x14ac:dyDescent="0.15">
      <c r="A84" s="5">
        <v>83</v>
      </c>
      <c r="B84" s="6">
        <v>44999</v>
      </c>
      <c r="C84" s="7" t="s">
        <v>15</v>
      </c>
      <c r="D84" s="8" t="s">
        <v>261</v>
      </c>
      <c r="E84" s="8" t="s">
        <v>262</v>
      </c>
      <c r="F84" s="8" t="s">
        <v>263</v>
      </c>
      <c r="G84" s="9">
        <v>41270</v>
      </c>
      <c r="H84" s="10" t="s">
        <v>83</v>
      </c>
      <c r="I84" s="11">
        <v>723288919547</v>
      </c>
      <c r="J84" s="11">
        <v>8102113518</v>
      </c>
      <c r="K84" s="11">
        <v>8102113518</v>
      </c>
      <c r="L84" s="8" t="s">
        <v>264</v>
      </c>
      <c r="M84" s="8"/>
      <c r="N84" s="8" t="s">
        <v>21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 x14ac:dyDescent="0.15">
      <c r="A85" s="16">
        <v>84</v>
      </c>
      <c r="B85" s="22">
        <v>45006</v>
      </c>
      <c r="C85" s="23" t="s">
        <v>22</v>
      </c>
      <c r="D85" s="23" t="s">
        <v>265</v>
      </c>
      <c r="E85" s="23" t="s">
        <v>165</v>
      </c>
      <c r="F85" s="23" t="s">
        <v>166</v>
      </c>
      <c r="G85" s="24">
        <v>43482</v>
      </c>
      <c r="H85" s="25" t="s">
        <v>245</v>
      </c>
      <c r="I85" s="23">
        <v>248675295651</v>
      </c>
      <c r="J85" s="23">
        <v>9064803071</v>
      </c>
      <c r="K85" s="23">
        <v>8436355725</v>
      </c>
      <c r="L85" s="23" t="s">
        <v>266</v>
      </c>
      <c r="N85" s="23" t="s">
        <v>30</v>
      </c>
    </row>
    <row r="86" spans="1:30" ht="15.75" customHeight="1" x14ac:dyDescent="0.15">
      <c r="A86" s="16">
        <v>85</v>
      </c>
      <c r="B86" s="22">
        <v>45006</v>
      </c>
      <c r="C86" s="23" t="s">
        <v>15</v>
      </c>
      <c r="D86" s="23" t="s">
        <v>267</v>
      </c>
      <c r="E86" s="23" t="s">
        <v>268</v>
      </c>
      <c r="F86" s="23" t="s">
        <v>269</v>
      </c>
      <c r="G86" s="24">
        <v>41640</v>
      </c>
      <c r="H86" s="25" t="s">
        <v>28</v>
      </c>
      <c r="I86" s="23">
        <v>681616924448</v>
      </c>
      <c r="J86" s="23">
        <v>9801054651</v>
      </c>
      <c r="K86" s="23">
        <v>9199815172</v>
      </c>
      <c r="L86" s="23" t="s">
        <v>270</v>
      </c>
      <c r="N86" s="23" t="s">
        <v>21</v>
      </c>
    </row>
    <row r="87" spans="1:30" ht="15.75" customHeight="1" x14ac:dyDescent="0.15">
      <c r="A87" s="16">
        <v>86</v>
      </c>
      <c r="B87" s="22">
        <v>45017</v>
      </c>
      <c r="C87" s="23" t="s">
        <v>15</v>
      </c>
      <c r="D87" s="23" t="s">
        <v>271</v>
      </c>
      <c r="E87" s="23" t="s">
        <v>272</v>
      </c>
      <c r="F87" s="23" t="s">
        <v>273</v>
      </c>
      <c r="G87" s="24">
        <v>40009</v>
      </c>
      <c r="H87" s="25" t="s">
        <v>104</v>
      </c>
      <c r="I87" s="23">
        <v>892378980000</v>
      </c>
      <c r="J87" s="23">
        <v>8777097447</v>
      </c>
      <c r="K87" s="23">
        <v>8777097447</v>
      </c>
      <c r="L87" s="23" t="s">
        <v>274</v>
      </c>
      <c r="N87" s="23" t="s">
        <v>21</v>
      </c>
    </row>
    <row r="88" spans="1:30" ht="15.75" customHeight="1" x14ac:dyDescent="0.15">
      <c r="A88" s="16">
        <v>87</v>
      </c>
      <c r="B88" s="26">
        <v>45017</v>
      </c>
      <c r="C88" s="18" t="s">
        <v>15</v>
      </c>
      <c r="D88" s="18" t="s">
        <v>275</v>
      </c>
      <c r="E88" s="18" t="s">
        <v>272</v>
      </c>
      <c r="F88" s="18" t="s">
        <v>273</v>
      </c>
      <c r="G88" s="19">
        <v>41764</v>
      </c>
      <c r="H88" s="20" t="s">
        <v>65</v>
      </c>
      <c r="I88" s="18">
        <v>378053937425</v>
      </c>
      <c r="J88" s="18">
        <v>8777097447</v>
      </c>
      <c r="K88" s="18">
        <v>8777097447</v>
      </c>
      <c r="L88" s="18" t="s">
        <v>274</v>
      </c>
      <c r="M88" s="18"/>
      <c r="N88" s="18" t="s">
        <v>30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spans="1:30" ht="15.75" customHeight="1" x14ac:dyDescent="0.15">
      <c r="A89" s="16">
        <v>88</v>
      </c>
      <c r="B89" s="26">
        <v>45017</v>
      </c>
      <c r="C89" s="18" t="s">
        <v>15</v>
      </c>
      <c r="D89" s="18" t="s">
        <v>276</v>
      </c>
      <c r="E89" s="18" t="s">
        <v>277</v>
      </c>
      <c r="F89" s="18" t="s">
        <v>278</v>
      </c>
      <c r="G89" s="19">
        <v>41361</v>
      </c>
      <c r="H89" s="20" t="s">
        <v>65</v>
      </c>
      <c r="I89" s="18">
        <v>253909735900</v>
      </c>
      <c r="J89" s="18">
        <v>8777097447</v>
      </c>
      <c r="K89" s="18">
        <v>8777097447</v>
      </c>
      <c r="L89" s="18" t="s">
        <v>274</v>
      </c>
      <c r="M89" s="18"/>
      <c r="N89" s="18" t="s">
        <v>21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spans="1:30" ht="15.75" customHeight="1" x14ac:dyDescent="0.15">
      <c r="A90" s="16">
        <v>89</v>
      </c>
      <c r="B90" s="26">
        <v>45026</v>
      </c>
      <c r="C90" s="18" t="s">
        <v>15</v>
      </c>
      <c r="D90" s="18" t="s">
        <v>279</v>
      </c>
      <c r="E90" s="18" t="s">
        <v>280</v>
      </c>
      <c r="F90" s="18" t="s">
        <v>281</v>
      </c>
      <c r="G90" s="19">
        <v>40544</v>
      </c>
      <c r="H90" s="20" t="s">
        <v>198</v>
      </c>
      <c r="I90" s="18">
        <v>561735520952</v>
      </c>
      <c r="J90" s="18">
        <v>6204730680</v>
      </c>
      <c r="K90" s="18">
        <v>6204730680</v>
      </c>
      <c r="L90" s="18" t="s">
        <v>282</v>
      </c>
      <c r="M90" s="18"/>
      <c r="N90" s="18" t="s">
        <v>21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spans="1:30" ht="15.75" customHeight="1" x14ac:dyDescent="0.15">
      <c r="A91" s="16">
        <v>90</v>
      </c>
      <c r="B91" s="22">
        <v>45028</v>
      </c>
      <c r="C91" s="23" t="s">
        <v>15</v>
      </c>
      <c r="D91" s="23" t="s">
        <v>283</v>
      </c>
      <c r="E91" s="23" t="s">
        <v>284</v>
      </c>
      <c r="F91" s="23" t="s">
        <v>285</v>
      </c>
      <c r="G91" s="24">
        <v>41364</v>
      </c>
      <c r="H91" s="25" t="s">
        <v>83</v>
      </c>
      <c r="I91" s="23">
        <v>597600175092</v>
      </c>
      <c r="J91" s="23">
        <v>9546591339</v>
      </c>
      <c r="K91" s="23">
        <v>9546591339</v>
      </c>
      <c r="L91" s="23" t="s">
        <v>286</v>
      </c>
      <c r="N91" s="23" t="s">
        <v>21</v>
      </c>
    </row>
    <row r="92" spans="1:30" ht="15.75" customHeight="1" x14ac:dyDescent="0.15">
      <c r="A92" s="5">
        <v>91</v>
      </c>
      <c r="B92" s="12"/>
      <c r="C92" s="8" t="s">
        <v>22</v>
      </c>
      <c r="D92" s="8" t="s">
        <v>287</v>
      </c>
      <c r="E92" s="8" t="s">
        <v>288</v>
      </c>
      <c r="F92" s="8" t="s">
        <v>289</v>
      </c>
      <c r="G92" s="13"/>
      <c r="H92" s="10" t="s">
        <v>28</v>
      </c>
      <c r="I92" s="8"/>
      <c r="J92" s="11">
        <v>9162959792</v>
      </c>
      <c r="K92" s="8"/>
      <c r="L92" s="8"/>
      <c r="M92" s="8"/>
      <c r="N92" s="8" t="s">
        <v>21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3" x14ac:dyDescent="0.15">
      <c r="A93" s="5">
        <v>92</v>
      </c>
      <c r="B93" s="12"/>
      <c r="C93" s="7" t="s">
        <v>15</v>
      </c>
      <c r="D93" s="8" t="s">
        <v>290</v>
      </c>
      <c r="E93" s="8" t="s">
        <v>291</v>
      </c>
      <c r="F93" s="8"/>
      <c r="G93" s="13"/>
      <c r="H93" s="10" t="s">
        <v>210</v>
      </c>
      <c r="I93" s="8"/>
      <c r="J93" s="8"/>
      <c r="K93" s="8"/>
      <c r="L93" s="8"/>
      <c r="M93" s="8"/>
      <c r="N93" s="8" t="s">
        <v>21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3" x14ac:dyDescent="0.15">
      <c r="A94" s="5">
        <v>93</v>
      </c>
      <c r="B94" s="6">
        <v>44766</v>
      </c>
      <c r="C94" s="7" t="s">
        <v>15</v>
      </c>
      <c r="D94" s="8" t="s">
        <v>292</v>
      </c>
      <c r="E94" s="8" t="s">
        <v>293</v>
      </c>
      <c r="F94" s="8" t="s">
        <v>294</v>
      </c>
      <c r="G94" s="27">
        <v>41825</v>
      </c>
      <c r="H94" s="10" t="s">
        <v>83</v>
      </c>
      <c r="I94" s="11">
        <v>265069794885</v>
      </c>
      <c r="J94" s="11">
        <v>8789153525</v>
      </c>
      <c r="K94" s="11">
        <v>8789153525</v>
      </c>
      <c r="L94" s="8" t="s">
        <v>295</v>
      </c>
      <c r="M94" s="8"/>
      <c r="N94" s="8" t="s">
        <v>21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3" x14ac:dyDescent="0.15">
      <c r="A95" s="16">
        <v>94</v>
      </c>
      <c r="B95" s="22">
        <v>45044</v>
      </c>
      <c r="C95" s="23" t="s">
        <v>15</v>
      </c>
      <c r="D95" s="23" t="s">
        <v>296</v>
      </c>
      <c r="E95" s="23" t="s">
        <v>297</v>
      </c>
      <c r="F95" s="23" t="s">
        <v>298</v>
      </c>
      <c r="G95" s="24">
        <v>39448</v>
      </c>
      <c r="H95" s="25" t="s">
        <v>40</v>
      </c>
      <c r="I95" s="23">
        <v>396656563928</v>
      </c>
      <c r="J95" s="23">
        <v>9065655516</v>
      </c>
      <c r="K95" s="23">
        <v>9065655516</v>
      </c>
      <c r="L95" s="23" t="s">
        <v>119</v>
      </c>
      <c r="N95" s="23" t="s">
        <v>21</v>
      </c>
    </row>
    <row r="96" spans="1:30" ht="13" x14ac:dyDescent="0.15">
      <c r="A96" s="16">
        <v>95</v>
      </c>
      <c r="B96" s="22">
        <v>45044</v>
      </c>
      <c r="C96" s="23" t="s">
        <v>15</v>
      </c>
      <c r="D96" s="23" t="s">
        <v>299</v>
      </c>
      <c r="E96" s="23" t="s">
        <v>297</v>
      </c>
      <c r="F96" s="23" t="s">
        <v>298</v>
      </c>
      <c r="G96" s="24">
        <v>40179</v>
      </c>
      <c r="H96" s="25" t="s">
        <v>65</v>
      </c>
      <c r="I96" s="23">
        <v>356135818500</v>
      </c>
      <c r="J96" s="23">
        <v>9065655516</v>
      </c>
      <c r="K96" s="23">
        <v>9065655516</v>
      </c>
      <c r="L96" s="23" t="s">
        <v>119</v>
      </c>
      <c r="N96" s="23" t="s">
        <v>21</v>
      </c>
    </row>
    <row r="97" spans="1:30" ht="13" x14ac:dyDescent="0.15">
      <c r="A97" s="16">
        <v>96</v>
      </c>
      <c r="B97" s="22">
        <v>45045</v>
      </c>
      <c r="C97" s="23" t="s">
        <v>22</v>
      </c>
      <c r="D97" s="23" t="s">
        <v>300</v>
      </c>
      <c r="E97" s="23" t="s">
        <v>301</v>
      </c>
      <c r="F97" s="23" t="s">
        <v>302</v>
      </c>
      <c r="G97" s="24">
        <v>42895</v>
      </c>
      <c r="H97" s="25" t="s">
        <v>100</v>
      </c>
      <c r="I97" s="23">
        <v>203418851983</v>
      </c>
      <c r="J97" s="23">
        <v>9708627203</v>
      </c>
      <c r="K97" s="23">
        <v>9708627203</v>
      </c>
      <c r="L97" s="23" t="s">
        <v>303</v>
      </c>
      <c r="N97" s="23" t="s">
        <v>21</v>
      </c>
    </row>
    <row r="98" spans="1:30" ht="13" x14ac:dyDescent="0.15">
      <c r="A98" s="16">
        <v>97</v>
      </c>
      <c r="B98" s="22">
        <v>45046</v>
      </c>
      <c r="C98" s="23" t="s">
        <v>15</v>
      </c>
      <c r="D98" s="23" t="s">
        <v>304</v>
      </c>
      <c r="E98" s="23" t="s">
        <v>305</v>
      </c>
      <c r="F98" s="23" t="s">
        <v>306</v>
      </c>
      <c r="G98" s="24">
        <v>40975</v>
      </c>
      <c r="H98" s="25" t="s">
        <v>19</v>
      </c>
      <c r="I98" s="23">
        <v>823527556640</v>
      </c>
      <c r="J98" s="23">
        <v>7766004567</v>
      </c>
      <c r="K98" s="23">
        <v>7766004567</v>
      </c>
      <c r="L98" s="23" t="s">
        <v>307</v>
      </c>
      <c r="N98" s="23" t="s">
        <v>21</v>
      </c>
    </row>
    <row r="99" spans="1:30" ht="13" x14ac:dyDescent="0.15">
      <c r="A99" s="16">
        <v>98</v>
      </c>
      <c r="B99" s="28">
        <v>45046</v>
      </c>
      <c r="C99" s="23" t="s">
        <v>15</v>
      </c>
      <c r="D99" s="23" t="s">
        <v>308</v>
      </c>
      <c r="E99" s="23" t="s">
        <v>309</v>
      </c>
      <c r="F99" s="23" t="s">
        <v>306</v>
      </c>
      <c r="G99" s="24">
        <v>39926</v>
      </c>
      <c r="H99" s="25" t="s">
        <v>210</v>
      </c>
      <c r="I99" s="23">
        <v>893363282037</v>
      </c>
      <c r="J99" s="23">
        <v>7766004567</v>
      </c>
      <c r="K99" s="23">
        <v>7766004567</v>
      </c>
      <c r="L99" s="23" t="s">
        <v>307</v>
      </c>
      <c r="N99" s="23" t="s">
        <v>21</v>
      </c>
    </row>
    <row r="100" spans="1:30" ht="13" x14ac:dyDescent="0.15">
      <c r="A100" s="16">
        <v>99</v>
      </c>
      <c r="B100" s="22">
        <v>45044</v>
      </c>
      <c r="C100" s="23" t="s">
        <v>22</v>
      </c>
      <c r="D100" s="23" t="s">
        <v>310</v>
      </c>
      <c r="E100" s="23" t="s">
        <v>268</v>
      </c>
      <c r="F100" s="23" t="s">
        <v>311</v>
      </c>
      <c r="G100" s="24"/>
      <c r="H100" s="25" t="s">
        <v>51</v>
      </c>
      <c r="I100" s="23"/>
      <c r="J100" s="23">
        <v>7481895118</v>
      </c>
      <c r="K100" s="23">
        <v>7481895118</v>
      </c>
      <c r="L100" s="23" t="s">
        <v>312</v>
      </c>
      <c r="N100" s="23" t="s">
        <v>30</v>
      </c>
      <c r="O100" s="23" t="s">
        <v>313</v>
      </c>
    </row>
    <row r="101" spans="1:30" ht="13" x14ac:dyDescent="0.15">
      <c r="A101" s="16">
        <v>100</v>
      </c>
      <c r="B101" s="26">
        <v>45047</v>
      </c>
      <c r="C101" s="18" t="s">
        <v>15</v>
      </c>
      <c r="D101" s="18" t="s">
        <v>314</v>
      </c>
      <c r="E101" s="18" t="s">
        <v>315</v>
      </c>
      <c r="F101" s="18" t="s">
        <v>316</v>
      </c>
      <c r="G101" s="19">
        <v>39448</v>
      </c>
      <c r="H101" s="20" t="s">
        <v>19</v>
      </c>
      <c r="I101" s="18">
        <v>924480231537</v>
      </c>
      <c r="J101" s="18">
        <v>9939407497</v>
      </c>
      <c r="K101" s="18">
        <v>9939407497</v>
      </c>
      <c r="L101" s="18" t="s">
        <v>317</v>
      </c>
      <c r="M101" s="18"/>
      <c r="N101" s="18" t="s">
        <v>21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spans="1:30" ht="13" x14ac:dyDescent="0.15">
      <c r="A102" s="16">
        <v>101</v>
      </c>
      <c r="B102" s="26">
        <v>45047</v>
      </c>
      <c r="C102" s="23" t="s">
        <v>22</v>
      </c>
      <c r="D102" s="23" t="s">
        <v>318</v>
      </c>
      <c r="E102" s="23" t="s">
        <v>319</v>
      </c>
      <c r="F102" s="23" t="s">
        <v>320</v>
      </c>
      <c r="G102" s="24">
        <v>45245</v>
      </c>
      <c r="H102" s="25" t="s">
        <v>28</v>
      </c>
      <c r="I102" s="23">
        <v>741497691305</v>
      </c>
      <c r="J102" s="23">
        <v>7407845971</v>
      </c>
      <c r="K102" s="23">
        <v>7407845971</v>
      </c>
      <c r="L102" s="23" t="s">
        <v>149</v>
      </c>
      <c r="N102" s="23" t="s">
        <v>21</v>
      </c>
    </row>
    <row r="103" spans="1:30" ht="13" x14ac:dyDescent="0.15">
      <c r="A103" s="16">
        <v>102</v>
      </c>
      <c r="B103" s="26">
        <v>45048</v>
      </c>
      <c r="C103" s="18" t="s">
        <v>22</v>
      </c>
      <c r="D103" s="18" t="s">
        <v>321</v>
      </c>
      <c r="E103" s="18" t="s">
        <v>322</v>
      </c>
      <c r="F103" s="18" t="s">
        <v>323</v>
      </c>
      <c r="G103" s="19">
        <v>43273</v>
      </c>
      <c r="H103" s="20" t="s">
        <v>100</v>
      </c>
      <c r="I103" s="18"/>
      <c r="J103" s="18">
        <v>6205109895</v>
      </c>
      <c r="K103" s="18">
        <v>6205109895</v>
      </c>
      <c r="L103" s="18" t="s">
        <v>324</v>
      </c>
      <c r="M103" s="18"/>
      <c r="N103" s="18" t="s">
        <v>21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spans="1:30" ht="13" x14ac:dyDescent="0.15">
      <c r="A104" s="16">
        <v>103</v>
      </c>
      <c r="B104" s="26">
        <v>45048</v>
      </c>
      <c r="C104" s="18" t="s">
        <v>15</v>
      </c>
      <c r="D104" s="18" t="s">
        <v>325</v>
      </c>
      <c r="E104" s="18" t="s">
        <v>326</v>
      </c>
      <c r="F104" s="18" t="s">
        <v>327</v>
      </c>
      <c r="G104" s="19">
        <v>41196</v>
      </c>
      <c r="H104" s="20" t="s">
        <v>65</v>
      </c>
      <c r="I104" s="18">
        <v>826565097422</v>
      </c>
      <c r="J104" s="18">
        <v>8797884145</v>
      </c>
      <c r="K104" s="18">
        <v>8797884145</v>
      </c>
      <c r="L104" s="18" t="s">
        <v>328</v>
      </c>
      <c r="M104" s="18"/>
      <c r="N104" s="18" t="s">
        <v>21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spans="1:30" ht="13" x14ac:dyDescent="0.15">
      <c r="A105" s="16">
        <v>104</v>
      </c>
      <c r="B105" s="26">
        <v>45048</v>
      </c>
      <c r="C105" s="23" t="s">
        <v>15</v>
      </c>
      <c r="D105" s="23" t="s">
        <v>329</v>
      </c>
      <c r="E105" s="23" t="s">
        <v>330</v>
      </c>
      <c r="G105" s="24">
        <v>40745</v>
      </c>
      <c r="H105" s="25" t="s">
        <v>19</v>
      </c>
      <c r="I105" s="23">
        <v>716798101837</v>
      </c>
      <c r="J105" s="23">
        <v>8825394934</v>
      </c>
      <c r="K105" s="23">
        <v>8825394934</v>
      </c>
      <c r="L105" s="23" t="s">
        <v>331</v>
      </c>
      <c r="N105" s="23" t="s">
        <v>21</v>
      </c>
      <c r="O105" s="23" t="s">
        <v>313</v>
      </c>
    </row>
    <row r="106" spans="1:30" ht="13" x14ac:dyDescent="0.15">
      <c r="A106" s="16">
        <v>105</v>
      </c>
      <c r="B106" s="26">
        <v>45048</v>
      </c>
      <c r="C106" s="23" t="s">
        <v>22</v>
      </c>
      <c r="D106" s="23" t="s">
        <v>332</v>
      </c>
      <c r="E106" s="23" t="s">
        <v>333</v>
      </c>
      <c r="G106" s="24">
        <v>42729</v>
      </c>
      <c r="H106" s="25" t="s">
        <v>245</v>
      </c>
      <c r="I106" s="23">
        <v>685378379609</v>
      </c>
      <c r="J106" s="11">
        <v>7070636161</v>
      </c>
      <c r="K106" s="11">
        <v>7070636161</v>
      </c>
      <c r="L106" s="23" t="s">
        <v>334</v>
      </c>
      <c r="N106" s="23" t="s">
        <v>30</v>
      </c>
    </row>
    <row r="107" spans="1:30" ht="13" x14ac:dyDescent="0.15">
      <c r="A107" s="16">
        <v>106</v>
      </c>
      <c r="B107" s="26">
        <v>45048</v>
      </c>
      <c r="C107" s="23" t="s">
        <v>15</v>
      </c>
      <c r="D107" s="23" t="s">
        <v>335</v>
      </c>
      <c r="E107" s="23" t="s">
        <v>121</v>
      </c>
      <c r="G107" s="24">
        <v>40188</v>
      </c>
      <c r="H107" s="25" t="s">
        <v>19</v>
      </c>
      <c r="I107" s="23">
        <v>975502095931</v>
      </c>
      <c r="J107" s="23">
        <v>7366929565</v>
      </c>
      <c r="K107" s="23">
        <v>7366929565</v>
      </c>
      <c r="L107" s="23" t="s">
        <v>336</v>
      </c>
      <c r="N107" s="23" t="s">
        <v>21</v>
      </c>
    </row>
    <row r="108" spans="1:30" ht="13" x14ac:dyDescent="0.15">
      <c r="A108" s="5">
        <v>107</v>
      </c>
      <c r="B108" s="6">
        <v>44761</v>
      </c>
      <c r="C108" s="7" t="s">
        <v>15</v>
      </c>
      <c r="D108" s="8" t="s">
        <v>337</v>
      </c>
      <c r="E108" s="8" t="s">
        <v>338</v>
      </c>
      <c r="F108" s="8" t="s">
        <v>339</v>
      </c>
      <c r="G108" s="9">
        <v>40179</v>
      </c>
      <c r="H108" s="10" t="s">
        <v>40</v>
      </c>
      <c r="I108" s="11">
        <v>212425405647</v>
      </c>
      <c r="J108" s="11">
        <v>7739685238</v>
      </c>
      <c r="K108" s="11">
        <v>7739685238</v>
      </c>
      <c r="L108" s="8" t="s">
        <v>340</v>
      </c>
      <c r="M108" s="8"/>
      <c r="N108" s="8" t="s">
        <v>21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3" x14ac:dyDescent="0.15">
      <c r="A109" s="5">
        <v>108</v>
      </c>
      <c r="B109" s="12"/>
      <c r="C109" s="7" t="s">
        <v>15</v>
      </c>
      <c r="D109" s="8" t="s">
        <v>341</v>
      </c>
      <c r="E109" s="8" t="s">
        <v>342</v>
      </c>
      <c r="F109" s="8"/>
      <c r="G109" s="13"/>
      <c r="H109" s="10" t="s">
        <v>19</v>
      </c>
      <c r="I109" s="8"/>
      <c r="J109" s="11">
        <v>8340636663</v>
      </c>
      <c r="K109" s="8"/>
      <c r="L109" s="8"/>
      <c r="M109" s="8"/>
      <c r="N109" s="8" t="s">
        <v>21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3" x14ac:dyDescent="0.15">
      <c r="A110" s="5">
        <v>109</v>
      </c>
      <c r="B110" s="12"/>
      <c r="C110" s="7" t="s">
        <v>15</v>
      </c>
      <c r="D110" s="8" t="s">
        <v>343</v>
      </c>
      <c r="E110" s="8" t="s">
        <v>342</v>
      </c>
      <c r="F110" s="8"/>
      <c r="G110" s="13"/>
      <c r="H110" s="10" t="s">
        <v>104</v>
      </c>
      <c r="I110" s="8"/>
      <c r="J110" s="11">
        <v>8340636663</v>
      </c>
      <c r="K110" s="8"/>
      <c r="L110" s="8"/>
      <c r="M110" s="8"/>
      <c r="N110" s="8" t="s">
        <v>21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3" x14ac:dyDescent="0.15">
      <c r="A111" s="5">
        <v>110</v>
      </c>
      <c r="B111" s="12"/>
      <c r="C111" s="8" t="s">
        <v>22</v>
      </c>
      <c r="D111" s="8" t="s">
        <v>344</v>
      </c>
      <c r="E111" s="8" t="s">
        <v>345</v>
      </c>
      <c r="F111" s="8" t="s">
        <v>346</v>
      </c>
      <c r="G111" s="13"/>
      <c r="H111" s="10" t="s">
        <v>28</v>
      </c>
      <c r="I111" s="8"/>
      <c r="J111" s="11">
        <v>8521469562</v>
      </c>
      <c r="K111" s="8"/>
      <c r="L111" s="8" t="s">
        <v>146</v>
      </c>
      <c r="M111" s="8"/>
      <c r="N111" s="8" t="s">
        <v>21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3" x14ac:dyDescent="0.15">
      <c r="A112" s="16">
        <v>111</v>
      </c>
      <c r="B112" s="22">
        <v>45050</v>
      </c>
      <c r="C112" s="23" t="s">
        <v>15</v>
      </c>
      <c r="D112" s="23" t="s">
        <v>347</v>
      </c>
      <c r="E112" s="23" t="s">
        <v>348</v>
      </c>
      <c r="G112" s="24">
        <v>40179</v>
      </c>
      <c r="H112" s="25" t="s">
        <v>40</v>
      </c>
      <c r="I112" s="23">
        <v>467529888468</v>
      </c>
      <c r="J112" s="23">
        <v>9523044245</v>
      </c>
      <c r="K112" s="23">
        <v>9523044245</v>
      </c>
      <c r="L112" s="23" t="s">
        <v>349</v>
      </c>
      <c r="N112" s="23" t="s">
        <v>21</v>
      </c>
    </row>
    <row r="113" spans="1:30" ht="13" x14ac:dyDescent="0.15">
      <c r="A113" s="16">
        <v>112</v>
      </c>
      <c r="B113" s="26">
        <v>45050</v>
      </c>
      <c r="C113" s="18" t="s">
        <v>15</v>
      </c>
      <c r="D113" s="18" t="s">
        <v>350</v>
      </c>
      <c r="E113" s="18" t="s">
        <v>351</v>
      </c>
      <c r="F113" s="18" t="s">
        <v>352</v>
      </c>
      <c r="G113" s="18" t="s">
        <v>353</v>
      </c>
      <c r="H113" s="20" t="s">
        <v>65</v>
      </c>
      <c r="I113" s="18">
        <v>923401436039</v>
      </c>
      <c r="J113" s="18">
        <v>9771026583</v>
      </c>
      <c r="K113" s="18">
        <v>9771026583</v>
      </c>
      <c r="L113" s="18" t="s">
        <v>61</v>
      </c>
      <c r="M113" s="18"/>
      <c r="N113" s="18" t="s">
        <v>21</v>
      </c>
      <c r="O113" s="29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spans="1:30" ht="13" x14ac:dyDescent="0.15">
      <c r="A114" s="30">
        <v>113</v>
      </c>
      <c r="B114" s="26">
        <v>45050</v>
      </c>
      <c r="C114" s="29" t="s">
        <v>15</v>
      </c>
      <c r="D114" s="29" t="s">
        <v>354</v>
      </c>
      <c r="E114" s="29" t="s">
        <v>355</v>
      </c>
      <c r="F114" s="29" t="s">
        <v>352</v>
      </c>
      <c r="G114" s="31">
        <v>42716</v>
      </c>
      <c r="H114" s="32" t="s">
        <v>100</v>
      </c>
      <c r="I114" s="29">
        <v>594120099896</v>
      </c>
      <c r="J114" s="29">
        <v>9771026503</v>
      </c>
      <c r="K114" s="29">
        <v>9771026503</v>
      </c>
      <c r="L114" s="18" t="s">
        <v>61</v>
      </c>
      <c r="M114" s="29"/>
      <c r="N114" s="29" t="s">
        <v>21</v>
      </c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</row>
    <row r="115" spans="1:30" ht="13" x14ac:dyDescent="0.15">
      <c r="A115" s="16">
        <v>114</v>
      </c>
      <c r="B115" s="26">
        <v>45050</v>
      </c>
      <c r="C115" s="18" t="s">
        <v>15</v>
      </c>
      <c r="D115" s="18" t="s">
        <v>356</v>
      </c>
      <c r="E115" s="18" t="s">
        <v>357</v>
      </c>
      <c r="F115" s="18"/>
      <c r="G115" s="19">
        <v>41019</v>
      </c>
      <c r="H115" s="20" t="s">
        <v>40</v>
      </c>
      <c r="I115" s="18">
        <v>791263037220</v>
      </c>
      <c r="J115" s="18">
        <v>9883087421</v>
      </c>
      <c r="K115" s="18">
        <v>9883087421</v>
      </c>
      <c r="L115" s="18" t="s">
        <v>358</v>
      </c>
      <c r="M115" s="18"/>
      <c r="N115" s="18" t="s">
        <v>21</v>
      </c>
      <c r="O115" s="29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spans="1:30" ht="13" x14ac:dyDescent="0.15">
      <c r="A116" s="5">
        <v>115</v>
      </c>
      <c r="B116" s="6">
        <v>44762</v>
      </c>
      <c r="C116" s="7" t="s">
        <v>15</v>
      </c>
      <c r="D116" s="8" t="s">
        <v>359</v>
      </c>
      <c r="E116" s="8" t="s">
        <v>360</v>
      </c>
      <c r="F116" s="8" t="s">
        <v>361</v>
      </c>
      <c r="G116" s="9">
        <v>41531</v>
      </c>
      <c r="H116" s="10" t="s">
        <v>28</v>
      </c>
      <c r="I116" s="11">
        <v>722724219791</v>
      </c>
      <c r="J116" s="11">
        <v>6200725672</v>
      </c>
      <c r="K116" s="11">
        <v>6200725672</v>
      </c>
      <c r="L116" s="8" t="s">
        <v>362</v>
      </c>
      <c r="M116" s="8"/>
      <c r="N116" s="8" t="s">
        <v>21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3" x14ac:dyDescent="0.15">
      <c r="A117" s="5">
        <v>116</v>
      </c>
      <c r="B117" s="6">
        <v>44688</v>
      </c>
      <c r="C117" s="7" t="s">
        <v>15</v>
      </c>
      <c r="D117" s="8" t="s">
        <v>363</v>
      </c>
      <c r="E117" s="8" t="s">
        <v>360</v>
      </c>
      <c r="F117" s="8" t="s">
        <v>364</v>
      </c>
      <c r="G117" s="13"/>
      <c r="H117" s="10" t="s">
        <v>28</v>
      </c>
      <c r="I117" s="11">
        <v>397759877231</v>
      </c>
      <c r="J117" s="11">
        <v>6200725672</v>
      </c>
      <c r="K117" s="8"/>
      <c r="L117" s="8" t="s">
        <v>196</v>
      </c>
      <c r="M117" s="8"/>
      <c r="N117" s="8" t="s">
        <v>21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3" x14ac:dyDescent="0.15">
      <c r="A118" s="16">
        <v>117</v>
      </c>
      <c r="B118" s="22">
        <v>45051</v>
      </c>
      <c r="C118" s="23" t="s">
        <v>15</v>
      </c>
      <c r="D118" s="23" t="s">
        <v>365</v>
      </c>
      <c r="E118" s="23" t="s">
        <v>366</v>
      </c>
      <c r="F118" s="23" t="s">
        <v>367</v>
      </c>
      <c r="G118" s="24">
        <v>41958</v>
      </c>
      <c r="H118" s="25" t="s">
        <v>19</v>
      </c>
      <c r="I118" s="23">
        <v>287323181200</v>
      </c>
      <c r="J118" s="23">
        <v>7783066339</v>
      </c>
      <c r="K118" s="23">
        <v>7783066339</v>
      </c>
      <c r="L118" s="23" t="s">
        <v>368</v>
      </c>
      <c r="N118" s="23" t="s">
        <v>21</v>
      </c>
    </row>
    <row r="119" spans="1:30" ht="13" x14ac:dyDescent="0.15">
      <c r="A119" s="16">
        <v>118</v>
      </c>
      <c r="B119" s="22">
        <v>45052</v>
      </c>
      <c r="C119" s="23" t="s">
        <v>15</v>
      </c>
      <c r="D119" s="23" t="s">
        <v>369</v>
      </c>
      <c r="E119" s="23" t="s">
        <v>370</v>
      </c>
      <c r="F119" s="23" t="s">
        <v>371</v>
      </c>
      <c r="G119" s="24">
        <v>42118</v>
      </c>
      <c r="H119" s="25" t="s">
        <v>100</v>
      </c>
      <c r="I119" s="23">
        <v>656213313309</v>
      </c>
      <c r="J119" s="23">
        <v>9199391535</v>
      </c>
      <c r="K119" s="23">
        <v>9572307373</v>
      </c>
      <c r="L119" s="23" t="s">
        <v>372</v>
      </c>
      <c r="N119" s="23" t="s">
        <v>21</v>
      </c>
    </row>
    <row r="120" spans="1:30" ht="13" x14ac:dyDescent="0.15">
      <c r="A120" s="16">
        <v>119</v>
      </c>
      <c r="B120" s="22">
        <v>45052</v>
      </c>
      <c r="C120" s="23" t="s">
        <v>15</v>
      </c>
      <c r="D120" s="23" t="s">
        <v>373</v>
      </c>
      <c r="E120" s="23" t="s">
        <v>330</v>
      </c>
      <c r="F120" s="23" t="s">
        <v>374</v>
      </c>
      <c r="G120" s="28">
        <v>41533</v>
      </c>
      <c r="H120" s="25" t="s">
        <v>83</v>
      </c>
      <c r="I120" s="23">
        <v>853846089206</v>
      </c>
      <c r="J120" s="23">
        <v>8809343430</v>
      </c>
      <c r="K120" s="23">
        <v>8809343430</v>
      </c>
      <c r="L120" s="23" t="s">
        <v>331</v>
      </c>
      <c r="N120" s="23" t="s">
        <v>30</v>
      </c>
      <c r="O120" s="23" t="s">
        <v>313</v>
      </c>
    </row>
    <row r="121" spans="1:30" ht="13" x14ac:dyDescent="0.15">
      <c r="A121" s="5">
        <v>120</v>
      </c>
      <c r="B121" s="12">
        <v>45053</v>
      </c>
      <c r="C121" s="7" t="s">
        <v>15</v>
      </c>
      <c r="D121" s="8" t="s">
        <v>375</v>
      </c>
      <c r="E121" s="33" t="s">
        <v>376</v>
      </c>
      <c r="F121" s="8" t="s">
        <v>377</v>
      </c>
      <c r="G121" s="13">
        <v>42293</v>
      </c>
      <c r="H121" s="10" t="s">
        <v>100</v>
      </c>
      <c r="I121" s="8">
        <v>590748252295</v>
      </c>
      <c r="J121" s="11">
        <v>9835842208</v>
      </c>
      <c r="K121" s="11">
        <v>9835842208</v>
      </c>
      <c r="L121" s="8" t="s">
        <v>119</v>
      </c>
      <c r="M121" s="8"/>
      <c r="N121" s="8" t="s">
        <v>21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3" x14ac:dyDescent="0.15">
      <c r="A122" s="5">
        <v>121</v>
      </c>
      <c r="B122" s="12"/>
      <c r="C122" s="7" t="s">
        <v>15</v>
      </c>
      <c r="D122" s="8" t="s">
        <v>378</v>
      </c>
      <c r="E122" s="8" t="s">
        <v>379</v>
      </c>
      <c r="F122" s="8"/>
      <c r="G122" s="13"/>
      <c r="H122" s="10" t="s">
        <v>83</v>
      </c>
      <c r="I122" s="8"/>
      <c r="J122" s="11">
        <v>9199240773</v>
      </c>
      <c r="K122" s="8"/>
      <c r="L122" s="8"/>
      <c r="M122" s="8"/>
      <c r="N122" s="8" t="s">
        <v>21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3" x14ac:dyDescent="0.15">
      <c r="A123" s="5">
        <v>122</v>
      </c>
      <c r="B123" s="12"/>
      <c r="C123" s="8" t="s">
        <v>22</v>
      </c>
      <c r="D123" s="8" t="s">
        <v>380</v>
      </c>
      <c r="E123" s="8" t="s">
        <v>381</v>
      </c>
      <c r="F123" s="8"/>
      <c r="G123" s="13"/>
      <c r="H123" s="10" t="s">
        <v>19</v>
      </c>
      <c r="I123" s="8"/>
      <c r="J123" s="11">
        <v>9631485208</v>
      </c>
      <c r="K123" s="8"/>
      <c r="L123" s="8"/>
      <c r="M123" s="8"/>
      <c r="N123" s="8" t="s">
        <v>30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3" x14ac:dyDescent="0.15">
      <c r="A124" s="5">
        <v>123</v>
      </c>
      <c r="B124" s="12"/>
      <c r="C124" s="8" t="s">
        <v>22</v>
      </c>
      <c r="D124" s="8" t="s">
        <v>382</v>
      </c>
      <c r="E124" s="8" t="s">
        <v>383</v>
      </c>
      <c r="F124" s="8"/>
      <c r="G124" s="13"/>
      <c r="H124" s="10" t="s">
        <v>83</v>
      </c>
      <c r="I124" s="8"/>
      <c r="J124" s="11">
        <v>9142082870</v>
      </c>
      <c r="K124" s="8"/>
      <c r="L124" s="8"/>
      <c r="M124" s="8"/>
      <c r="N124" s="8" t="s">
        <v>21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3" x14ac:dyDescent="0.15">
      <c r="A125" s="5">
        <v>124</v>
      </c>
      <c r="B125" s="12"/>
      <c r="C125" s="7" t="s">
        <v>15</v>
      </c>
      <c r="D125" s="8" t="s">
        <v>384</v>
      </c>
      <c r="E125" s="8" t="s">
        <v>385</v>
      </c>
      <c r="F125" s="8" t="s">
        <v>386</v>
      </c>
      <c r="G125" s="9">
        <v>39897</v>
      </c>
      <c r="H125" s="10" t="s">
        <v>210</v>
      </c>
      <c r="I125" s="8"/>
      <c r="J125" s="11">
        <v>7292811543</v>
      </c>
      <c r="K125" s="11">
        <v>7292811543</v>
      </c>
      <c r="L125" s="8" t="s">
        <v>387</v>
      </c>
      <c r="M125" s="8"/>
      <c r="N125" s="8" t="s">
        <v>21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3" x14ac:dyDescent="0.15">
      <c r="A126" s="5">
        <v>125</v>
      </c>
      <c r="B126" s="12"/>
      <c r="C126" s="7" t="s">
        <v>15</v>
      </c>
      <c r="D126" s="8" t="s">
        <v>388</v>
      </c>
      <c r="E126" s="8" t="s">
        <v>389</v>
      </c>
      <c r="F126" s="8"/>
      <c r="G126" s="13"/>
      <c r="H126" s="10" t="s">
        <v>51</v>
      </c>
      <c r="I126" s="8"/>
      <c r="J126" s="11">
        <v>8340537486</v>
      </c>
      <c r="K126" s="8"/>
      <c r="L126" s="8"/>
      <c r="M126" s="8"/>
      <c r="N126" s="8" t="s">
        <v>21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3" x14ac:dyDescent="0.15">
      <c r="A127" s="5">
        <v>126</v>
      </c>
      <c r="B127" s="12"/>
      <c r="C127" s="7" t="s">
        <v>15</v>
      </c>
      <c r="D127" s="8" t="s">
        <v>390</v>
      </c>
      <c r="E127" s="8" t="s">
        <v>391</v>
      </c>
      <c r="F127" s="8"/>
      <c r="G127" s="13"/>
      <c r="H127" s="10" t="s">
        <v>198</v>
      </c>
      <c r="I127" s="8"/>
      <c r="J127" s="11">
        <v>6203419771</v>
      </c>
      <c r="K127" s="8"/>
      <c r="L127" s="8"/>
      <c r="M127" s="8"/>
      <c r="N127" s="8" t="s">
        <v>21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3" x14ac:dyDescent="0.15">
      <c r="A128" s="5">
        <v>127</v>
      </c>
      <c r="B128" s="12"/>
      <c r="C128" s="7" t="s">
        <v>15</v>
      </c>
      <c r="D128" s="8" t="s">
        <v>392</v>
      </c>
      <c r="E128" s="8" t="s">
        <v>393</v>
      </c>
      <c r="F128" s="8"/>
      <c r="G128" s="13">
        <v>40909</v>
      </c>
      <c r="H128" s="10" t="s">
        <v>40</v>
      </c>
      <c r="I128" s="8">
        <v>838504379324</v>
      </c>
      <c r="J128" s="11">
        <v>9572384523</v>
      </c>
      <c r="K128" s="8"/>
      <c r="L128" s="8"/>
      <c r="M128" s="8"/>
      <c r="N128" s="8" t="s">
        <v>21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3" x14ac:dyDescent="0.15">
      <c r="A129" s="34">
        <v>128</v>
      </c>
      <c r="B129" s="35"/>
      <c r="C129" s="36" t="s">
        <v>15</v>
      </c>
      <c r="D129" s="37" t="s">
        <v>394</v>
      </c>
      <c r="E129" s="37" t="s">
        <v>395</v>
      </c>
      <c r="F129" s="37"/>
      <c r="G129" s="38">
        <v>41122</v>
      </c>
      <c r="H129" s="39" t="s">
        <v>28</v>
      </c>
      <c r="I129" s="37"/>
      <c r="J129" s="37"/>
      <c r="K129" s="37"/>
      <c r="L129" s="37"/>
      <c r="M129" s="37"/>
      <c r="N129" s="37" t="s">
        <v>30</v>
      </c>
      <c r="O129" s="37" t="s">
        <v>396</v>
      </c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 spans="1:30" ht="13" x14ac:dyDescent="0.15">
      <c r="A130" s="5">
        <v>129</v>
      </c>
      <c r="B130" s="12"/>
      <c r="C130" s="7" t="s">
        <v>15</v>
      </c>
      <c r="D130" s="8" t="s">
        <v>397</v>
      </c>
      <c r="E130" s="8" t="s">
        <v>379</v>
      </c>
      <c r="F130" s="8"/>
      <c r="G130" s="13"/>
      <c r="H130" s="10" t="s">
        <v>210</v>
      </c>
      <c r="I130" s="8"/>
      <c r="J130" s="11">
        <v>6203234946</v>
      </c>
      <c r="K130" s="8"/>
      <c r="L130" s="8"/>
      <c r="M130" s="8"/>
      <c r="N130" s="8" t="s">
        <v>21</v>
      </c>
      <c r="O130" s="8" t="s">
        <v>313</v>
      </c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3" x14ac:dyDescent="0.15">
      <c r="A131" s="5">
        <v>130</v>
      </c>
      <c r="B131" s="6">
        <v>44828</v>
      </c>
      <c r="C131" s="7" t="s">
        <v>15</v>
      </c>
      <c r="D131" s="8" t="s">
        <v>221</v>
      </c>
      <c r="E131" s="8" t="s">
        <v>222</v>
      </c>
      <c r="F131" s="8" t="s">
        <v>223</v>
      </c>
      <c r="G131" s="9">
        <v>42039</v>
      </c>
      <c r="H131" s="10" t="s">
        <v>28</v>
      </c>
      <c r="I131" s="8"/>
      <c r="J131" s="11">
        <v>8809983740</v>
      </c>
      <c r="K131" s="11">
        <v>9955032141</v>
      </c>
      <c r="L131" s="8" t="s">
        <v>224</v>
      </c>
      <c r="M131" s="8"/>
      <c r="N131" s="8" t="s">
        <v>21</v>
      </c>
      <c r="O131" s="8" t="s">
        <v>313</v>
      </c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3" x14ac:dyDescent="0.15">
      <c r="A132" s="5">
        <v>131</v>
      </c>
      <c r="B132" s="6">
        <v>44606</v>
      </c>
      <c r="C132" s="7" t="s">
        <v>15</v>
      </c>
      <c r="D132" s="8" t="s">
        <v>398</v>
      </c>
      <c r="E132" s="8" t="s">
        <v>399</v>
      </c>
      <c r="F132" s="8" t="s">
        <v>400</v>
      </c>
      <c r="G132" s="9">
        <v>40872</v>
      </c>
      <c r="H132" s="10" t="s">
        <v>210</v>
      </c>
      <c r="I132" s="11">
        <v>390655631101</v>
      </c>
      <c r="J132" s="11">
        <v>9955399749</v>
      </c>
      <c r="K132" s="11">
        <v>9955399749</v>
      </c>
      <c r="L132" s="8" t="s">
        <v>401</v>
      </c>
      <c r="M132" s="8"/>
      <c r="N132" s="8" t="s">
        <v>21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3" x14ac:dyDescent="0.15">
      <c r="A133" s="5">
        <v>132</v>
      </c>
      <c r="B133" s="6">
        <v>44707</v>
      </c>
      <c r="C133" s="7" t="s">
        <v>15</v>
      </c>
      <c r="D133" s="8" t="s">
        <v>402</v>
      </c>
      <c r="E133" s="8" t="s">
        <v>366</v>
      </c>
      <c r="F133" s="8" t="s">
        <v>367</v>
      </c>
      <c r="G133" s="9">
        <v>40179</v>
      </c>
      <c r="H133" s="10" t="s">
        <v>40</v>
      </c>
      <c r="I133" s="11">
        <v>954936594111</v>
      </c>
      <c r="J133" s="11">
        <v>7783066339</v>
      </c>
      <c r="K133" s="11">
        <v>8709057288</v>
      </c>
      <c r="L133" s="8" t="s">
        <v>368</v>
      </c>
      <c r="M133" s="8"/>
      <c r="N133" s="8" t="s">
        <v>21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3" x14ac:dyDescent="0.15">
      <c r="A134" s="5">
        <v>133</v>
      </c>
      <c r="B134" s="12"/>
      <c r="C134" s="7" t="s">
        <v>15</v>
      </c>
      <c r="D134" s="8" t="s">
        <v>403</v>
      </c>
      <c r="E134" s="8" t="s">
        <v>393</v>
      </c>
      <c r="F134" s="8"/>
      <c r="G134" s="13">
        <v>42064</v>
      </c>
      <c r="H134" s="10" t="s">
        <v>65</v>
      </c>
      <c r="I134" s="8">
        <v>909144186084</v>
      </c>
      <c r="J134" s="11">
        <v>9572384523</v>
      </c>
      <c r="K134" s="8"/>
      <c r="L134" s="8" t="s">
        <v>155</v>
      </c>
      <c r="M134" s="8"/>
      <c r="N134" s="8" t="s">
        <v>21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3" x14ac:dyDescent="0.15">
      <c r="A135" s="5">
        <v>134</v>
      </c>
      <c r="B135" s="12"/>
      <c r="C135" s="7" t="s">
        <v>15</v>
      </c>
      <c r="D135" s="8" t="s">
        <v>404</v>
      </c>
      <c r="E135" s="8" t="s">
        <v>405</v>
      </c>
      <c r="F135" s="8"/>
      <c r="G135" s="13"/>
      <c r="H135" s="10" t="s">
        <v>40</v>
      </c>
      <c r="I135" s="8"/>
      <c r="J135" s="11">
        <v>9006089948</v>
      </c>
      <c r="K135" s="8"/>
      <c r="L135" s="8" t="s">
        <v>52</v>
      </c>
      <c r="M135" s="8"/>
      <c r="N135" s="8" t="s">
        <v>21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3" x14ac:dyDescent="0.15">
      <c r="A136" s="5">
        <v>135</v>
      </c>
      <c r="B136" s="6">
        <v>44695</v>
      </c>
      <c r="C136" s="7" t="s">
        <v>15</v>
      </c>
      <c r="D136" s="8" t="s">
        <v>406</v>
      </c>
      <c r="E136" s="8" t="s">
        <v>407</v>
      </c>
      <c r="F136" s="8" t="s">
        <v>408</v>
      </c>
      <c r="G136" s="9">
        <v>39448</v>
      </c>
      <c r="H136" s="10" t="s">
        <v>210</v>
      </c>
      <c r="I136" s="8"/>
      <c r="J136" s="11">
        <v>8252430160</v>
      </c>
      <c r="K136" s="8"/>
      <c r="L136" s="8" t="s">
        <v>409</v>
      </c>
      <c r="M136" s="8"/>
      <c r="N136" s="8" t="s">
        <v>21</v>
      </c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3" x14ac:dyDescent="0.15">
      <c r="A137" s="5">
        <v>136</v>
      </c>
      <c r="B137" s="6">
        <v>44666</v>
      </c>
      <c r="C137" s="7" t="s">
        <v>15</v>
      </c>
      <c r="D137" s="8" t="s">
        <v>410</v>
      </c>
      <c r="E137" s="8" t="s">
        <v>405</v>
      </c>
      <c r="F137" s="8" t="s">
        <v>411</v>
      </c>
      <c r="G137" s="9">
        <v>40714</v>
      </c>
      <c r="H137" s="10" t="s">
        <v>40</v>
      </c>
      <c r="I137" s="11">
        <v>458829302124</v>
      </c>
      <c r="J137" s="11">
        <v>9801066582</v>
      </c>
      <c r="K137" s="8"/>
      <c r="L137" s="8" t="s">
        <v>412</v>
      </c>
      <c r="M137" s="8"/>
      <c r="N137" s="8" t="s">
        <v>21</v>
      </c>
      <c r="O137" s="8" t="s">
        <v>313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" x14ac:dyDescent="0.2">
      <c r="A138" s="16">
        <v>137</v>
      </c>
      <c r="B138" s="26">
        <v>45047</v>
      </c>
      <c r="C138" s="18" t="s">
        <v>22</v>
      </c>
      <c r="D138" s="18" t="s">
        <v>413</v>
      </c>
      <c r="E138" s="18" t="s">
        <v>414</v>
      </c>
      <c r="F138" s="18" t="s">
        <v>415</v>
      </c>
      <c r="G138" s="19">
        <v>43180</v>
      </c>
      <c r="H138" s="20" t="s">
        <v>245</v>
      </c>
      <c r="I138" s="18">
        <v>445080926430</v>
      </c>
      <c r="J138" s="40">
        <v>9567188032</v>
      </c>
      <c r="K138" s="40">
        <v>9567188032</v>
      </c>
      <c r="L138" s="18" t="s">
        <v>131</v>
      </c>
      <c r="M138" s="18"/>
      <c r="N138" s="18" t="s">
        <v>21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spans="1:30" ht="13" x14ac:dyDescent="0.15">
      <c r="A139" s="16">
        <v>138</v>
      </c>
      <c r="B139" s="22">
        <v>45057</v>
      </c>
      <c r="C139" s="23" t="s">
        <v>15</v>
      </c>
      <c r="D139" s="23" t="s">
        <v>416</v>
      </c>
      <c r="E139" s="23" t="s">
        <v>417</v>
      </c>
      <c r="F139" s="23" t="s">
        <v>418</v>
      </c>
      <c r="G139" s="24">
        <v>41125</v>
      </c>
      <c r="H139" s="25" t="s">
        <v>104</v>
      </c>
      <c r="I139" s="23">
        <v>358206736498</v>
      </c>
      <c r="J139" s="23">
        <v>7909045138</v>
      </c>
      <c r="K139" s="23">
        <v>7909045138</v>
      </c>
      <c r="L139" s="23" t="s">
        <v>419</v>
      </c>
      <c r="N139" s="23" t="s">
        <v>21</v>
      </c>
    </row>
    <row r="140" spans="1:30" ht="13" x14ac:dyDescent="0.15">
      <c r="A140" s="5">
        <v>139</v>
      </c>
      <c r="B140" s="12"/>
      <c r="C140" s="8" t="s">
        <v>22</v>
      </c>
      <c r="D140" s="8" t="s">
        <v>420</v>
      </c>
      <c r="E140" s="8" t="s">
        <v>421</v>
      </c>
      <c r="F140" s="8"/>
      <c r="G140" s="13"/>
      <c r="H140" s="10" t="s">
        <v>198</v>
      </c>
      <c r="I140" s="8"/>
      <c r="J140" s="11">
        <v>6352783907</v>
      </c>
      <c r="K140" s="8"/>
      <c r="L140" s="8"/>
      <c r="M140" s="8"/>
      <c r="N140" s="8" t="s">
        <v>21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3" x14ac:dyDescent="0.15">
      <c r="A141" s="5">
        <v>140</v>
      </c>
      <c r="B141" s="6">
        <v>44683</v>
      </c>
      <c r="C141" s="8" t="s">
        <v>22</v>
      </c>
      <c r="D141" s="8" t="s">
        <v>422</v>
      </c>
      <c r="E141" s="8" t="s">
        <v>423</v>
      </c>
      <c r="F141" s="8" t="s">
        <v>424</v>
      </c>
      <c r="G141" s="9">
        <v>42731</v>
      </c>
      <c r="H141" s="10" t="s">
        <v>100</v>
      </c>
      <c r="I141" s="11">
        <v>882070299982</v>
      </c>
      <c r="J141" s="11">
        <v>9006566483</v>
      </c>
      <c r="K141" s="11">
        <v>9006566483</v>
      </c>
      <c r="L141" s="8" t="s">
        <v>41</v>
      </c>
      <c r="M141" s="8"/>
      <c r="N141" s="8" t="s">
        <v>21</v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3" x14ac:dyDescent="0.15">
      <c r="A142" s="5">
        <v>141</v>
      </c>
      <c r="B142" s="12"/>
      <c r="C142" s="8" t="s">
        <v>22</v>
      </c>
      <c r="D142" s="8" t="s">
        <v>425</v>
      </c>
      <c r="E142" s="8" t="s">
        <v>423</v>
      </c>
      <c r="F142" s="8" t="s">
        <v>424</v>
      </c>
      <c r="G142" s="9">
        <v>41604</v>
      </c>
      <c r="H142" s="10" t="s">
        <v>104</v>
      </c>
      <c r="I142" s="11">
        <v>465642900233</v>
      </c>
      <c r="J142" s="11">
        <v>9006566483</v>
      </c>
      <c r="K142" s="11">
        <v>9006566483</v>
      </c>
      <c r="L142" s="8" t="s">
        <v>426</v>
      </c>
      <c r="M142" s="8"/>
      <c r="N142" s="8" t="s">
        <v>21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3" x14ac:dyDescent="0.15">
      <c r="A143" s="16">
        <v>142</v>
      </c>
      <c r="B143" s="41">
        <v>45060</v>
      </c>
      <c r="C143" s="23" t="s">
        <v>15</v>
      </c>
      <c r="D143" s="23" t="s">
        <v>427</v>
      </c>
      <c r="E143" s="23" t="s">
        <v>59</v>
      </c>
      <c r="F143" s="23" t="s">
        <v>428</v>
      </c>
      <c r="G143" s="24">
        <v>41695</v>
      </c>
      <c r="H143" s="25" t="s">
        <v>28</v>
      </c>
      <c r="I143" s="23">
        <v>379066258402</v>
      </c>
      <c r="J143" s="23">
        <v>9643292878</v>
      </c>
      <c r="K143" s="23">
        <v>9643292878</v>
      </c>
      <c r="L143" s="23" t="s">
        <v>429</v>
      </c>
      <c r="N143" s="23" t="s">
        <v>21</v>
      </c>
    </row>
    <row r="144" spans="1:30" ht="13" x14ac:dyDescent="0.15">
      <c r="A144" s="16">
        <v>143</v>
      </c>
      <c r="B144" s="41">
        <v>45065</v>
      </c>
      <c r="C144" s="23" t="s">
        <v>22</v>
      </c>
      <c r="D144" s="23" t="s">
        <v>430</v>
      </c>
      <c r="E144" s="23" t="s">
        <v>431</v>
      </c>
      <c r="F144" s="23" t="s">
        <v>432</v>
      </c>
      <c r="G144" s="24">
        <v>43018</v>
      </c>
      <c r="H144" s="25" t="s">
        <v>245</v>
      </c>
      <c r="I144" s="23">
        <v>608704634283</v>
      </c>
      <c r="J144" s="23">
        <v>6260898588</v>
      </c>
      <c r="K144" s="23">
        <v>6260898588</v>
      </c>
      <c r="L144" s="23" t="s">
        <v>433</v>
      </c>
      <c r="N144" s="23" t="s">
        <v>21</v>
      </c>
    </row>
    <row r="145" spans="1:30" ht="13" x14ac:dyDescent="0.15">
      <c r="A145" s="5">
        <v>144</v>
      </c>
      <c r="B145" s="6">
        <v>44876</v>
      </c>
      <c r="C145" s="7" t="s">
        <v>15</v>
      </c>
      <c r="D145" s="8" t="s">
        <v>434</v>
      </c>
      <c r="E145" s="8" t="s">
        <v>435</v>
      </c>
      <c r="F145" s="8" t="s">
        <v>436</v>
      </c>
      <c r="G145" s="21">
        <v>41691</v>
      </c>
      <c r="H145" s="10" t="s">
        <v>19</v>
      </c>
      <c r="I145" s="11">
        <v>497971469189</v>
      </c>
      <c r="J145" s="11">
        <v>7739555640</v>
      </c>
      <c r="K145" s="11">
        <v>7739555640</v>
      </c>
      <c r="L145" s="8" t="s">
        <v>437</v>
      </c>
      <c r="M145" s="8"/>
      <c r="N145" s="8" t="s">
        <v>21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3" x14ac:dyDescent="0.15">
      <c r="A146" s="5">
        <v>145</v>
      </c>
      <c r="B146" s="6">
        <v>44713</v>
      </c>
      <c r="C146" s="8" t="s">
        <v>22</v>
      </c>
      <c r="D146" s="8" t="s">
        <v>287</v>
      </c>
      <c r="E146" s="8" t="s">
        <v>438</v>
      </c>
      <c r="F146" s="8"/>
      <c r="G146" s="13"/>
      <c r="H146" s="10" t="s">
        <v>51</v>
      </c>
      <c r="I146" s="8"/>
      <c r="J146" s="8">
        <v>7739445488</v>
      </c>
      <c r="K146" s="8">
        <v>7739445488</v>
      </c>
      <c r="L146" s="8"/>
      <c r="M146" s="8"/>
      <c r="N146" s="8" t="s">
        <v>21</v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3" x14ac:dyDescent="0.15">
      <c r="A147" s="5">
        <v>146</v>
      </c>
      <c r="B147" s="6">
        <v>44714</v>
      </c>
      <c r="C147" s="8" t="s">
        <v>22</v>
      </c>
      <c r="D147" s="8" t="s">
        <v>439</v>
      </c>
      <c r="E147" s="8" t="s">
        <v>440</v>
      </c>
      <c r="F147" s="8" t="s">
        <v>441</v>
      </c>
      <c r="G147" s="9">
        <v>42254</v>
      </c>
      <c r="H147" s="10" t="s">
        <v>28</v>
      </c>
      <c r="I147" s="11">
        <v>923076898296</v>
      </c>
      <c r="J147" s="11">
        <v>7739445488</v>
      </c>
      <c r="K147" s="11">
        <v>7739445488</v>
      </c>
      <c r="L147" s="8" t="s">
        <v>149</v>
      </c>
      <c r="M147" s="8"/>
      <c r="N147" s="8" t="s">
        <v>30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3" x14ac:dyDescent="0.15">
      <c r="A148" s="16">
        <v>147</v>
      </c>
      <c r="B148" s="22">
        <v>45066</v>
      </c>
      <c r="C148" s="23" t="s">
        <v>15</v>
      </c>
      <c r="D148" s="23" t="s">
        <v>194</v>
      </c>
      <c r="E148" s="23" t="s">
        <v>262</v>
      </c>
      <c r="F148" s="23" t="s">
        <v>442</v>
      </c>
      <c r="G148" s="24">
        <v>40580</v>
      </c>
      <c r="H148" s="25" t="s">
        <v>19</v>
      </c>
      <c r="I148" s="23">
        <v>589385942485</v>
      </c>
      <c r="J148" s="23">
        <v>9304050268</v>
      </c>
      <c r="K148" s="23">
        <v>9304050268</v>
      </c>
      <c r="L148" s="23" t="s">
        <v>443</v>
      </c>
      <c r="N148" s="23" t="s">
        <v>21</v>
      </c>
    </row>
    <row r="149" spans="1:30" ht="13" x14ac:dyDescent="0.15">
      <c r="A149" s="16">
        <v>148</v>
      </c>
      <c r="B149" s="22">
        <v>45067</v>
      </c>
      <c r="C149" s="23" t="s">
        <v>15</v>
      </c>
      <c r="D149" s="23" t="s">
        <v>304</v>
      </c>
      <c r="E149" s="23" t="s">
        <v>444</v>
      </c>
      <c r="F149" s="23" t="s">
        <v>445</v>
      </c>
      <c r="G149" s="24">
        <v>42001</v>
      </c>
      <c r="H149" s="25" t="s">
        <v>83</v>
      </c>
      <c r="I149" s="23">
        <v>247277772536</v>
      </c>
      <c r="J149" s="23">
        <v>8210692094</v>
      </c>
      <c r="K149" s="23">
        <v>8210692094</v>
      </c>
      <c r="L149" s="23" t="s">
        <v>446</v>
      </c>
      <c r="N149" s="23" t="s">
        <v>21</v>
      </c>
    </row>
    <row r="150" spans="1:30" ht="13" x14ac:dyDescent="0.15">
      <c r="A150" s="16">
        <v>149</v>
      </c>
      <c r="B150" s="26">
        <v>45067</v>
      </c>
      <c r="C150" s="18" t="s">
        <v>15</v>
      </c>
      <c r="D150" s="18" t="s">
        <v>447</v>
      </c>
      <c r="E150" s="18" t="s">
        <v>444</v>
      </c>
      <c r="F150" s="18" t="s">
        <v>445</v>
      </c>
      <c r="G150" s="18" t="s">
        <v>448</v>
      </c>
      <c r="H150" s="20" t="s">
        <v>65</v>
      </c>
      <c r="I150" s="18">
        <v>232746161165</v>
      </c>
      <c r="J150" s="18">
        <v>8210692094</v>
      </c>
      <c r="K150" s="18">
        <v>8210692094</v>
      </c>
      <c r="L150" s="23" t="s">
        <v>449</v>
      </c>
      <c r="M150" s="18"/>
      <c r="N150" s="18" t="s">
        <v>30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spans="1:30" ht="13" x14ac:dyDescent="0.15">
      <c r="A151" s="16">
        <v>150</v>
      </c>
      <c r="B151" s="26">
        <v>45067</v>
      </c>
      <c r="C151" s="18" t="s">
        <v>15</v>
      </c>
      <c r="D151" s="18" t="s">
        <v>450</v>
      </c>
      <c r="E151" s="18" t="s">
        <v>451</v>
      </c>
      <c r="F151" s="18" t="s">
        <v>452</v>
      </c>
      <c r="G151" s="19">
        <v>40179</v>
      </c>
      <c r="H151" s="20" t="s">
        <v>40</v>
      </c>
      <c r="I151" s="18">
        <v>554859056784</v>
      </c>
      <c r="J151" s="18">
        <v>9060522417</v>
      </c>
      <c r="K151" s="18">
        <v>9060522417</v>
      </c>
      <c r="L151" s="18" t="s">
        <v>453</v>
      </c>
      <c r="M151" s="18"/>
      <c r="N151" s="18" t="s">
        <v>21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spans="1:30" ht="15" x14ac:dyDescent="0.2">
      <c r="A152" s="16">
        <v>151</v>
      </c>
      <c r="B152" s="26">
        <v>45067</v>
      </c>
      <c r="C152" s="18" t="s">
        <v>15</v>
      </c>
      <c r="D152" s="18" t="s">
        <v>454</v>
      </c>
      <c r="E152" s="18" t="s">
        <v>455</v>
      </c>
      <c r="F152" s="18" t="s">
        <v>456</v>
      </c>
      <c r="G152" s="19">
        <v>41518</v>
      </c>
      <c r="H152" s="20" t="s">
        <v>65</v>
      </c>
      <c r="I152" s="18">
        <v>252445564129</v>
      </c>
      <c r="J152" s="40">
        <v>9060522417</v>
      </c>
      <c r="K152" s="40">
        <v>9060522417</v>
      </c>
      <c r="L152" s="18" t="s">
        <v>457</v>
      </c>
      <c r="M152" s="18"/>
      <c r="N152" s="18" t="s">
        <v>30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spans="1:30" ht="13" x14ac:dyDescent="0.15">
      <c r="A153" s="16">
        <v>152</v>
      </c>
      <c r="B153" s="26">
        <v>45067</v>
      </c>
      <c r="C153" s="18" t="s">
        <v>15</v>
      </c>
      <c r="D153" s="18" t="s">
        <v>458</v>
      </c>
      <c r="E153" s="18" t="s">
        <v>459</v>
      </c>
      <c r="F153" s="18" t="s">
        <v>460</v>
      </c>
      <c r="G153" s="19">
        <v>41187</v>
      </c>
      <c r="H153" s="20" t="s">
        <v>83</v>
      </c>
      <c r="I153" s="18">
        <v>998114723020</v>
      </c>
      <c r="J153" s="18">
        <v>9980324610</v>
      </c>
      <c r="K153" s="18">
        <v>9980324610</v>
      </c>
      <c r="L153" s="18" t="s">
        <v>457</v>
      </c>
      <c r="M153" s="18"/>
      <c r="N153" s="18" t="s">
        <v>21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spans="1:30" ht="13" x14ac:dyDescent="0.15">
      <c r="A154" s="16">
        <v>153</v>
      </c>
      <c r="B154" s="26">
        <v>45067</v>
      </c>
      <c r="C154" s="18" t="s">
        <v>15</v>
      </c>
      <c r="D154" s="18" t="s">
        <v>461</v>
      </c>
      <c r="E154" s="18" t="s">
        <v>459</v>
      </c>
      <c r="F154" s="18" t="s">
        <v>460</v>
      </c>
      <c r="G154" s="19">
        <v>41644</v>
      </c>
      <c r="H154" s="20" t="s">
        <v>65</v>
      </c>
      <c r="I154" s="18">
        <v>793675656685</v>
      </c>
      <c r="J154" s="18">
        <v>9980324610</v>
      </c>
      <c r="K154" s="18">
        <v>9980324610</v>
      </c>
      <c r="L154" s="18" t="s">
        <v>457</v>
      </c>
      <c r="M154" s="18"/>
      <c r="N154" s="18" t="s">
        <v>21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spans="1:30" ht="13" x14ac:dyDescent="0.15">
      <c r="A155" s="5">
        <v>154</v>
      </c>
      <c r="B155" s="12"/>
      <c r="C155" s="8" t="s">
        <v>22</v>
      </c>
      <c r="D155" s="8" t="s">
        <v>462</v>
      </c>
      <c r="E155" s="8" t="s">
        <v>463</v>
      </c>
      <c r="F155" s="8"/>
      <c r="G155" s="13"/>
      <c r="H155" s="10" t="s">
        <v>19</v>
      </c>
      <c r="I155" s="8"/>
      <c r="J155" s="11">
        <v>9546671826</v>
      </c>
      <c r="K155" s="8"/>
      <c r="L155" s="8"/>
      <c r="M155" s="8"/>
      <c r="N155" s="8" t="s">
        <v>21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3" x14ac:dyDescent="0.15">
      <c r="A156" s="5">
        <v>155</v>
      </c>
      <c r="B156" s="12"/>
      <c r="C156" s="8" t="s">
        <v>22</v>
      </c>
      <c r="D156" s="8" t="s">
        <v>464</v>
      </c>
      <c r="E156" s="8" t="s">
        <v>465</v>
      </c>
      <c r="F156" s="8"/>
      <c r="G156" s="13"/>
      <c r="H156" s="10" t="s">
        <v>83</v>
      </c>
      <c r="I156" s="8"/>
      <c r="J156" s="11">
        <v>9006023631</v>
      </c>
      <c r="K156" s="8"/>
      <c r="L156" s="8"/>
      <c r="M156" s="8"/>
      <c r="N156" s="8" t="s">
        <v>21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3" x14ac:dyDescent="0.15">
      <c r="A157" s="5">
        <v>156</v>
      </c>
      <c r="B157" s="6">
        <v>44690</v>
      </c>
      <c r="C157" s="8" t="s">
        <v>22</v>
      </c>
      <c r="D157" s="8" t="s">
        <v>466</v>
      </c>
      <c r="E157" s="8" t="s">
        <v>467</v>
      </c>
      <c r="F157" s="8"/>
      <c r="G157" s="13"/>
      <c r="H157" s="10" t="s">
        <v>100</v>
      </c>
      <c r="I157" s="8"/>
      <c r="J157" s="42">
        <v>8789734647</v>
      </c>
      <c r="K157" s="8"/>
      <c r="L157" s="8" t="s">
        <v>468</v>
      </c>
      <c r="M157" s="8"/>
      <c r="N157" s="8" t="s">
        <v>21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3" x14ac:dyDescent="0.15">
      <c r="A158" s="34">
        <v>157</v>
      </c>
      <c r="B158" s="43">
        <v>44739</v>
      </c>
      <c r="C158" s="37" t="s">
        <v>22</v>
      </c>
      <c r="D158" s="37" t="s">
        <v>469</v>
      </c>
      <c r="E158" s="37" t="s">
        <v>470</v>
      </c>
      <c r="F158" s="37" t="s">
        <v>471</v>
      </c>
      <c r="G158" s="38">
        <v>43727</v>
      </c>
      <c r="H158" s="39" t="s">
        <v>100</v>
      </c>
      <c r="I158" s="37"/>
      <c r="J158" s="44">
        <v>9955016677</v>
      </c>
      <c r="K158" s="44">
        <v>9955016677</v>
      </c>
      <c r="L158" s="37" t="s">
        <v>472</v>
      </c>
      <c r="M158" s="37"/>
      <c r="N158" s="37" t="s">
        <v>21</v>
      </c>
      <c r="O158" s="37" t="s">
        <v>396</v>
      </c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 spans="1:30" ht="13" x14ac:dyDescent="0.15">
      <c r="A159" s="5">
        <v>158</v>
      </c>
      <c r="B159" s="12"/>
      <c r="C159" s="8" t="s">
        <v>22</v>
      </c>
      <c r="D159" s="8" t="s">
        <v>473</v>
      </c>
      <c r="E159" s="8" t="s">
        <v>474</v>
      </c>
      <c r="F159" s="8"/>
      <c r="G159" s="13"/>
      <c r="H159" s="10" t="s">
        <v>83</v>
      </c>
      <c r="I159" s="8"/>
      <c r="J159" s="11">
        <v>9431388244</v>
      </c>
      <c r="K159" s="8"/>
      <c r="L159" s="8"/>
      <c r="M159" s="8"/>
      <c r="N159" s="8" t="s">
        <v>21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3" x14ac:dyDescent="0.15">
      <c r="A160" s="5">
        <v>159</v>
      </c>
      <c r="B160" s="12"/>
      <c r="C160" s="8" t="s">
        <v>22</v>
      </c>
      <c r="D160" s="8" t="s">
        <v>475</v>
      </c>
      <c r="E160" s="8" t="s">
        <v>476</v>
      </c>
      <c r="F160" s="8"/>
      <c r="G160" s="13"/>
      <c r="H160" s="10" t="s">
        <v>83</v>
      </c>
      <c r="I160" s="8"/>
      <c r="J160" s="11">
        <v>7321949591</v>
      </c>
      <c r="K160" s="8"/>
      <c r="L160" s="8"/>
      <c r="M160" s="8"/>
      <c r="N160" s="8" t="s">
        <v>21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3" x14ac:dyDescent="0.15">
      <c r="A161" s="5">
        <v>160</v>
      </c>
      <c r="B161" s="12"/>
      <c r="C161" s="8" t="s">
        <v>22</v>
      </c>
      <c r="D161" s="8" t="s">
        <v>477</v>
      </c>
      <c r="E161" s="8" t="s">
        <v>478</v>
      </c>
      <c r="F161" s="8"/>
      <c r="G161" s="13"/>
      <c r="H161" s="10" t="s">
        <v>210</v>
      </c>
      <c r="I161" s="8"/>
      <c r="J161" s="11">
        <v>6205766744</v>
      </c>
      <c r="K161" s="8"/>
      <c r="L161" s="8"/>
      <c r="M161" s="8"/>
      <c r="N161" s="8" t="s">
        <v>30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3" x14ac:dyDescent="0.15">
      <c r="A162" s="5">
        <v>161</v>
      </c>
      <c r="B162" s="12"/>
      <c r="C162" s="8" t="s">
        <v>22</v>
      </c>
      <c r="D162" s="8" t="s">
        <v>479</v>
      </c>
      <c r="E162" s="8" t="s">
        <v>50</v>
      </c>
      <c r="F162" s="8" t="s">
        <v>480</v>
      </c>
      <c r="G162" s="13"/>
      <c r="H162" s="10" t="s">
        <v>210</v>
      </c>
      <c r="I162" s="8"/>
      <c r="J162" s="11">
        <v>9631521624</v>
      </c>
      <c r="K162" s="11">
        <v>9631521624</v>
      </c>
      <c r="L162" s="8" t="s">
        <v>481</v>
      </c>
      <c r="M162" s="8"/>
      <c r="N162" s="8" t="s">
        <v>30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3" x14ac:dyDescent="0.15">
      <c r="A163" s="5">
        <v>162</v>
      </c>
      <c r="B163" s="12"/>
      <c r="C163" s="8" t="s">
        <v>22</v>
      </c>
      <c r="D163" s="8" t="s">
        <v>482</v>
      </c>
      <c r="E163" s="8" t="s">
        <v>483</v>
      </c>
      <c r="F163" s="8"/>
      <c r="G163" s="13"/>
      <c r="H163" s="10" t="s">
        <v>51</v>
      </c>
      <c r="I163" s="8"/>
      <c r="J163" s="11">
        <v>8084828089</v>
      </c>
      <c r="K163" s="8"/>
      <c r="L163" s="8"/>
      <c r="M163" s="8"/>
      <c r="N163" s="8" t="s">
        <v>21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3" x14ac:dyDescent="0.15">
      <c r="A164" s="16">
        <v>163</v>
      </c>
      <c r="B164" s="26">
        <v>45068</v>
      </c>
      <c r="C164" s="18" t="s">
        <v>15</v>
      </c>
      <c r="D164" s="18" t="s">
        <v>484</v>
      </c>
      <c r="E164" s="18" t="s">
        <v>485</v>
      </c>
      <c r="F164" s="18" t="s">
        <v>486</v>
      </c>
      <c r="G164" s="19">
        <v>39814</v>
      </c>
      <c r="H164" s="20" t="s">
        <v>104</v>
      </c>
      <c r="I164" s="18">
        <v>938206618048</v>
      </c>
      <c r="J164" s="18">
        <v>9110953710</v>
      </c>
      <c r="K164" s="18">
        <v>9110953710</v>
      </c>
      <c r="L164" s="18" t="s">
        <v>487</v>
      </c>
      <c r="M164" s="18"/>
      <c r="N164" s="18" t="s">
        <v>21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spans="1:30" ht="13" x14ac:dyDescent="0.15">
      <c r="A165" s="16">
        <v>164</v>
      </c>
      <c r="B165" s="26">
        <v>45072</v>
      </c>
      <c r="C165" s="18" t="s">
        <v>15</v>
      </c>
      <c r="D165" s="18" t="s">
        <v>488</v>
      </c>
      <c r="E165" s="18" t="s">
        <v>489</v>
      </c>
      <c r="F165" s="18" t="s">
        <v>490</v>
      </c>
      <c r="G165" s="19">
        <v>42075</v>
      </c>
      <c r="H165" s="20" t="s">
        <v>65</v>
      </c>
      <c r="I165" s="18">
        <v>824511034134</v>
      </c>
      <c r="J165" s="18">
        <v>6200832993</v>
      </c>
      <c r="K165" s="18">
        <v>6200832993</v>
      </c>
      <c r="L165" s="18" t="s">
        <v>491</v>
      </c>
      <c r="M165" s="18"/>
      <c r="N165" s="18" t="s">
        <v>21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spans="1:30" ht="13" x14ac:dyDescent="0.15">
      <c r="A166" s="16">
        <v>165</v>
      </c>
      <c r="B166" s="26">
        <v>45072</v>
      </c>
      <c r="C166" s="23" t="s">
        <v>15</v>
      </c>
      <c r="D166" s="23" t="s">
        <v>492</v>
      </c>
      <c r="E166" s="23" t="s">
        <v>493</v>
      </c>
      <c r="F166" s="23" t="s">
        <v>494</v>
      </c>
      <c r="G166" s="24">
        <v>42372</v>
      </c>
      <c r="H166" s="25" t="s">
        <v>65</v>
      </c>
      <c r="I166" s="23">
        <v>283855764598</v>
      </c>
      <c r="J166" s="23">
        <v>8340523933</v>
      </c>
      <c r="K166" s="23">
        <v>8340523933</v>
      </c>
      <c r="L166" s="18" t="s">
        <v>491</v>
      </c>
      <c r="N166" s="23" t="s">
        <v>21</v>
      </c>
    </row>
    <row r="167" spans="1:30" ht="13" x14ac:dyDescent="0.15">
      <c r="A167" s="16">
        <v>166</v>
      </c>
      <c r="B167" s="26">
        <v>45072</v>
      </c>
      <c r="C167" s="23" t="s">
        <v>15</v>
      </c>
      <c r="D167" s="23" t="s">
        <v>495</v>
      </c>
      <c r="E167" s="23" t="s">
        <v>496</v>
      </c>
      <c r="F167" s="23" t="s">
        <v>471</v>
      </c>
      <c r="G167" s="24">
        <v>43526</v>
      </c>
      <c r="H167" s="25" t="s">
        <v>100</v>
      </c>
      <c r="I167" s="23"/>
      <c r="J167" s="23">
        <v>9304562957</v>
      </c>
      <c r="K167" s="23">
        <v>9304562957</v>
      </c>
      <c r="L167" s="23" t="s">
        <v>105</v>
      </c>
      <c r="N167" s="23" t="s">
        <v>21</v>
      </c>
    </row>
    <row r="168" spans="1:30" ht="13" x14ac:dyDescent="0.15">
      <c r="A168" s="16">
        <v>167</v>
      </c>
      <c r="B168" s="26">
        <v>45072</v>
      </c>
      <c r="C168" s="23" t="s">
        <v>15</v>
      </c>
      <c r="D168" s="23" t="s">
        <v>497</v>
      </c>
      <c r="E168" s="23" t="s">
        <v>498</v>
      </c>
      <c r="F168" s="23" t="s">
        <v>499</v>
      </c>
      <c r="G168" s="24">
        <v>41936</v>
      </c>
      <c r="H168" s="25" t="s">
        <v>65</v>
      </c>
      <c r="I168" s="23">
        <v>441899169851</v>
      </c>
      <c r="J168" s="23">
        <v>6201046143</v>
      </c>
      <c r="K168" s="23">
        <v>6201046143</v>
      </c>
      <c r="L168" s="23" t="s">
        <v>500</v>
      </c>
      <c r="N168" s="23" t="s">
        <v>21</v>
      </c>
    </row>
    <row r="169" spans="1:30" ht="13" x14ac:dyDescent="0.15">
      <c r="A169" s="5">
        <v>168</v>
      </c>
      <c r="B169" s="12"/>
      <c r="C169" s="8" t="s">
        <v>22</v>
      </c>
      <c r="D169" s="8" t="s">
        <v>501</v>
      </c>
      <c r="E169" s="8" t="s">
        <v>467</v>
      </c>
      <c r="F169" s="8"/>
      <c r="G169" s="13"/>
      <c r="H169" s="10" t="s">
        <v>104</v>
      </c>
      <c r="I169" s="8"/>
      <c r="J169" s="11">
        <v>8789734647</v>
      </c>
      <c r="K169" s="8"/>
      <c r="L169" s="8"/>
      <c r="M169" s="8"/>
      <c r="N169" s="8" t="s">
        <v>21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3" x14ac:dyDescent="0.15">
      <c r="A170" s="5">
        <v>169</v>
      </c>
      <c r="B170" s="12"/>
      <c r="C170" s="8" t="s">
        <v>22</v>
      </c>
      <c r="D170" s="8" t="s">
        <v>502</v>
      </c>
      <c r="E170" s="8" t="s">
        <v>503</v>
      </c>
      <c r="F170" s="8"/>
      <c r="G170" s="13"/>
      <c r="H170" s="10" t="s">
        <v>210</v>
      </c>
      <c r="I170" s="8"/>
      <c r="J170" s="8"/>
      <c r="K170" s="8"/>
      <c r="L170" s="8"/>
      <c r="M170" s="8"/>
      <c r="N170" s="8" t="s">
        <v>30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3" x14ac:dyDescent="0.15">
      <c r="A171" s="5">
        <v>170</v>
      </c>
      <c r="B171" s="6">
        <v>44692</v>
      </c>
      <c r="C171" s="8" t="s">
        <v>22</v>
      </c>
      <c r="D171" s="8" t="s">
        <v>504</v>
      </c>
      <c r="E171" s="8" t="s">
        <v>345</v>
      </c>
      <c r="F171" s="8" t="s">
        <v>346</v>
      </c>
      <c r="G171" s="13"/>
      <c r="H171" s="10" t="s">
        <v>65</v>
      </c>
      <c r="I171" s="8"/>
      <c r="J171" s="11">
        <v>8521469562</v>
      </c>
      <c r="K171" s="8"/>
      <c r="L171" s="8" t="s">
        <v>146</v>
      </c>
      <c r="M171" s="8"/>
      <c r="N171" s="8" t="s">
        <v>21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3" x14ac:dyDescent="0.15">
      <c r="A172" s="5">
        <v>171</v>
      </c>
      <c r="B172" s="6">
        <v>44868</v>
      </c>
      <c r="C172" s="8" t="s">
        <v>22</v>
      </c>
      <c r="D172" s="8" t="s">
        <v>505</v>
      </c>
      <c r="E172" s="8" t="s">
        <v>483</v>
      </c>
      <c r="F172" s="8" t="s">
        <v>506</v>
      </c>
      <c r="G172" s="9">
        <v>41749</v>
      </c>
      <c r="H172" s="10" t="s">
        <v>104</v>
      </c>
      <c r="I172" s="11">
        <v>362167225662</v>
      </c>
      <c r="J172" s="11">
        <v>8084828089</v>
      </c>
      <c r="K172" s="8"/>
      <c r="L172" s="8" t="s">
        <v>52</v>
      </c>
      <c r="M172" s="8"/>
      <c r="N172" s="8" t="s">
        <v>30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3" x14ac:dyDescent="0.15">
      <c r="A173" s="5">
        <v>172</v>
      </c>
      <c r="B173" s="12"/>
      <c r="C173" s="8" t="s">
        <v>22</v>
      </c>
      <c r="D173" s="8" t="s">
        <v>507</v>
      </c>
      <c r="E173" s="8" t="s">
        <v>474</v>
      </c>
      <c r="F173" s="8"/>
      <c r="G173" s="13"/>
      <c r="H173" s="10" t="s">
        <v>65</v>
      </c>
      <c r="I173" s="8"/>
      <c r="J173" s="11">
        <v>9431388244</v>
      </c>
      <c r="K173" s="11">
        <v>9431388244</v>
      </c>
      <c r="L173" s="8"/>
      <c r="M173" s="8"/>
      <c r="N173" s="8" t="s">
        <v>21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3" x14ac:dyDescent="0.15">
      <c r="A174" s="16">
        <v>173</v>
      </c>
      <c r="B174" s="45" t="s">
        <v>508</v>
      </c>
      <c r="C174" s="23" t="s">
        <v>15</v>
      </c>
      <c r="D174" s="23" t="s">
        <v>509</v>
      </c>
      <c r="E174" s="23" t="s">
        <v>510</v>
      </c>
      <c r="F174" s="23" t="s">
        <v>511</v>
      </c>
      <c r="G174" s="24">
        <v>40084</v>
      </c>
      <c r="H174" s="25" t="s">
        <v>28</v>
      </c>
      <c r="I174" s="23">
        <v>214054442035</v>
      </c>
      <c r="J174" s="23">
        <v>8789923616</v>
      </c>
      <c r="K174" s="23">
        <v>8877145847</v>
      </c>
      <c r="L174" s="23" t="s">
        <v>512</v>
      </c>
      <c r="N174" s="23" t="s">
        <v>21</v>
      </c>
    </row>
    <row r="175" spans="1:30" ht="13" x14ac:dyDescent="0.15">
      <c r="A175" s="5">
        <v>174</v>
      </c>
      <c r="B175" s="12"/>
      <c r="C175" s="8" t="s">
        <v>22</v>
      </c>
      <c r="D175" s="8" t="s">
        <v>513</v>
      </c>
      <c r="E175" s="8" t="s">
        <v>514</v>
      </c>
      <c r="F175" s="8"/>
      <c r="G175" s="13"/>
      <c r="H175" s="10" t="s">
        <v>65</v>
      </c>
      <c r="I175" s="8"/>
      <c r="J175" s="11">
        <v>8709903830</v>
      </c>
      <c r="K175" s="8"/>
      <c r="L175" s="8"/>
      <c r="M175" s="8"/>
      <c r="N175" s="8" t="s">
        <v>30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3" x14ac:dyDescent="0.15">
      <c r="A176" s="5">
        <v>175</v>
      </c>
      <c r="B176" s="12"/>
      <c r="C176" s="8" t="s">
        <v>22</v>
      </c>
      <c r="D176" s="8" t="s">
        <v>515</v>
      </c>
      <c r="E176" s="8" t="s">
        <v>514</v>
      </c>
      <c r="F176" s="8"/>
      <c r="G176" s="13"/>
      <c r="H176" s="10" t="s">
        <v>104</v>
      </c>
      <c r="I176" s="8"/>
      <c r="J176" s="11">
        <v>8709903830</v>
      </c>
      <c r="K176" s="8"/>
      <c r="L176" s="8"/>
      <c r="M176" s="8"/>
      <c r="N176" s="8" t="s">
        <v>21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3" x14ac:dyDescent="0.15">
      <c r="A177" s="34">
        <v>176</v>
      </c>
      <c r="B177" s="35"/>
      <c r="C177" s="36" t="s">
        <v>15</v>
      </c>
      <c r="D177" s="37" t="s">
        <v>516</v>
      </c>
      <c r="E177" s="37" t="s">
        <v>517</v>
      </c>
      <c r="F177" s="37" t="s">
        <v>518</v>
      </c>
      <c r="G177" s="38"/>
      <c r="H177" s="39" t="s">
        <v>28</v>
      </c>
      <c r="I177" s="37"/>
      <c r="J177" s="44">
        <v>8969571585</v>
      </c>
      <c r="K177" s="37"/>
      <c r="L177" s="37"/>
      <c r="M177" s="37"/>
      <c r="N177" s="37" t="s">
        <v>21</v>
      </c>
      <c r="O177" s="37" t="s">
        <v>396</v>
      </c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 spans="1:30" ht="13" x14ac:dyDescent="0.15">
      <c r="A178" s="16">
        <v>177</v>
      </c>
      <c r="B178" s="22">
        <v>45122</v>
      </c>
      <c r="C178" s="23" t="s">
        <v>15</v>
      </c>
      <c r="D178" s="23" t="s">
        <v>519</v>
      </c>
      <c r="E178" s="23" t="s">
        <v>520</v>
      </c>
      <c r="F178" s="23" t="s">
        <v>521</v>
      </c>
      <c r="G178" s="46">
        <v>41411</v>
      </c>
      <c r="H178" s="25" t="s">
        <v>65</v>
      </c>
      <c r="I178" s="23">
        <v>393850532272</v>
      </c>
      <c r="J178" s="23">
        <v>7250389312</v>
      </c>
      <c r="K178" s="23">
        <v>9871165542</v>
      </c>
      <c r="L178" s="23" t="s">
        <v>522</v>
      </c>
      <c r="N178" s="23" t="s">
        <v>21</v>
      </c>
    </row>
    <row r="179" spans="1:30" ht="13" x14ac:dyDescent="0.15">
      <c r="A179" s="16">
        <v>178</v>
      </c>
      <c r="B179" s="22">
        <v>45136</v>
      </c>
      <c r="C179" s="23" t="s">
        <v>22</v>
      </c>
      <c r="D179" s="23" t="s">
        <v>523</v>
      </c>
      <c r="E179" s="23" t="s">
        <v>524</v>
      </c>
      <c r="F179" s="23" t="s">
        <v>525</v>
      </c>
      <c r="G179" s="24">
        <v>43846</v>
      </c>
      <c r="H179" s="25" t="s">
        <v>245</v>
      </c>
      <c r="I179" s="23"/>
      <c r="J179" s="23">
        <v>7033873731</v>
      </c>
      <c r="K179" s="23">
        <v>7033873731</v>
      </c>
      <c r="L179" s="23" t="s">
        <v>526</v>
      </c>
      <c r="N179" s="23" t="s">
        <v>21</v>
      </c>
    </row>
    <row r="180" spans="1:30" ht="13" x14ac:dyDescent="0.15">
      <c r="A180" s="16">
        <v>179</v>
      </c>
      <c r="B180" s="22">
        <v>45139</v>
      </c>
      <c r="C180" s="23" t="s">
        <v>22</v>
      </c>
      <c r="D180" s="23" t="s">
        <v>527</v>
      </c>
      <c r="E180" s="23" t="s">
        <v>528</v>
      </c>
      <c r="F180" s="23" t="s">
        <v>529</v>
      </c>
      <c r="G180" s="24">
        <v>43086</v>
      </c>
      <c r="H180" s="25" t="s">
        <v>245</v>
      </c>
      <c r="I180" s="23"/>
      <c r="J180" s="23">
        <v>9661404057</v>
      </c>
      <c r="K180" s="23">
        <v>9661404057</v>
      </c>
      <c r="L180" s="23" t="s">
        <v>530</v>
      </c>
      <c r="N180" s="23" t="s">
        <v>21</v>
      </c>
    </row>
    <row r="181" spans="1:30" ht="13" x14ac:dyDescent="0.15">
      <c r="A181" s="5">
        <v>180</v>
      </c>
      <c r="B181" s="12"/>
      <c r="C181" s="8" t="s">
        <v>22</v>
      </c>
      <c r="D181" s="8" t="s">
        <v>531</v>
      </c>
      <c r="E181" s="8" t="s">
        <v>532</v>
      </c>
      <c r="F181" s="8"/>
      <c r="G181" s="8" t="s">
        <v>533</v>
      </c>
      <c r="H181" s="10" t="s">
        <v>210</v>
      </c>
      <c r="I181" s="8"/>
      <c r="J181" s="11">
        <v>7250169245</v>
      </c>
      <c r="K181" s="8"/>
      <c r="L181" s="8"/>
      <c r="M181" s="8"/>
      <c r="N181" s="8" t="s">
        <v>30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3" x14ac:dyDescent="0.15">
      <c r="A182" s="16">
        <v>181</v>
      </c>
      <c r="B182" s="26">
        <v>45143</v>
      </c>
      <c r="C182" s="18" t="s">
        <v>15</v>
      </c>
      <c r="D182" s="18" t="s">
        <v>534</v>
      </c>
      <c r="E182" s="18" t="s">
        <v>535</v>
      </c>
      <c r="F182" s="18" t="s">
        <v>536</v>
      </c>
      <c r="G182" s="19">
        <v>42765</v>
      </c>
      <c r="H182" s="20" t="s">
        <v>245</v>
      </c>
      <c r="I182" s="18">
        <v>651308106318</v>
      </c>
      <c r="J182" s="18">
        <v>6200383504</v>
      </c>
      <c r="K182" s="18">
        <v>6200383504</v>
      </c>
      <c r="L182" s="18" t="s">
        <v>537</v>
      </c>
      <c r="M182" s="18"/>
      <c r="N182" s="18" t="s">
        <v>21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spans="1:30" ht="13" x14ac:dyDescent="0.15">
      <c r="A183" s="16">
        <v>182</v>
      </c>
      <c r="B183" s="26">
        <v>45164</v>
      </c>
      <c r="C183" s="18" t="s">
        <v>22</v>
      </c>
      <c r="D183" s="18" t="s">
        <v>538</v>
      </c>
      <c r="E183" s="18" t="s">
        <v>539</v>
      </c>
      <c r="F183" s="18" t="s">
        <v>540</v>
      </c>
      <c r="G183" s="19">
        <v>43239</v>
      </c>
      <c r="H183" s="20" t="s">
        <v>245</v>
      </c>
      <c r="I183" s="18">
        <v>818751988538</v>
      </c>
      <c r="J183" s="18">
        <v>8569061769</v>
      </c>
      <c r="K183" s="18">
        <v>8569061769</v>
      </c>
      <c r="L183" s="18" t="s">
        <v>149</v>
      </c>
      <c r="M183" s="18"/>
      <c r="N183" s="18" t="s">
        <v>30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spans="1:30" ht="13" x14ac:dyDescent="0.15">
      <c r="A184" s="16">
        <v>183</v>
      </c>
      <c r="B184" s="22">
        <v>45169</v>
      </c>
      <c r="C184" s="23" t="s">
        <v>22</v>
      </c>
      <c r="D184" s="23" t="s">
        <v>541</v>
      </c>
      <c r="E184" s="23" t="s">
        <v>542</v>
      </c>
      <c r="F184" s="23" t="s">
        <v>543</v>
      </c>
      <c r="G184" s="24">
        <v>43454</v>
      </c>
      <c r="H184" s="25" t="s">
        <v>245</v>
      </c>
      <c r="I184" s="23"/>
      <c r="J184" s="23">
        <v>6207575260</v>
      </c>
      <c r="K184" s="23">
        <v>6203168183</v>
      </c>
      <c r="L184" s="23" t="s">
        <v>544</v>
      </c>
      <c r="N184" s="23" t="s">
        <v>30</v>
      </c>
    </row>
    <row r="185" spans="1:30" ht="13" x14ac:dyDescent="0.15">
      <c r="A185" s="23" t="s">
        <v>545</v>
      </c>
      <c r="B185" s="28">
        <v>45168</v>
      </c>
      <c r="C185" s="23" t="s">
        <v>15</v>
      </c>
      <c r="D185" s="23" t="s">
        <v>546</v>
      </c>
      <c r="E185" s="23" t="s">
        <v>547</v>
      </c>
      <c r="G185" s="47">
        <v>40544</v>
      </c>
      <c r="H185" s="25" t="s">
        <v>40</v>
      </c>
      <c r="I185" s="23">
        <v>955775045515</v>
      </c>
      <c r="J185" s="23">
        <v>7070781478</v>
      </c>
      <c r="L185" s="23" t="s">
        <v>119</v>
      </c>
      <c r="N185" s="23" t="s">
        <v>21</v>
      </c>
    </row>
    <row r="186" spans="1:30" ht="13" x14ac:dyDescent="0.15">
      <c r="C186" s="23"/>
      <c r="H186" s="25"/>
      <c r="N186" s="23"/>
    </row>
    <row r="187" spans="1:30" ht="13" x14ac:dyDescent="0.15">
      <c r="C187" s="23"/>
      <c r="H187" s="25"/>
      <c r="N187" s="23"/>
    </row>
    <row r="188" spans="1:30" ht="13" x14ac:dyDescent="0.15">
      <c r="C188" s="23"/>
      <c r="H188" s="25"/>
      <c r="N188" s="23"/>
    </row>
    <row r="189" spans="1:30" ht="13" x14ac:dyDescent="0.15">
      <c r="A189" s="16"/>
      <c r="B189" s="48"/>
      <c r="C189" s="23"/>
      <c r="D189" s="49"/>
      <c r="E189" s="49"/>
      <c r="F189" s="49"/>
      <c r="G189" s="50"/>
      <c r="H189" s="25"/>
      <c r="I189" s="49"/>
      <c r="J189" s="49"/>
      <c r="K189" s="49"/>
      <c r="L189" s="49"/>
      <c r="M189" s="49"/>
      <c r="N189" s="23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</row>
    <row r="190" spans="1:30" ht="13" x14ac:dyDescent="0.15">
      <c r="A190" s="16"/>
      <c r="B190" s="48"/>
      <c r="C190" s="49"/>
      <c r="D190" s="49"/>
      <c r="E190" s="49"/>
      <c r="F190" s="49"/>
      <c r="G190" s="50"/>
      <c r="H190" s="25"/>
      <c r="I190" s="49"/>
      <c r="J190" s="49"/>
      <c r="K190" s="49"/>
      <c r="L190" s="49"/>
      <c r="M190" s="49"/>
      <c r="N190" s="23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</row>
    <row r="191" spans="1:30" ht="13" x14ac:dyDescent="0.15">
      <c r="A191" s="16"/>
      <c r="B191" s="22"/>
      <c r="C191" s="23"/>
      <c r="G191" s="24"/>
      <c r="H191" s="25"/>
      <c r="I191" s="23"/>
      <c r="J191" s="23"/>
      <c r="K191" s="23"/>
      <c r="N191" s="23"/>
    </row>
    <row r="192" spans="1:30" ht="13" x14ac:dyDescent="0.15">
      <c r="A192" s="16"/>
      <c r="B192" s="22"/>
      <c r="C192" s="23"/>
      <c r="G192" s="24"/>
      <c r="H192" s="25"/>
      <c r="I192" s="23"/>
      <c r="J192" s="23"/>
      <c r="K192" s="23"/>
      <c r="N192" s="23"/>
    </row>
    <row r="193" spans="1:14" ht="13" x14ac:dyDescent="0.15">
      <c r="A193" s="16"/>
      <c r="B193" s="22"/>
      <c r="C193" s="23"/>
      <c r="G193" s="28"/>
      <c r="H193" s="25"/>
      <c r="I193" s="23"/>
      <c r="J193" s="23"/>
      <c r="K193" s="23"/>
      <c r="N193" s="23"/>
    </row>
    <row r="194" spans="1:14" ht="13" x14ac:dyDescent="0.15">
      <c r="A194" s="16"/>
      <c r="B194" s="22"/>
      <c r="C194" s="23"/>
      <c r="G194" s="24"/>
      <c r="H194" s="25"/>
      <c r="I194" s="23"/>
      <c r="J194" s="23"/>
      <c r="K194" s="23"/>
      <c r="N194" s="23"/>
    </row>
    <row r="195" spans="1:14" ht="13" x14ac:dyDescent="0.15">
      <c r="A195" s="16"/>
      <c r="B195" s="22"/>
      <c r="C195" s="23"/>
      <c r="H195" s="25"/>
      <c r="I195" s="23"/>
      <c r="J195" s="23"/>
      <c r="K195" s="23"/>
      <c r="N195" s="23"/>
    </row>
    <row r="196" spans="1:14" ht="13" x14ac:dyDescent="0.15">
      <c r="A196" s="16"/>
      <c r="B196" s="22"/>
      <c r="C196" s="23"/>
      <c r="G196" s="24"/>
      <c r="H196" s="25"/>
      <c r="I196" s="23"/>
      <c r="J196" s="23"/>
      <c r="K196" s="23"/>
      <c r="N196" s="23"/>
    </row>
    <row r="197" spans="1:14" ht="13" x14ac:dyDescent="0.15">
      <c r="A197" s="16"/>
      <c r="B197" s="22"/>
      <c r="C197" s="23"/>
      <c r="G197" s="24"/>
      <c r="H197" s="25"/>
      <c r="I197" s="23"/>
      <c r="J197" s="23"/>
      <c r="K197" s="23"/>
      <c r="N197" s="23"/>
    </row>
    <row r="198" spans="1:14" ht="13" x14ac:dyDescent="0.15">
      <c r="A198" s="16"/>
      <c r="B198" s="22"/>
      <c r="C198" s="23"/>
      <c r="G198" s="24"/>
      <c r="H198" s="25"/>
      <c r="I198" s="23"/>
      <c r="J198" s="23"/>
      <c r="K198" s="23"/>
      <c r="N198" s="23"/>
    </row>
    <row r="199" spans="1:14" ht="13" x14ac:dyDescent="0.15">
      <c r="A199" s="16"/>
      <c r="B199" s="22"/>
      <c r="C199" s="23"/>
      <c r="G199" s="24"/>
      <c r="H199" s="25"/>
      <c r="I199" s="23"/>
      <c r="J199" s="23"/>
      <c r="K199" s="23"/>
      <c r="N199" s="23"/>
    </row>
    <row r="200" spans="1:14" ht="13" x14ac:dyDescent="0.15">
      <c r="A200" s="51"/>
      <c r="B200" s="22"/>
      <c r="C200" s="23"/>
      <c r="G200" s="24"/>
      <c r="H200" s="25"/>
      <c r="I200" s="23"/>
      <c r="J200" s="23"/>
      <c r="K200" s="23"/>
      <c r="N200" s="23"/>
    </row>
    <row r="201" spans="1:14" ht="13" x14ac:dyDescent="0.15">
      <c r="A201" s="51"/>
      <c r="B201" s="22"/>
      <c r="C201" s="23"/>
      <c r="G201" s="24"/>
      <c r="H201" s="25"/>
      <c r="I201" s="23"/>
      <c r="J201" s="23"/>
      <c r="K201" s="23"/>
      <c r="N201" s="23"/>
    </row>
    <row r="202" spans="1:14" ht="13" x14ac:dyDescent="0.15">
      <c r="A202" s="51"/>
      <c r="B202" s="22"/>
      <c r="C202" s="23"/>
      <c r="G202" s="24"/>
      <c r="H202" s="25"/>
      <c r="I202" s="23"/>
      <c r="J202" s="23"/>
      <c r="K202" s="23"/>
      <c r="N202" s="23"/>
    </row>
    <row r="203" spans="1:14" ht="13" x14ac:dyDescent="0.15">
      <c r="A203" s="51"/>
      <c r="B203" s="22"/>
      <c r="C203" s="23"/>
      <c r="G203" s="24"/>
      <c r="H203" s="25"/>
      <c r="I203" s="23"/>
      <c r="J203" s="23"/>
      <c r="K203" s="23"/>
      <c r="N203" s="23"/>
    </row>
    <row r="204" spans="1:14" ht="13" x14ac:dyDescent="0.15">
      <c r="A204" s="51"/>
      <c r="B204" s="22"/>
      <c r="C204" s="23"/>
      <c r="G204" s="24"/>
      <c r="H204" s="25"/>
      <c r="I204" s="23"/>
      <c r="J204" s="23"/>
      <c r="K204" s="23"/>
      <c r="N204" s="23"/>
    </row>
    <row r="205" spans="1:14" ht="13" x14ac:dyDescent="0.15">
      <c r="A205" s="51"/>
      <c r="B205" s="22"/>
      <c r="C205" s="23"/>
      <c r="G205" s="24"/>
      <c r="H205" s="25"/>
      <c r="I205" s="23"/>
      <c r="J205" s="23"/>
      <c r="K205" s="23"/>
      <c r="N205" s="23"/>
    </row>
    <row r="206" spans="1:14" ht="13" x14ac:dyDescent="0.15">
      <c r="A206" s="51"/>
      <c r="B206" s="22"/>
      <c r="C206" s="23"/>
      <c r="G206" s="24"/>
      <c r="H206" s="25"/>
      <c r="I206" s="23"/>
      <c r="J206" s="23"/>
      <c r="K206" s="23"/>
      <c r="N206" s="23"/>
    </row>
    <row r="207" spans="1:14" ht="13" x14ac:dyDescent="0.15">
      <c r="A207" s="51"/>
      <c r="B207" s="22"/>
      <c r="C207" s="23"/>
      <c r="G207" s="24"/>
      <c r="H207" s="25"/>
      <c r="I207" s="23"/>
      <c r="J207" s="23"/>
      <c r="K207" s="23"/>
      <c r="N207" s="23"/>
    </row>
    <row r="208" spans="1:14" ht="13" x14ac:dyDescent="0.15">
      <c r="A208" s="51"/>
      <c r="B208" s="22"/>
      <c r="C208" s="23"/>
      <c r="G208" s="24"/>
      <c r="H208" s="25"/>
      <c r="I208" s="23"/>
      <c r="J208" s="23"/>
      <c r="K208" s="23"/>
      <c r="N208" s="23"/>
    </row>
    <row r="209" spans="1:14" ht="13" x14ac:dyDescent="0.15">
      <c r="A209" s="51"/>
      <c r="B209" s="22"/>
      <c r="C209" s="23"/>
      <c r="G209" s="24"/>
      <c r="H209" s="25"/>
      <c r="I209" s="23"/>
      <c r="J209" s="23"/>
      <c r="K209" s="23"/>
      <c r="N209" s="23"/>
    </row>
    <row r="210" spans="1:14" ht="13" x14ac:dyDescent="0.15">
      <c r="A210" s="51"/>
      <c r="B210" s="22"/>
      <c r="C210" s="23"/>
      <c r="G210" s="24"/>
      <c r="H210" s="25"/>
      <c r="I210" s="23"/>
      <c r="J210" s="23"/>
      <c r="K210" s="23"/>
      <c r="N210" s="23"/>
    </row>
    <row r="211" spans="1:14" ht="13" x14ac:dyDescent="0.15">
      <c r="A211" s="51"/>
      <c r="B211" s="22"/>
      <c r="C211" s="23"/>
      <c r="G211" s="24"/>
      <c r="H211" s="25"/>
      <c r="I211" s="23"/>
      <c r="J211" s="23"/>
      <c r="K211" s="23"/>
      <c r="N211" s="23"/>
    </row>
    <row r="212" spans="1:14" ht="13" x14ac:dyDescent="0.15">
      <c r="A212" s="51"/>
      <c r="B212" s="22"/>
      <c r="C212" s="23"/>
      <c r="G212" s="24"/>
      <c r="H212" s="25"/>
      <c r="I212" s="23"/>
      <c r="J212" s="23"/>
      <c r="K212" s="23"/>
      <c r="N212" s="23"/>
    </row>
    <row r="213" spans="1:14" ht="13" x14ac:dyDescent="0.15">
      <c r="A213" s="51"/>
      <c r="B213" s="22"/>
      <c r="C213" s="23"/>
      <c r="G213" s="24"/>
      <c r="H213" s="25"/>
      <c r="I213" s="23"/>
      <c r="J213" s="23"/>
      <c r="K213" s="23"/>
      <c r="N213" s="23"/>
    </row>
    <row r="214" spans="1:14" ht="13" x14ac:dyDescent="0.15">
      <c r="A214" s="51"/>
      <c r="B214" s="22"/>
      <c r="C214" s="23"/>
      <c r="G214" s="24"/>
      <c r="H214" s="25"/>
      <c r="I214" s="23"/>
      <c r="J214" s="23"/>
      <c r="K214" s="23"/>
      <c r="N214" s="23"/>
    </row>
    <row r="215" spans="1:14" ht="13" x14ac:dyDescent="0.15">
      <c r="A215" s="51"/>
      <c r="B215" s="22"/>
      <c r="C215" s="23"/>
      <c r="G215" s="24"/>
      <c r="H215" s="25"/>
      <c r="I215" s="23"/>
      <c r="J215" s="23"/>
      <c r="K215" s="23"/>
      <c r="N215" s="23"/>
    </row>
    <row r="216" spans="1:14" ht="13" x14ac:dyDescent="0.15">
      <c r="A216" s="51"/>
      <c r="B216" s="22"/>
      <c r="C216" s="23"/>
      <c r="G216" s="24"/>
      <c r="H216" s="25"/>
      <c r="I216" s="23"/>
      <c r="J216" s="23"/>
      <c r="K216" s="23"/>
      <c r="N216" s="23"/>
    </row>
    <row r="217" spans="1:14" ht="13" x14ac:dyDescent="0.15">
      <c r="A217" s="51"/>
      <c r="B217" s="22"/>
      <c r="C217" s="23"/>
      <c r="G217" s="24"/>
      <c r="H217" s="25"/>
      <c r="I217" s="23"/>
      <c r="J217" s="23"/>
      <c r="K217" s="23"/>
      <c r="N217" s="23"/>
    </row>
    <row r="218" spans="1:14" ht="13" x14ac:dyDescent="0.15">
      <c r="A218" s="51"/>
      <c r="B218" s="22"/>
      <c r="C218" s="23"/>
      <c r="G218" s="24"/>
      <c r="H218" s="25"/>
      <c r="I218" s="23"/>
      <c r="J218" s="23"/>
      <c r="K218" s="23"/>
      <c r="N218" s="23"/>
    </row>
    <row r="219" spans="1:14" ht="13" x14ac:dyDescent="0.15">
      <c r="A219" s="51"/>
      <c r="B219" s="22"/>
      <c r="C219" s="23"/>
      <c r="G219" s="24"/>
      <c r="H219" s="25"/>
      <c r="I219" s="23"/>
      <c r="J219" s="23"/>
      <c r="K219" s="23"/>
      <c r="N219" s="23"/>
    </row>
    <row r="220" spans="1:14" ht="13" x14ac:dyDescent="0.15">
      <c r="A220" s="51"/>
      <c r="B220" s="22"/>
      <c r="C220" s="23"/>
      <c r="G220" s="24"/>
      <c r="H220" s="25"/>
      <c r="I220" s="23"/>
      <c r="J220" s="23"/>
      <c r="K220" s="23"/>
      <c r="N220" s="23"/>
    </row>
    <row r="221" spans="1:14" ht="13" x14ac:dyDescent="0.15">
      <c r="A221" s="51"/>
      <c r="B221" s="22"/>
      <c r="C221" s="23"/>
      <c r="G221" s="24"/>
      <c r="H221" s="25"/>
      <c r="I221" s="23"/>
      <c r="J221" s="23"/>
      <c r="K221" s="23"/>
      <c r="N221" s="23"/>
    </row>
    <row r="222" spans="1:14" ht="13" x14ac:dyDescent="0.15">
      <c r="A222" s="51"/>
      <c r="B222" s="22"/>
      <c r="C222" s="23"/>
      <c r="G222" s="24"/>
      <c r="H222" s="25"/>
      <c r="I222" s="23"/>
      <c r="J222" s="23"/>
      <c r="K222" s="23"/>
      <c r="N222" s="23"/>
    </row>
    <row r="223" spans="1:14" ht="13" x14ac:dyDescent="0.15">
      <c r="A223" s="51"/>
      <c r="B223" s="22"/>
      <c r="C223" s="23"/>
      <c r="G223" s="24"/>
      <c r="H223" s="25"/>
      <c r="I223" s="23"/>
      <c r="J223" s="23"/>
      <c r="K223" s="23"/>
      <c r="N223" s="23"/>
    </row>
    <row r="224" spans="1:14" ht="13" x14ac:dyDescent="0.15">
      <c r="A224" s="51"/>
      <c r="B224" s="22"/>
      <c r="C224" s="23"/>
      <c r="G224" s="24"/>
      <c r="H224" s="25"/>
      <c r="I224" s="23"/>
      <c r="J224" s="23"/>
      <c r="K224" s="23"/>
      <c r="N224" s="23"/>
    </row>
    <row r="225" spans="1:14" ht="13" x14ac:dyDescent="0.15">
      <c r="A225" s="51"/>
      <c r="B225" s="22"/>
      <c r="C225" s="23"/>
      <c r="G225" s="24"/>
      <c r="H225" s="25"/>
      <c r="I225" s="23"/>
      <c r="J225" s="23"/>
      <c r="K225" s="23"/>
      <c r="N225" s="23"/>
    </row>
    <row r="226" spans="1:14" ht="13" x14ac:dyDescent="0.15">
      <c r="B226" s="22"/>
      <c r="C226" s="23"/>
      <c r="G226" s="24"/>
      <c r="H226" s="25"/>
      <c r="I226" s="23"/>
      <c r="J226" s="23"/>
      <c r="K226" s="23"/>
      <c r="N226" s="23"/>
    </row>
    <row r="227" spans="1:14" ht="13" x14ac:dyDescent="0.15">
      <c r="B227" s="22"/>
      <c r="C227" s="23"/>
      <c r="G227" s="24"/>
      <c r="H227" s="25"/>
      <c r="I227" s="23"/>
      <c r="J227" s="23"/>
      <c r="K227" s="23"/>
      <c r="N227" s="23"/>
    </row>
    <row r="228" spans="1:14" ht="13" x14ac:dyDescent="0.15">
      <c r="B228" s="22"/>
      <c r="C228" s="23"/>
      <c r="G228" s="24"/>
      <c r="H228" s="25"/>
      <c r="I228" s="23"/>
      <c r="J228" s="23"/>
      <c r="K228" s="23"/>
      <c r="N228" s="23"/>
    </row>
    <row r="229" spans="1:14" ht="13" x14ac:dyDescent="0.15">
      <c r="B229" s="22"/>
      <c r="C229" s="23"/>
      <c r="G229" s="24"/>
      <c r="H229" s="25"/>
      <c r="I229" s="23"/>
      <c r="J229" s="23"/>
      <c r="K229" s="23"/>
      <c r="N229" s="23"/>
    </row>
    <row r="230" spans="1:14" ht="13" x14ac:dyDescent="0.15">
      <c r="B230" s="22"/>
      <c r="C230" s="23"/>
      <c r="G230" s="24"/>
      <c r="H230" s="25"/>
      <c r="I230" s="23"/>
      <c r="J230" s="23"/>
      <c r="K230" s="23"/>
      <c r="N230" s="23"/>
    </row>
    <row r="231" spans="1:14" ht="13" x14ac:dyDescent="0.15">
      <c r="B231" s="22"/>
      <c r="C231" s="23"/>
      <c r="G231" s="24"/>
      <c r="H231" s="25"/>
      <c r="I231" s="23"/>
      <c r="J231" s="23"/>
      <c r="K231" s="23"/>
      <c r="N231" s="23"/>
    </row>
    <row r="232" spans="1:14" ht="13" x14ac:dyDescent="0.15">
      <c r="B232" s="22"/>
      <c r="C232" s="23"/>
      <c r="G232" s="24"/>
      <c r="H232" s="25"/>
      <c r="I232" s="23"/>
      <c r="J232" s="23"/>
      <c r="K232" s="23"/>
      <c r="N232" s="23"/>
    </row>
    <row r="233" spans="1:14" ht="13" x14ac:dyDescent="0.15">
      <c r="B233" s="22"/>
      <c r="C233" s="23"/>
      <c r="G233" s="24"/>
      <c r="H233" s="25"/>
      <c r="I233" s="23"/>
      <c r="J233" s="23"/>
      <c r="K233" s="23"/>
      <c r="N233" s="23"/>
    </row>
    <row r="234" spans="1:14" ht="13" x14ac:dyDescent="0.15">
      <c r="B234" s="22"/>
      <c r="C234" s="23"/>
      <c r="G234" s="24"/>
      <c r="H234" s="25"/>
      <c r="I234" s="23"/>
      <c r="J234" s="23"/>
      <c r="K234" s="23"/>
      <c r="N234" s="23"/>
    </row>
    <row r="235" spans="1:14" ht="13" x14ac:dyDescent="0.15">
      <c r="B235" s="22"/>
      <c r="C235" s="23"/>
      <c r="G235" s="24"/>
      <c r="H235" s="25"/>
      <c r="I235" s="23"/>
      <c r="J235" s="23"/>
      <c r="K235" s="23"/>
      <c r="N235" s="23"/>
    </row>
    <row r="236" spans="1:14" ht="13" x14ac:dyDescent="0.15">
      <c r="B236" s="22"/>
      <c r="C236" s="23"/>
      <c r="G236" s="24"/>
      <c r="H236" s="25"/>
      <c r="I236" s="23"/>
      <c r="J236" s="23"/>
      <c r="K236" s="23"/>
      <c r="N236" s="23"/>
    </row>
    <row r="237" spans="1:14" ht="13" x14ac:dyDescent="0.15">
      <c r="B237" s="22"/>
      <c r="C237" s="23"/>
      <c r="G237" s="24"/>
      <c r="H237" s="25"/>
      <c r="I237" s="23"/>
      <c r="J237" s="23"/>
      <c r="K237" s="23"/>
      <c r="N237" s="23"/>
    </row>
    <row r="238" spans="1:14" ht="13" x14ac:dyDescent="0.15">
      <c r="B238" s="22"/>
      <c r="C238" s="23"/>
      <c r="G238" s="24"/>
      <c r="H238" s="25"/>
      <c r="I238" s="23"/>
      <c r="J238" s="23"/>
      <c r="K238" s="23"/>
      <c r="N238" s="23"/>
    </row>
    <row r="239" spans="1:14" ht="13" x14ac:dyDescent="0.15">
      <c r="B239" s="22"/>
      <c r="C239" s="23"/>
      <c r="G239" s="24"/>
      <c r="H239" s="25"/>
      <c r="I239" s="23"/>
      <c r="J239" s="23"/>
      <c r="K239" s="23"/>
      <c r="N239" s="23"/>
    </row>
    <row r="240" spans="1:14" ht="13" x14ac:dyDescent="0.15">
      <c r="B240" s="22"/>
      <c r="C240" s="23"/>
      <c r="G240" s="24"/>
      <c r="H240" s="25"/>
      <c r="I240" s="23"/>
      <c r="J240" s="23"/>
      <c r="K240" s="23"/>
      <c r="N240" s="23"/>
    </row>
    <row r="241" spans="2:14" ht="13" x14ac:dyDescent="0.15">
      <c r="B241" s="22"/>
      <c r="C241" s="23"/>
      <c r="G241" s="24"/>
      <c r="H241" s="25"/>
      <c r="I241" s="23"/>
      <c r="J241" s="23"/>
      <c r="K241" s="23"/>
      <c r="N241" s="23"/>
    </row>
    <row r="242" spans="2:14" ht="13" x14ac:dyDescent="0.15">
      <c r="B242" s="22"/>
      <c r="C242" s="23"/>
      <c r="G242" s="24"/>
      <c r="H242" s="25"/>
      <c r="I242" s="23"/>
      <c r="J242" s="23"/>
      <c r="K242" s="23"/>
      <c r="N242" s="23"/>
    </row>
    <row r="243" spans="2:14" ht="13" x14ac:dyDescent="0.15">
      <c r="B243" s="22"/>
      <c r="C243" s="23"/>
      <c r="G243" s="24"/>
      <c r="H243" s="25"/>
      <c r="I243" s="23"/>
      <c r="J243" s="23"/>
      <c r="K243" s="23"/>
      <c r="N243" s="23"/>
    </row>
    <row r="244" spans="2:14" ht="13" x14ac:dyDescent="0.15">
      <c r="B244" s="22"/>
      <c r="C244" s="23"/>
      <c r="G244" s="24"/>
      <c r="H244" s="25"/>
      <c r="I244" s="23"/>
      <c r="J244" s="23"/>
      <c r="K244" s="23"/>
      <c r="N244" s="23"/>
    </row>
    <row r="245" spans="2:14" ht="13" x14ac:dyDescent="0.15">
      <c r="B245" s="22"/>
      <c r="C245" s="23"/>
      <c r="G245" s="24"/>
      <c r="H245" s="25"/>
      <c r="I245" s="23"/>
      <c r="J245" s="23"/>
      <c r="K245" s="23"/>
      <c r="N245" s="23"/>
    </row>
    <row r="246" spans="2:14" ht="13" x14ac:dyDescent="0.15">
      <c r="B246" s="22"/>
      <c r="C246" s="23"/>
      <c r="G246" s="24"/>
      <c r="H246" s="25"/>
      <c r="I246" s="23"/>
      <c r="J246" s="23"/>
      <c r="K246" s="23"/>
      <c r="N246" s="23"/>
    </row>
    <row r="247" spans="2:14" ht="13" x14ac:dyDescent="0.15">
      <c r="B247" s="22"/>
      <c r="C247" s="23"/>
      <c r="G247" s="24"/>
      <c r="H247" s="25"/>
      <c r="I247" s="23"/>
      <c r="J247" s="23"/>
      <c r="K247" s="23"/>
      <c r="N247" s="23"/>
    </row>
    <row r="248" spans="2:14" ht="13" x14ac:dyDescent="0.15">
      <c r="B248" s="22"/>
      <c r="C248" s="23"/>
      <c r="G248" s="24"/>
      <c r="H248" s="25"/>
      <c r="I248" s="23"/>
      <c r="J248" s="23"/>
      <c r="K248" s="23"/>
      <c r="N248" s="23"/>
    </row>
    <row r="249" spans="2:14" ht="13" x14ac:dyDescent="0.15">
      <c r="B249" s="22"/>
      <c r="C249" s="23"/>
      <c r="G249" s="24"/>
      <c r="H249" s="25"/>
      <c r="I249" s="23"/>
      <c r="J249" s="23"/>
      <c r="K249" s="23"/>
      <c r="N249" s="23"/>
    </row>
    <row r="250" spans="2:14" ht="13" x14ac:dyDescent="0.15">
      <c r="B250" s="22"/>
      <c r="C250" s="23"/>
      <c r="G250" s="24"/>
      <c r="H250" s="25"/>
      <c r="I250" s="23"/>
      <c r="J250" s="23"/>
      <c r="K250" s="23"/>
      <c r="N250" s="23"/>
    </row>
    <row r="251" spans="2:14" ht="13" x14ac:dyDescent="0.15">
      <c r="B251" s="22"/>
      <c r="C251" s="23"/>
      <c r="G251" s="24"/>
      <c r="H251" s="25"/>
      <c r="I251" s="23"/>
      <c r="J251" s="23"/>
      <c r="K251" s="23"/>
      <c r="N251" s="23"/>
    </row>
    <row r="252" spans="2:14" ht="13" x14ac:dyDescent="0.15">
      <c r="B252" s="22"/>
      <c r="C252" s="23"/>
      <c r="G252" s="24"/>
      <c r="H252" s="25"/>
      <c r="I252" s="23"/>
      <c r="J252" s="23"/>
      <c r="K252" s="23"/>
      <c r="N252" s="23"/>
    </row>
    <row r="253" spans="2:14" ht="13" x14ac:dyDescent="0.15">
      <c r="B253" s="22"/>
      <c r="C253" s="23"/>
      <c r="G253" s="24"/>
      <c r="H253" s="25"/>
      <c r="I253" s="23"/>
      <c r="J253" s="23"/>
      <c r="K253" s="23"/>
      <c r="N253" s="23"/>
    </row>
    <row r="254" spans="2:14" ht="13" x14ac:dyDescent="0.15">
      <c r="B254" s="22"/>
      <c r="C254" s="23"/>
      <c r="G254" s="24"/>
      <c r="H254" s="25"/>
      <c r="I254" s="23"/>
      <c r="J254" s="23"/>
      <c r="K254" s="23"/>
      <c r="N254" s="23"/>
    </row>
    <row r="255" spans="2:14" ht="13" x14ac:dyDescent="0.15">
      <c r="B255" s="22"/>
      <c r="C255" s="23"/>
      <c r="G255" s="24"/>
      <c r="H255" s="25"/>
      <c r="I255" s="23"/>
      <c r="J255" s="23"/>
      <c r="K255" s="23"/>
      <c r="N255" s="23"/>
    </row>
    <row r="256" spans="2:14" ht="13" x14ac:dyDescent="0.15">
      <c r="B256" s="22"/>
      <c r="C256" s="23"/>
      <c r="G256" s="24"/>
      <c r="H256" s="25"/>
      <c r="I256" s="23"/>
      <c r="J256" s="23"/>
      <c r="K256" s="23"/>
      <c r="N256" s="23"/>
    </row>
    <row r="257" spans="2:14" ht="13" x14ac:dyDescent="0.15">
      <c r="B257" s="22"/>
      <c r="C257" s="23"/>
      <c r="G257" s="24"/>
      <c r="H257" s="25"/>
      <c r="I257" s="23"/>
      <c r="J257" s="23"/>
      <c r="K257" s="23"/>
      <c r="N257" s="23"/>
    </row>
    <row r="258" spans="2:14" ht="13" x14ac:dyDescent="0.15">
      <c r="B258" s="22"/>
      <c r="C258" s="23"/>
      <c r="G258" s="24"/>
      <c r="H258" s="25"/>
      <c r="I258" s="23"/>
      <c r="J258" s="23"/>
      <c r="K258" s="23"/>
      <c r="N258" s="23"/>
    </row>
    <row r="259" spans="2:14" ht="13" x14ac:dyDescent="0.15">
      <c r="B259" s="22"/>
      <c r="C259" s="23"/>
      <c r="G259" s="24"/>
      <c r="H259" s="25"/>
      <c r="I259" s="23"/>
      <c r="J259" s="23"/>
      <c r="K259" s="23"/>
      <c r="N259" s="23"/>
    </row>
    <row r="260" spans="2:14" ht="13" x14ac:dyDescent="0.15">
      <c r="B260" s="22"/>
      <c r="C260" s="23"/>
      <c r="G260" s="24"/>
      <c r="H260" s="25"/>
      <c r="I260" s="23"/>
      <c r="J260" s="23"/>
      <c r="K260" s="23"/>
      <c r="N260" s="23"/>
    </row>
    <row r="261" spans="2:14" ht="13" x14ac:dyDescent="0.15">
      <c r="B261" s="22"/>
      <c r="C261" s="23"/>
      <c r="G261" s="24"/>
      <c r="H261" s="25"/>
      <c r="I261" s="23"/>
      <c r="J261" s="23"/>
      <c r="K261" s="23"/>
      <c r="N261" s="23"/>
    </row>
    <row r="262" spans="2:14" ht="13" x14ac:dyDescent="0.15">
      <c r="B262" s="22"/>
      <c r="C262" s="23"/>
      <c r="G262" s="24"/>
      <c r="H262" s="25"/>
      <c r="I262" s="23"/>
      <c r="J262" s="23"/>
      <c r="K262" s="23"/>
      <c r="N262" s="23"/>
    </row>
    <row r="263" spans="2:14" ht="13" x14ac:dyDescent="0.15">
      <c r="B263" s="22"/>
      <c r="C263" s="23"/>
      <c r="G263" s="24"/>
      <c r="H263" s="25"/>
      <c r="I263" s="23"/>
      <c r="J263" s="23"/>
      <c r="K263" s="23"/>
      <c r="N263" s="23"/>
    </row>
    <row r="264" spans="2:14" ht="13" x14ac:dyDescent="0.15">
      <c r="B264" s="22"/>
      <c r="C264" s="23"/>
      <c r="G264" s="24"/>
      <c r="H264" s="25"/>
      <c r="I264" s="23"/>
      <c r="J264" s="23"/>
      <c r="K264" s="23"/>
      <c r="N264" s="23"/>
    </row>
    <row r="265" spans="2:14" ht="13" x14ac:dyDescent="0.15">
      <c r="B265" s="22"/>
      <c r="C265" s="23"/>
      <c r="G265" s="24"/>
      <c r="H265" s="25"/>
      <c r="I265" s="23"/>
      <c r="J265" s="23"/>
      <c r="K265" s="23"/>
      <c r="N265" s="23"/>
    </row>
    <row r="266" spans="2:14" ht="13" x14ac:dyDescent="0.15">
      <c r="B266" s="22"/>
      <c r="C266" s="23"/>
      <c r="G266" s="24"/>
      <c r="H266" s="25"/>
      <c r="I266" s="23"/>
      <c r="J266" s="23"/>
      <c r="K266" s="23"/>
      <c r="N266" s="23"/>
    </row>
    <row r="267" spans="2:14" ht="13" x14ac:dyDescent="0.15">
      <c r="B267" s="22"/>
      <c r="C267" s="23"/>
      <c r="G267" s="24"/>
      <c r="H267" s="25"/>
      <c r="I267" s="23"/>
      <c r="J267" s="23"/>
      <c r="K267" s="23"/>
      <c r="N267" s="23"/>
    </row>
    <row r="268" spans="2:14" ht="13" x14ac:dyDescent="0.15">
      <c r="B268" s="22"/>
      <c r="C268" s="23"/>
      <c r="G268" s="24"/>
      <c r="H268" s="25"/>
      <c r="I268" s="23"/>
      <c r="J268" s="23"/>
      <c r="K268" s="23"/>
      <c r="N268" s="23"/>
    </row>
    <row r="269" spans="2:14" ht="13" x14ac:dyDescent="0.15">
      <c r="B269" s="22"/>
      <c r="C269" s="23"/>
      <c r="G269" s="24"/>
      <c r="H269" s="25"/>
      <c r="I269" s="23"/>
      <c r="J269" s="23"/>
      <c r="K269" s="23"/>
      <c r="N269" s="23"/>
    </row>
    <row r="270" spans="2:14" ht="13" x14ac:dyDescent="0.15">
      <c r="B270" s="22"/>
      <c r="C270" s="23"/>
      <c r="G270" s="24"/>
      <c r="H270" s="25"/>
      <c r="I270" s="23"/>
      <c r="J270" s="23"/>
      <c r="K270" s="23"/>
      <c r="N270" s="23"/>
    </row>
    <row r="271" spans="2:14" ht="13" x14ac:dyDescent="0.15">
      <c r="B271" s="22"/>
      <c r="C271" s="23"/>
      <c r="G271" s="24"/>
      <c r="H271" s="25"/>
      <c r="I271" s="23"/>
      <c r="J271" s="23"/>
      <c r="K271" s="23"/>
      <c r="N271" s="23"/>
    </row>
    <row r="272" spans="2:14" ht="13" x14ac:dyDescent="0.15">
      <c r="B272" s="22"/>
      <c r="C272" s="23"/>
      <c r="G272" s="24"/>
      <c r="H272" s="25"/>
      <c r="I272" s="23"/>
      <c r="J272" s="23"/>
      <c r="K272" s="23"/>
      <c r="N272" s="23"/>
    </row>
    <row r="273" spans="2:14" ht="13" x14ac:dyDescent="0.15">
      <c r="B273" s="22"/>
      <c r="C273" s="23"/>
      <c r="G273" s="24"/>
      <c r="H273" s="25"/>
      <c r="I273" s="23"/>
      <c r="J273" s="23"/>
      <c r="K273" s="23"/>
      <c r="N273" s="23"/>
    </row>
    <row r="274" spans="2:14" ht="13" x14ac:dyDescent="0.15">
      <c r="B274" s="22"/>
      <c r="C274" s="23"/>
      <c r="G274" s="24"/>
      <c r="H274" s="25"/>
      <c r="I274" s="23"/>
      <c r="J274" s="23"/>
      <c r="K274" s="23"/>
      <c r="N274" s="23"/>
    </row>
    <row r="275" spans="2:14" ht="13" x14ac:dyDescent="0.15">
      <c r="B275" s="22"/>
      <c r="C275" s="23"/>
      <c r="G275" s="24"/>
      <c r="H275" s="25"/>
      <c r="I275" s="23"/>
      <c r="J275" s="23"/>
      <c r="K275" s="23"/>
      <c r="N275" s="23"/>
    </row>
    <row r="276" spans="2:14" ht="13" x14ac:dyDescent="0.15">
      <c r="B276" s="22"/>
      <c r="C276" s="23"/>
      <c r="G276" s="24"/>
      <c r="H276" s="25"/>
      <c r="I276" s="23"/>
      <c r="J276" s="23"/>
      <c r="K276" s="23"/>
      <c r="N276" s="23"/>
    </row>
    <row r="277" spans="2:14" ht="13" x14ac:dyDescent="0.15">
      <c r="B277" s="22"/>
      <c r="C277" s="23"/>
      <c r="G277" s="24"/>
      <c r="H277" s="25"/>
      <c r="I277" s="23"/>
      <c r="J277" s="23"/>
      <c r="K277" s="23"/>
      <c r="N277" s="23"/>
    </row>
    <row r="278" spans="2:14" ht="13" x14ac:dyDescent="0.15">
      <c r="B278" s="22"/>
      <c r="C278" s="23"/>
      <c r="G278" s="24"/>
      <c r="H278" s="25"/>
      <c r="I278" s="23"/>
      <c r="J278" s="23"/>
      <c r="K278" s="23"/>
      <c r="N278" s="23"/>
    </row>
    <row r="279" spans="2:14" ht="13" x14ac:dyDescent="0.15">
      <c r="B279" s="22"/>
      <c r="C279" s="23"/>
      <c r="G279" s="24"/>
      <c r="H279" s="25"/>
      <c r="I279" s="23"/>
      <c r="J279" s="23"/>
      <c r="K279" s="23"/>
      <c r="N279" s="23"/>
    </row>
    <row r="280" spans="2:14" ht="13" x14ac:dyDescent="0.15">
      <c r="B280" s="22"/>
      <c r="C280" s="23"/>
      <c r="G280" s="24"/>
      <c r="H280" s="25"/>
      <c r="I280" s="23"/>
      <c r="J280" s="23"/>
      <c r="K280" s="23"/>
      <c r="N280" s="23"/>
    </row>
    <row r="281" spans="2:14" ht="13" x14ac:dyDescent="0.15">
      <c r="B281" s="22"/>
      <c r="C281" s="23"/>
      <c r="G281" s="24"/>
      <c r="H281" s="25"/>
      <c r="I281" s="23"/>
      <c r="J281" s="23"/>
      <c r="K281" s="23"/>
      <c r="N281" s="23"/>
    </row>
    <row r="282" spans="2:14" ht="13" x14ac:dyDescent="0.15">
      <c r="B282" s="22"/>
      <c r="C282" s="23"/>
      <c r="G282" s="24"/>
      <c r="H282" s="25"/>
      <c r="I282" s="23"/>
      <c r="J282" s="23"/>
      <c r="K282" s="23"/>
      <c r="N282" s="23"/>
    </row>
    <row r="283" spans="2:14" ht="13" x14ac:dyDescent="0.15">
      <c r="B283" s="22"/>
      <c r="C283" s="23"/>
      <c r="G283" s="24"/>
      <c r="H283" s="25"/>
      <c r="I283" s="23"/>
      <c r="J283" s="23"/>
      <c r="K283" s="23"/>
      <c r="N283" s="23"/>
    </row>
    <row r="284" spans="2:14" ht="13" x14ac:dyDescent="0.15">
      <c r="B284" s="22"/>
      <c r="C284" s="23"/>
      <c r="G284" s="24"/>
      <c r="H284" s="25"/>
      <c r="I284" s="23"/>
      <c r="J284" s="23"/>
      <c r="K284" s="23"/>
      <c r="N284" s="23"/>
    </row>
    <row r="285" spans="2:14" ht="13" x14ac:dyDescent="0.15">
      <c r="B285" s="22"/>
      <c r="C285" s="23"/>
      <c r="G285" s="24"/>
      <c r="H285" s="25"/>
      <c r="I285" s="23"/>
      <c r="J285" s="23"/>
      <c r="K285" s="23"/>
      <c r="N285" s="23"/>
    </row>
    <row r="286" spans="2:14" ht="13" x14ac:dyDescent="0.15">
      <c r="B286" s="22"/>
      <c r="C286" s="23"/>
      <c r="G286" s="24"/>
      <c r="H286" s="25"/>
      <c r="I286" s="23"/>
      <c r="J286" s="23"/>
      <c r="K286" s="23"/>
      <c r="N286" s="23"/>
    </row>
    <row r="287" spans="2:14" ht="13" x14ac:dyDescent="0.15">
      <c r="B287" s="22"/>
      <c r="C287" s="23"/>
      <c r="G287" s="24"/>
      <c r="H287" s="25"/>
      <c r="I287" s="23"/>
      <c r="J287" s="23"/>
      <c r="K287" s="23"/>
      <c r="N287" s="23"/>
    </row>
    <row r="288" spans="2:14" ht="13" x14ac:dyDescent="0.15">
      <c r="B288" s="22"/>
      <c r="C288" s="23"/>
      <c r="G288" s="24"/>
      <c r="H288" s="25"/>
      <c r="I288" s="23"/>
      <c r="J288" s="23"/>
      <c r="K288" s="23"/>
      <c r="N288" s="23"/>
    </row>
    <row r="289" spans="2:14" ht="13" x14ac:dyDescent="0.15">
      <c r="B289" s="22"/>
      <c r="C289" s="23"/>
      <c r="G289" s="24"/>
      <c r="H289" s="25"/>
      <c r="I289" s="23"/>
      <c r="J289" s="23"/>
      <c r="K289" s="23"/>
      <c r="N289" s="23"/>
    </row>
    <row r="290" spans="2:14" ht="13" x14ac:dyDescent="0.15">
      <c r="B290" s="22"/>
      <c r="C290" s="23"/>
      <c r="G290" s="24"/>
      <c r="H290" s="25"/>
      <c r="I290" s="23"/>
      <c r="J290" s="23"/>
      <c r="K290" s="23"/>
      <c r="N290" s="23"/>
    </row>
    <row r="291" spans="2:14" ht="13" x14ac:dyDescent="0.15">
      <c r="B291" s="22"/>
      <c r="C291" s="23"/>
      <c r="G291" s="24"/>
      <c r="H291" s="25"/>
      <c r="I291" s="23"/>
      <c r="J291" s="23"/>
      <c r="K291" s="23"/>
      <c r="N291" s="23"/>
    </row>
    <row r="292" spans="2:14" ht="13" x14ac:dyDescent="0.15">
      <c r="B292" s="22"/>
      <c r="C292" s="23"/>
      <c r="G292" s="24"/>
      <c r="H292" s="25"/>
      <c r="I292" s="23"/>
      <c r="J292" s="23"/>
      <c r="K292" s="23"/>
      <c r="N292" s="23"/>
    </row>
    <row r="293" spans="2:14" ht="13" x14ac:dyDescent="0.15">
      <c r="B293" s="22"/>
      <c r="C293" s="23"/>
      <c r="G293" s="24"/>
      <c r="H293" s="25"/>
      <c r="I293" s="23"/>
      <c r="J293" s="23"/>
      <c r="K293" s="23"/>
      <c r="N293" s="23"/>
    </row>
    <row r="294" spans="2:14" ht="13" x14ac:dyDescent="0.15">
      <c r="B294" s="22"/>
      <c r="C294" s="23"/>
      <c r="G294" s="24"/>
      <c r="H294" s="25"/>
      <c r="I294" s="23"/>
      <c r="J294" s="23"/>
      <c r="K294" s="23"/>
      <c r="N294" s="23"/>
    </row>
    <row r="295" spans="2:14" ht="13" x14ac:dyDescent="0.15">
      <c r="B295" s="22"/>
      <c r="C295" s="23"/>
      <c r="G295" s="24"/>
      <c r="H295" s="25"/>
      <c r="I295" s="23"/>
      <c r="J295" s="23"/>
      <c r="K295" s="23"/>
      <c r="N295" s="23"/>
    </row>
    <row r="296" spans="2:14" ht="13" x14ac:dyDescent="0.15">
      <c r="B296" s="22"/>
      <c r="C296" s="23"/>
      <c r="G296" s="24"/>
      <c r="H296" s="25"/>
      <c r="I296" s="23"/>
      <c r="J296" s="23"/>
      <c r="K296" s="23"/>
      <c r="N296" s="23"/>
    </row>
    <row r="297" spans="2:14" ht="13" x14ac:dyDescent="0.15">
      <c r="B297" s="22"/>
      <c r="C297" s="23"/>
      <c r="G297" s="24"/>
      <c r="H297" s="25"/>
      <c r="I297" s="23"/>
      <c r="J297" s="23"/>
      <c r="K297" s="23"/>
      <c r="N297" s="23"/>
    </row>
    <row r="298" spans="2:14" ht="13" x14ac:dyDescent="0.15">
      <c r="B298" s="22"/>
      <c r="C298" s="23"/>
      <c r="G298" s="24"/>
      <c r="H298" s="25"/>
      <c r="I298" s="23"/>
      <c r="J298" s="23"/>
      <c r="K298" s="23"/>
      <c r="N298" s="23"/>
    </row>
    <row r="299" spans="2:14" ht="13" x14ac:dyDescent="0.15">
      <c r="B299" s="22"/>
      <c r="C299" s="23"/>
      <c r="G299" s="24"/>
      <c r="H299" s="25"/>
      <c r="I299" s="23"/>
      <c r="J299" s="23"/>
      <c r="K299" s="23"/>
      <c r="N299" s="23"/>
    </row>
    <row r="300" spans="2:14" ht="13" x14ac:dyDescent="0.15">
      <c r="B300" s="22"/>
      <c r="C300" s="23"/>
      <c r="G300" s="24"/>
      <c r="H300" s="25"/>
      <c r="I300" s="23"/>
      <c r="J300" s="23"/>
      <c r="K300" s="23"/>
      <c r="N300" s="23"/>
    </row>
    <row r="301" spans="2:14" ht="13" x14ac:dyDescent="0.15">
      <c r="B301" s="22"/>
      <c r="C301" s="23"/>
      <c r="G301" s="24"/>
      <c r="H301" s="25"/>
      <c r="I301" s="23"/>
      <c r="J301" s="23"/>
      <c r="K301" s="23"/>
      <c r="N301" s="23"/>
    </row>
    <row r="302" spans="2:14" ht="13" x14ac:dyDescent="0.15">
      <c r="B302" s="22"/>
      <c r="C302" s="23"/>
      <c r="G302" s="24"/>
      <c r="H302" s="25"/>
      <c r="I302" s="23"/>
      <c r="J302" s="23"/>
      <c r="K302" s="23"/>
      <c r="N302" s="23"/>
    </row>
    <row r="303" spans="2:14" ht="13" x14ac:dyDescent="0.15">
      <c r="B303" s="22"/>
      <c r="C303" s="23"/>
      <c r="G303" s="24"/>
      <c r="H303" s="25"/>
      <c r="I303" s="23"/>
      <c r="J303" s="23"/>
      <c r="K303" s="23"/>
      <c r="N303" s="23"/>
    </row>
    <row r="304" spans="2:14" ht="13" x14ac:dyDescent="0.15">
      <c r="B304" s="22"/>
      <c r="C304" s="23"/>
      <c r="G304" s="24"/>
      <c r="H304" s="25"/>
      <c r="I304" s="23"/>
      <c r="J304" s="23"/>
      <c r="K304" s="23"/>
      <c r="N304" s="23"/>
    </row>
    <row r="305" spans="2:14" ht="13" x14ac:dyDescent="0.15">
      <c r="B305" s="22"/>
      <c r="C305" s="23"/>
      <c r="G305" s="24"/>
      <c r="H305" s="25"/>
      <c r="I305" s="23"/>
      <c r="J305" s="23"/>
      <c r="K305" s="23"/>
      <c r="N305" s="23"/>
    </row>
    <row r="306" spans="2:14" ht="13" x14ac:dyDescent="0.15">
      <c r="B306" s="22"/>
      <c r="C306" s="23"/>
      <c r="G306" s="24"/>
      <c r="H306" s="25"/>
      <c r="I306" s="23"/>
      <c r="J306" s="23"/>
      <c r="K306" s="23"/>
      <c r="N306" s="23"/>
    </row>
    <row r="307" spans="2:14" ht="13" x14ac:dyDescent="0.15">
      <c r="B307" s="22"/>
      <c r="C307" s="23"/>
      <c r="G307" s="24"/>
      <c r="H307" s="25"/>
      <c r="I307" s="23"/>
      <c r="J307" s="23"/>
      <c r="K307" s="23"/>
      <c r="N307" s="23"/>
    </row>
    <row r="308" spans="2:14" ht="13" x14ac:dyDescent="0.15">
      <c r="B308" s="22"/>
      <c r="C308" s="23"/>
      <c r="G308" s="24"/>
      <c r="H308" s="25"/>
      <c r="I308" s="23"/>
      <c r="J308" s="23"/>
      <c r="K308" s="23"/>
      <c r="N308" s="23"/>
    </row>
    <row r="309" spans="2:14" ht="13" x14ac:dyDescent="0.15">
      <c r="B309" s="22"/>
      <c r="C309" s="23"/>
      <c r="G309" s="24"/>
      <c r="H309" s="25"/>
      <c r="I309" s="23"/>
      <c r="J309" s="23"/>
      <c r="K309" s="23"/>
      <c r="N309" s="23"/>
    </row>
    <row r="310" spans="2:14" ht="13" x14ac:dyDescent="0.15">
      <c r="B310" s="22"/>
      <c r="C310" s="23"/>
      <c r="G310" s="24"/>
      <c r="H310" s="25"/>
      <c r="I310" s="23"/>
      <c r="J310" s="23"/>
      <c r="K310" s="23"/>
      <c r="N310" s="23"/>
    </row>
    <row r="311" spans="2:14" ht="13" x14ac:dyDescent="0.15">
      <c r="B311" s="22"/>
      <c r="C311" s="23"/>
      <c r="G311" s="24"/>
      <c r="H311" s="25"/>
      <c r="I311" s="23"/>
      <c r="J311" s="23"/>
      <c r="K311" s="23"/>
      <c r="N311" s="23"/>
    </row>
    <row r="312" spans="2:14" ht="13" x14ac:dyDescent="0.15">
      <c r="B312" s="22"/>
      <c r="C312" s="23"/>
      <c r="G312" s="24"/>
      <c r="H312" s="25"/>
      <c r="I312" s="23"/>
      <c r="J312" s="23"/>
      <c r="K312" s="23"/>
      <c r="N312" s="23"/>
    </row>
    <row r="313" spans="2:14" ht="13" x14ac:dyDescent="0.15">
      <c r="B313" s="22"/>
      <c r="C313" s="23"/>
      <c r="G313" s="24"/>
      <c r="H313" s="25"/>
      <c r="I313" s="23"/>
      <c r="J313" s="23"/>
      <c r="K313" s="23"/>
      <c r="N313" s="23"/>
    </row>
    <row r="314" spans="2:14" ht="13" x14ac:dyDescent="0.15">
      <c r="B314" s="22"/>
      <c r="C314" s="23"/>
      <c r="G314" s="24"/>
      <c r="H314" s="25"/>
      <c r="I314" s="23"/>
      <c r="J314" s="23"/>
      <c r="K314" s="23"/>
      <c r="N314" s="23"/>
    </row>
    <row r="315" spans="2:14" ht="13" x14ac:dyDescent="0.15">
      <c r="B315" s="22"/>
      <c r="C315" s="23"/>
      <c r="G315" s="24"/>
      <c r="H315" s="25"/>
      <c r="I315" s="23"/>
      <c r="J315" s="23"/>
      <c r="K315" s="23"/>
      <c r="N315" s="23"/>
    </row>
    <row r="316" spans="2:14" ht="13" x14ac:dyDescent="0.15">
      <c r="B316" s="22"/>
      <c r="C316" s="23"/>
      <c r="G316" s="24"/>
      <c r="H316" s="25"/>
      <c r="I316" s="23"/>
      <c r="J316" s="23"/>
      <c r="K316" s="23"/>
      <c r="N316" s="23"/>
    </row>
    <row r="317" spans="2:14" ht="13" x14ac:dyDescent="0.15">
      <c r="B317" s="22"/>
      <c r="C317" s="23"/>
      <c r="G317" s="24"/>
      <c r="H317" s="25"/>
      <c r="I317" s="23"/>
      <c r="J317" s="23"/>
      <c r="K317" s="23"/>
      <c r="N317" s="23"/>
    </row>
    <row r="318" spans="2:14" ht="13" x14ac:dyDescent="0.15">
      <c r="B318" s="22"/>
      <c r="C318" s="23"/>
      <c r="G318" s="24"/>
      <c r="H318" s="25"/>
      <c r="I318" s="23"/>
      <c r="J318" s="23"/>
      <c r="K318" s="23"/>
      <c r="N318" s="23"/>
    </row>
    <row r="319" spans="2:14" ht="13" x14ac:dyDescent="0.15">
      <c r="B319" s="22"/>
      <c r="C319" s="23"/>
      <c r="G319" s="24"/>
      <c r="H319" s="25"/>
      <c r="I319" s="23"/>
      <c r="J319" s="23"/>
      <c r="K319" s="23"/>
      <c r="N319" s="23"/>
    </row>
    <row r="320" spans="2:14" ht="13" x14ac:dyDescent="0.15">
      <c r="B320" s="22"/>
      <c r="C320" s="23"/>
      <c r="G320" s="24"/>
      <c r="H320" s="25"/>
      <c r="I320" s="23"/>
      <c r="J320" s="23"/>
      <c r="K320" s="23"/>
      <c r="N320" s="23"/>
    </row>
    <row r="321" spans="2:14" ht="13" x14ac:dyDescent="0.15">
      <c r="B321" s="22"/>
      <c r="C321" s="23"/>
      <c r="G321" s="24"/>
      <c r="H321" s="25"/>
      <c r="I321" s="23"/>
      <c r="J321" s="23"/>
      <c r="K321" s="23"/>
      <c r="N321" s="23"/>
    </row>
    <row r="322" spans="2:14" ht="13" x14ac:dyDescent="0.15">
      <c r="B322" s="22"/>
      <c r="C322" s="23"/>
      <c r="G322" s="24"/>
      <c r="H322" s="25"/>
      <c r="I322" s="23"/>
      <c r="J322" s="23"/>
      <c r="K322" s="23"/>
      <c r="N322" s="23"/>
    </row>
    <row r="323" spans="2:14" ht="13" x14ac:dyDescent="0.15">
      <c r="B323" s="22"/>
      <c r="C323" s="23"/>
      <c r="G323" s="24"/>
      <c r="H323" s="25"/>
      <c r="I323" s="23"/>
      <c r="J323" s="23"/>
      <c r="K323" s="23"/>
      <c r="N323" s="23"/>
    </row>
    <row r="324" spans="2:14" ht="13" x14ac:dyDescent="0.15">
      <c r="B324" s="22"/>
      <c r="C324" s="23"/>
      <c r="G324" s="24"/>
      <c r="H324" s="25"/>
      <c r="I324" s="23"/>
      <c r="J324" s="23"/>
      <c r="K324" s="23"/>
      <c r="N324" s="23"/>
    </row>
    <row r="325" spans="2:14" ht="13" x14ac:dyDescent="0.15">
      <c r="B325" s="22"/>
      <c r="C325" s="23"/>
      <c r="G325" s="24"/>
      <c r="H325" s="25"/>
      <c r="I325" s="23"/>
      <c r="J325" s="23"/>
      <c r="K325" s="23"/>
      <c r="N325" s="23"/>
    </row>
    <row r="326" spans="2:14" ht="13" x14ac:dyDescent="0.15">
      <c r="B326" s="22"/>
      <c r="C326" s="23"/>
      <c r="G326" s="24"/>
      <c r="H326" s="25"/>
      <c r="I326" s="23"/>
      <c r="J326" s="23"/>
      <c r="K326" s="23"/>
      <c r="N326" s="23"/>
    </row>
    <row r="327" spans="2:14" ht="13" x14ac:dyDescent="0.15">
      <c r="B327" s="22"/>
      <c r="C327" s="23"/>
      <c r="G327" s="24"/>
      <c r="H327" s="25"/>
      <c r="I327" s="23"/>
      <c r="J327" s="23"/>
      <c r="K327" s="23"/>
      <c r="N327" s="23"/>
    </row>
    <row r="328" spans="2:14" ht="13" x14ac:dyDescent="0.15">
      <c r="B328" s="22"/>
      <c r="C328" s="23"/>
      <c r="G328" s="24"/>
      <c r="H328" s="25"/>
      <c r="I328" s="23"/>
      <c r="J328" s="23"/>
      <c r="K328" s="23"/>
      <c r="N328" s="23"/>
    </row>
    <row r="329" spans="2:14" ht="13" x14ac:dyDescent="0.15">
      <c r="B329" s="22"/>
      <c r="C329" s="23"/>
      <c r="G329" s="24"/>
      <c r="H329" s="25"/>
      <c r="I329" s="23"/>
      <c r="J329" s="23"/>
      <c r="K329" s="23"/>
      <c r="N329" s="23"/>
    </row>
    <row r="330" spans="2:14" ht="13" x14ac:dyDescent="0.15">
      <c r="B330" s="22"/>
      <c r="C330" s="23"/>
      <c r="G330" s="24"/>
      <c r="H330" s="25"/>
      <c r="I330" s="23"/>
      <c r="J330" s="23"/>
      <c r="K330" s="23"/>
      <c r="N330" s="23"/>
    </row>
    <row r="331" spans="2:14" ht="13" x14ac:dyDescent="0.15">
      <c r="B331" s="22"/>
      <c r="C331" s="23"/>
      <c r="G331" s="24"/>
      <c r="H331" s="25"/>
      <c r="I331" s="23"/>
      <c r="J331" s="23"/>
      <c r="K331" s="23"/>
      <c r="N331" s="23"/>
    </row>
    <row r="332" spans="2:14" ht="13" x14ac:dyDescent="0.15">
      <c r="B332" s="22"/>
      <c r="C332" s="23"/>
      <c r="G332" s="24"/>
      <c r="H332" s="25"/>
      <c r="I332" s="23"/>
      <c r="J332" s="23"/>
      <c r="K332" s="23"/>
      <c r="N332" s="23"/>
    </row>
    <row r="333" spans="2:14" ht="13" x14ac:dyDescent="0.15">
      <c r="B333" s="22"/>
      <c r="C333" s="23"/>
      <c r="G333" s="24"/>
      <c r="H333" s="25"/>
      <c r="I333" s="23"/>
      <c r="J333" s="23"/>
      <c r="K333" s="23"/>
      <c r="N333" s="23"/>
    </row>
    <row r="334" spans="2:14" ht="13" x14ac:dyDescent="0.15">
      <c r="B334" s="22"/>
      <c r="C334" s="23"/>
      <c r="G334" s="24"/>
      <c r="H334" s="25"/>
      <c r="I334" s="23"/>
      <c r="J334" s="23"/>
      <c r="K334" s="23"/>
      <c r="N334" s="23"/>
    </row>
    <row r="335" spans="2:14" ht="13" x14ac:dyDescent="0.15">
      <c r="B335" s="22"/>
      <c r="C335" s="23"/>
      <c r="G335" s="24"/>
      <c r="H335" s="25"/>
      <c r="I335" s="23"/>
      <c r="J335" s="23"/>
      <c r="K335" s="23"/>
      <c r="N335" s="23"/>
    </row>
    <row r="336" spans="2:14" ht="13" x14ac:dyDescent="0.15">
      <c r="B336" s="22"/>
      <c r="C336" s="23"/>
      <c r="G336" s="24"/>
      <c r="H336" s="25"/>
      <c r="I336" s="23"/>
      <c r="J336" s="23"/>
      <c r="K336" s="23"/>
      <c r="N336" s="23"/>
    </row>
    <row r="337" spans="2:14" ht="13" x14ac:dyDescent="0.15">
      <c r="B337" s="22"/>
      <c r="C337" s="23"/>
      <c r="G337" s="24"/>
      <c r="H337" s="25"/>
      <c r="I337" s="23"/>
      <c r="J337" s="23"/>
      <c r="K337" s="23"/>
      <c r="N337" s="23"/>
    </row>
    <row r="338" spans="2:14" ht="13" x14ac:dyDescent="0.15">
      <c r="B338" s="22"/>
      <c r="C338" s="23"/>
      <c r="G338" s="24"/>
      <c r="H338" s="25"/>
      <c r="I338" s="23"/>
      <c r="J338" s="23"/>
      <c r="K338" s="23"/>
      <c r="N338" s="23"/>
    </row>
    <row r="339" spans="2:14" ht="13" x14ac:dyDescent="0.15">
      <c r="B339" s="22"/>
      <c r="C339" s="23"/>
      <c r="G339" s="24"/>
      <c r="H339" s="25"/>
      <c r="I339" s="23"/>
      <c r="J339" s="23"/>
      <c r="K339" s="23"/>
      <c r="N339" s="23"/>
    </row>
    <row r="340" spans="2:14" ht="13" x14ac:dyDescent="0.15">
      <c r="B340" s="22"/>
      <c r="C340" s="23"/>
      <c r="G340" s="24"/>
      <c r="H340" s="25"/>
      <c r="I340" s="23"/>
      <c r="J340" s="23"/>
      <c r="K340" s="23"/>
      <c r="N340" s="23"/>
    </row>
    <row r="341" spans="2:14" ht="13" x14ac:dyDescent="0.15">
      <c r="B341" s="22"/>
      <c r="C341" s="23"/>
      <c r="G341" s="24"/>
      <c r="H341" s="25"/>
      <c r="I341" s="23"/>
      <c r="J341" s="23"/>
      <c r="K341" s="23"/>
      <c r="N341" s="23"/>
    </row>
    <row r="342" spans="2:14" ht="13" x14ac:dyDescent="0.15">
      <c r="B342" s="22"/>
      <c r="C342" s="23"/>
      <c r="G342" s="24"/>
      <c r="H342" s="25"/>
      <c r="I342" s="23"/>
      <c r="J342" s="23"/>
      <c r="K342" s="23"/>
      <c r="N342" s="23"/>
    </row>
    <row r="343" spans="2:14" ht="13" x14ac:dyDescent="0.15">
      <c r="B343" s="22"/>
      <c r="C343" s="23"/>
      <c r="G343" s="24"/>
      <c r="H343" s="25"/>
      <c r="I343" s="23"/>
      <c r="J343" s="23"/>
      <c r="K343" s="23"/>
      <c r="N343" s="23"/>
    </row>
    <row r="344" spans="2:14" ht="13" x14ac:dyDescent="0.15">
      <c r="B344" s="22"/>
      <c r="C344" s="23"/>
      <c r="G344" s="24"/>
      <c r="H344" s="25"/>
      <c r="I344" s="23"/>
      <c r="J344" s="23"/>
      <c r="K344" s="23"/>
      <c r="N344" s="23"/>
    </row>
    <row r="345" spans="2:14" ht="13" x14ac:dyDescent="0.15">
      <c r="B345" s="22"/>
      <c r="C345" s="23"/>
      <c r="G345" s="24"/>
      <c r="H345" s="25"/>
      <c r="I345" s="23"/>
      <c r="J345" s="23"/>
      <c r="K345" s="23"/>
      <c r="N345" s="23"/>
    </row>
    <row r="346" spans="2:14" ht="13" x14ac:dyDescent="0.15">
      <c r="B346" s="22"/>
      <c r="C346" s="23"/>
      <c r="G346" s="24"/>
      <c r="H346" s="25"/>
      <c r="I346" s="23"/>
      <c r="J346" s="23"/>
      <c r="K346" s="23"/>
      <c r="N346" s="23"/>
    </row>
    <row r="347" spans="2:14" ht="13" x14ac:dyDescent="0.15">
      <c r="B347" s="22"/>
      <c r="C347" s="23"/>
      <c r="G347" s="24"/>
      <c r="H347" s="25"/>
      <c r="I347" s="23"/>
      <c r="J347" s="23"/>
      <c r="K347" s="23"/>
      <c r="N347" s="23"/>
    </row>
    <row r="348" spans="2:14" ht="13" x14ac:dyDescent="0.15">
      <c r="B348" s="22"/>
      <c r="C348" s="23"/>
      <c r="G348" s="24"/>
      <c r="H348" s="25"/>
      <c r="I348" s="23"/>
      <c r="J348" s="23"/>
      <c r="K348" s="23"/>
      <c r="N348" s="23"/>
    </row>
    <row r="349" spans="2:14" ht="13" x14ac:dyDescent="0.15">
      <c r="B349" s="22"/>
      <c r="C349" s="23"/>
      <c r="G349" s="24"/>
      <c r="H349" s="25"/>
      <c r="I349" s="23"/>
      <c r="J349" s="23"/>
      <c r="K349" s="23"/>
      <c r="N349" s="23"/>
    </row>
    <row r="350" spans="2:14" ht="13" x14ac:dyDescent="0.15">
      <c r="B350" s="22"/>
      <c r="C350" s="23"/>
      <c r="G350" s="24"/>
      <c r="H350" s="25"/>
      <c r="I350" s="23"/>
      <c r="J350" s="23"/>
      <c r="K350" s="23"/>
      <c r="N350" s="23"/>
    </row>
    <row r="351" spans="2:14" ht="13" x14ac:dyDescent="0.15">
      <c r="B351" s="22"/>
      <c r="C351" s="23"/>
      <c r="G351" s="24"/>
      <c r="H351" s="25"/>
      <c r="I351" s="23"/>
      <c r="J351" s="23"/>
      <c r="K351" s="23"/>
      <c r="N351" s="23"/>
    </row>
    <row r="352" spans="2:14" ht="13" x14ac:dyDescent="0.15">
      <c r="B352" s="22"/>
      <c r="C352" s="23"/>
      <c r="G352" s="24"/>
      <c r="H352" s="25"/>
      <c r="I352" s="23"/>
      <c r="J352" s="23"/>
      <c r="K352" s="23"/>
      <c r="N352" s="23"/>
    </row>
    <row r="353" spans="2:14" ht="13" x14ac:dyDescent="0.15">
      <c r="B353" s="22"/>
      <c r="C353" s="23"/>
      <c r="G353" s="24"/>
      <c r="H353" s="25"/>
      <c r="I353" s="23"/>
      <c r="J353" s="23"/>
      <c r="K353" s="23"/>
      <c r="N353" s="23"/>
    </row>
    <row r="354" spans="2:14" ht="13" x14ac:dyDescent="0.15">
      <c r="B354" s="22"/>
      <c r="C354" s="23"/>
      <c r="G354" s="24"/>
      <c r="H354" s="25"/>
      <c r="I354" s="23"/>
      <c r="J354" s="23"/>
      <c r="K354" s="23"/>
      <c r="N354" s="23"/>
    </row>
    <row r="355" spans="2:14" ht="13" x14ac:dyDescent="0.15">
      <c r="B355" s="22"/>
      <c r="C355" s="23"/>
      <c r="G355" s="24"/>
      <c r="H355" s="25"/>
      <c r="I355" s="23"/>
      <c r="J355" s="23"/>
      <c r="K355" s="23"/>
      <c r="N355" s="23"/>
    </row>
    <row r="356" spans="2:14" ht="13" x14ac:dyDescent="0.15">
      <c r="B356" s="22"/>
      <c r="C356" s="23"/>
      <c r="G356" s="24"/>
      <c r="H356" s="25"/>
      <c r="I356" s="23"/>
      <c r="J356" s="23"/>
      <c r="K356" s="23"/>
      <c r="N356" s="23"/>
    </row>
    <row r="357" spans="2:14" ht="13" x14ac:dyDescent="0.15">
      <c r="B357" s="22"/>
      <c r="C357" s="23"/>
      <c r="G357" s="24"/>
      <c r="H357" s="25"/>
      <c r="I357" s="23"/>
      <c r="J357" s="23"/>
      <c r="K357" s="23"/>
      <c r="N357" s="23"/>
    </row>
    <row r="358" spans="2:14" ht="13" x14ac:dyDescent="0.15">
      <c r="B358" s="22"/>
      <c r="C358" s="23"/>
      <c r="G358" s="24"/>
      <c r="H358" s="25"/>
      <c r="I358" s="23"/>
      <c r="J358" s="23"/>
      <c r="K358" s="23"/>
      <c r="N358" s="23"/>
    </row>
    <row r="359" spans="2:14" ht="13" x14ac:dyDescent="0.15">
      <c r="B359" s="22"/>
      <c r="C359" s="23"/>
      <c r="G359" s="24"/>
      <c r="H359" s="25"/>
      <c r="I359" s="23"/>
      <c r="J359" s="23"/>
      <c r="K359" s="23"/>
      <c r="N359" s="23"/>
    </row>
    <row r="360" spans="2:14" ht="13" x14ac:dyDescent="0.15">
      <c r="B360" s="22"/>
      <c r="C360" s="23"/>
      <c r="G360" s="24"/>
      <c r="H360" s="25"/>
      <c r="I360" s="23"/>
      <c r="J360" s="23"/>
      <c r="K360" s="23"/>
      <c r="N360" s="23"/>
    </row>
    <row r="361" spans="2:14" ht="13" x14ac:dyDescent="0.15">
      <c r="B361" s="22"/>
      <c r="C361" s="23"/>
      <c r="G361" s="24"/>
      <c r="H361" s="25"/>
      <c r="I361" s="23"/>
      <c r="J361" s="23"/>
      <c r="K361" s="23"/>
      <c r="N361" s="23"/>
    </row>
    <row r="362" spans="2:14" ht="13" x14ac:dyDescent="0.15">
      <c r="B362" s="22"/>
      <c r="C362" s="23"/>
      <c r="G362" s="24"/>
      <c r="H362" s="25"/>
      <c r="I362" s="23"/>
      <c r="J362" s="23"/>
      <c r="K362" s="23"/>
      <c r="N362" s="23"/>
    </row>
    <row r="363" spans="2:14" ht="13" x14ac:dyDescent="0.15">
      <c r="B363" s="22"/>
      <c r="C363" s="23"/>
      <c r="G363" s="24"/>
      <c r="H363" s="25"/>
      <c r="I363" s="23"/>
      <c r="J363" s="23"/>
      <c r="K363" s="23"/>
      <c r="N363" s="23"/>
    </row>
    <row r="364" spans="2:14" ht="13" x14ac:dyDescent="0.15">
      <c r="B364" s="22"/>
      <c r="C364" s="23"/>
      <c r="G364" s="24"/>
      <c r="H364" s="25"/>
      <c r="I364" s="23"/>
      <c r="J364" s="23"/>
      <c r="K364" s="23"/>
      <c r="N364" s="23"/>
    </row>
    <row r="365" spans="2:14" ht="13" x14ac:dyDescent="0.15">
      <c r="B365" s="22"/>
      <c r="C365" s="23"/>
      <c r="G365" s="24"/>
      <c r="H365" s="25"/>
      <c r="I365" s="23"/>
      <c r="J365" s="23"/>
      <c r="K365" s="23"/>
      <c r="N365" s="23"/>
    </row>
    <row r="366" spans="2:14" ht="13" x14ac:dyDescent="0.15">
      <c r="B366" s="22"/>
      <c r="C366" s="23"/>
      <c r="G366" s="24"/>
      <c r="H366" s="25"/>
      <c r="I366" s="23"/>
      <c r="J366" s="23"/>
      <c r="K366" s="23"/>
      <c r="N366" s="23"/>
    </row>
    <row r="367" spans="2:14" ht="13" x14ac:dyDescent="0.15">
      <c r="B367" s="22"/>
      <c r="C367" s="23"/>
      <c r="G367" s="24"/>
      <c r="H367" s="25"/>
      <c r="I367" s="23"/>
      <c r="J367" s="23"/>
      <c r="K367" s="23"/>
      <c r="N367" s="23"/>
    </row>
    <row r="368" spans="2:14" ht="13" x14ac:dyDescent="0.15">
      <c r="B368" s="22"/>
      <c r="C368" s="23"/>
      <c r="G368" s="24"/>
      <c r="H368" s="25"/>
      <c r="I368" s="23"/>
      <c r="J368" s="23"/>
      <c r="K368" s="23"/>
      <c r="N368" s="23"/>
    </row>
    <row r="369" spans="2:14" ht="13" x14ac:dyDescent="0.15">
      <c r="B369" s="22"/>
      <c r="C369" s="23"/>
      <c r="G369" s="24"/>
      <c r="H369" s="25"/>
      <c r="I369" s="23"/>
      <c r="J369" s="23"/>
      <c r="K369" s="23"/>
      <c r="N369" s="23"/>
    </row>
    <row r="370" spans="2:14" ht="13" x14ac:dyDescent="0.15">
      <c r="B370" s="22"/>
      <c r="C370" s="23"/>
      <c r="G370" s="24"/>
      <c r="H370" s="25"/>
      <c r="I370" s="23"/>
      <c r="J370" s="23"/>
      <c r="K370" s="23"/>
      <c r="N370" s="23"/>
    </row>
    <row r="371" spans="2:14" ht="13" x14ac:dyDescent="0.15">
      <c r="B371" s="22"/>
      <c r="C371" s="23"/>
      <c r="G371" s="24"/>
      <c r="H371" s="25"/>
      <c r="I371" s="23"/>
      <c r="J371" s="23"/>
      <c r="K371" s="23"/>
      <c r="N371" s="23"/>
    </row>
    <row r="372" spans="2:14" ht="13" x14ac:dyDescent="0.15">
      <c r="B372" s="22"/>
      <c r="C372" s="23"/>
      <c r="G372" s="24"/>
      <c r="H372" s="25"/>
      <c r="I372" s="23"/>
      <c r="J372" s="23"/>
      <c r="K372" s="23"/>
      <c r="N372" s="23"/>
    </row>
    <row r="373" spans="2:14" ht="13" x14ac:dyDescent="0.15">
      <c r="B373" s="22"/>
      <c r="C373" s="23"/>
      <c r="G373" s="24"/>
      <c r="H373" s="25"/>
      <c r="I373" s="23"/>
      <c r="J373" s="23"/>
      <c r="K373" s="23"/>
      <c r="N373" s="23"/>
    </row>
    <row r="374" spans="2:14" ht="13" x14ac:dyDescent="0.15">
      <c r="B374" s="22"/>
      <c r="C374" s="23"/>
      <c r="G374" s="24"/>
      <c r="H374" s="25"/>
      <c r="I374" s="23"/>
      <c r="J374" s="23"/>
      <c r="K374" s="23"/>
      <c r="N374" s="23"/>
    </row>
    <row r="375" spans="2:14" ht="13" x14ac:dyDescent="0.15">
      <c r="B375" s="22"/>
      <c r="C375" s="23"/>
      <c r="G375" s="24"/>
      <c r="H375" s="25"/>
      <c r="I375" s="23"/>
      <c r="J375" s="23"/>
      <c r="K375" s="23"/>
      <c r="N375" s="23"/>
    </row>
    <row r="376" spans="2:14" ht="13" x14ac:dyDescent="0.15">
      <c r="B376" s="22"/>
      <c r="C376" s="23"/>
      <c r="G376" s="24"/>
      <c r="H376" s="25"/>
      <c r="I376" s="23"/>
      <c r="J376" s="23"/>
      <c r="K376" s="23"/>
      <c r="N376" s="23"/>
    </row>
    <row r="377" spans="2:14" ht="13" x14ac:dyDescent="0.15">
      <c r="B377" s="22"/>
      <c r="C377" s="23"/>
      <c r="G377" s="24"/>
      <c r="H377" s="25"/>
      <c r="I377" s="23"/>
      <c r="J377" s="23"/>
      <c r="K377" s="23"/>
      <c r="N377" s="23"/>
    </row>
    <row r="378" spans="2:14" ht="13" x14ac:dyDescent="0.15">
      <c r="B378" s="22"/>
      <c r="C378" s="23"/>
      <c r="G378" s="24"/>
      <c r="H378" s="25"/>
      <c r="I378" s="23"/>
      <c r="J378" s="23"/>
      <c r="K378" s="23"/>
      <c r="N378" s="23"/>
    </row>
    <row r="379" spans="2:14" ht="13" x14ac:dyDescent="0.15">
      <c r="B379" s="22"/>
      <c r="C379" s="23"/>
      <c r="G379" s="24"/>
      <c r="H379" s="25"/>
      <c r="I379" s="23"/>
      <c r="J379" s="23"/>
      <c r="K379" s="23"/>
      <c r="N379" s="23"/>
    </row>
    <row r="380" spans="2:14" ht="13" x14ac:dyDescent="0.15">
      <c r="B380" s="22"/>
      <c r="C380" s="23"/>
      <c r="G380" s="24"/>
      <c r="H380" s="25"/>
      <c r="I380" s="23"/>
      <c r="J380" s="23"/>
      <c r="K380" s="23"/>
      <c r="N380" s="23"/>
    </row>
    <row r="381" spans="2:14" ht="13" x14ac:dyDescent="0.15">
      <c r="B381" s="22"/>
      <c r="C381" s="23"/>
      <c r="G381" s="24"/>
      <c r="H381" s="25"/>
      <c r="I381" s="23"/>
      <c r="J381" s="23"/>
      <c r="K381" s="23"/>
      <c r="N381" s="23"/>
    </row>
    <row r="382" spans="2:14" ht="13" x14ac:dyDescent="0.15">
      <c r="B382" s="22"/>
      <c r="C382" s="23"/>
      <c r="G382" s="24"/>
      <c r="H382" s="25"/>
      <c r="I382" s="23"/>
      <c r="J382" s="23"/>
      <c r="K382" s="23"/>
      <c r="N382" s="23"/>
    </row>
    <row r="383" spans="2:14" ht="13" x14ac:dyDescent="0.15">
      <c r="B383" s="22"/>
      <c r="C383" s="23"/>
      <c r="G383" s="24"/>
      <c r="H383" s="25"/>
      <c r="I383" s="23"/>
      <c r="J383" s="23"/>
      <c r="K383" s="23"/>
      <c r="N383" s="23"/>
    </row>
    <row r="384" spans="2:14" ht="13" x14ac:dyDescent="0.15">
      <c r="B384" s="22"/>
      <c r="C384" s="23"/>
      <c r="G384" s="24"/>
      <c r="H384" s="25"/>
      <c r="I384" s="23"/>
      <c r="J384" s="23"/>
      <c r="K384" s="23"/>
      <c r="N384" s="23"/>
    </row>
    <row r="385" spans="2:14" ht="13" x14ac:dyDescent="0.15">
      <c r="B385" s="22"/>
      <c r="C385" s="23"/>
      <c r="G385" s="24"/>
      <c r="H385" s="25"/>
      <c r="I385" s="23"/>
      <c r="J385" s="23"/>
      <c r="K385" s="23"/>
      <c r="N385" s="23"/>
    </row>
    <row r="386" spans="2:14" ht="13" x14ac:dyDescent="0.15">
      <c r="B386" s="22"/>
      <c r="C386" s="23"/>
      <c r="G386" s="24"/>
      <c r="H386" s="25"/>
      <c r="I386" s="23"/>
      <c r="J386" s="23"/>
      <c r="K386" s="23"/>
      <c r="N386" s="23"/>
    </row>
    <row r="387" spans="2:14" ht="13" x14ac:dyDescent="0.15">
      <c r="B387" s="22"/>
      <c r="C387" s="23"/>
      <c r="G387" s="24"/>
      <c r="H387" s="25"/>
      <c r="I387" s="23"/>
      <c r="J387" s="23"/>
      <c r="K387" s="23"/>
      <c r="N387" s="23"/>
    </row>
    <row r="388" spans="2:14" ht="13" x14ac:dyDescent="0.15">
      <c r="B388" s="22"/>
      <c r="C388" s="23"/>
      <c r="G388" s="24"/>
      <c r="H388" s="25"/>
      <c r="I388" s="23"/>
      <c r="J388" s="23"/>
      <c r="K388" s="23"/>
      <c r="N388" s="23"/>
    </row>
    <row r="389" spans="2:14" ht="13" x14ac:dyDescent="0.15">
      <c r="B389" s="22"/>
      <c r="C389" s="23"/>
      <c r="G389" s="24"/>
      <c r="H389" s="25"/>
      <c r="I389" s="23"/>
      <c r="J389" s="23"/>
      <c r="K389" s="23"/>
      <c r="N389" s="23"/>
    </row>
    <row r="390" spans="2:14" ht="13" x14ac:dyDescent="0.15">
      <c r="B390" s="22"/>
      <c r="C390" s="23"/>
      <c r="G390" s="24"/>
      <c r="H390" s="25"/>
      <c r="I390" s="23"/>
      <c r="J390" s="23"/>
      <c r="K390" s="23"/>
      <c r="N390" s="23"/>
    </row>
    <row r="391" spans="2:14" ht="13" x14ac:dyDescent="0.15">
      <c r="B391" s="22"/>
      <c r="C391" s="23"/>
      <c r="G391" s="24"/>
      <c r="H391" s="25"/>
      <c r="I391" s="23"/>
      <c r="J391" s="23"/>
      <c r="K391" s="23"/>
      <c r="N391" s="23"/>
    </row>
    <row r="392" spans="2:14" ht="13" x14ac:dyDescent="0.15">
      <c r="B392" s="22"/>
      <c r="C392" s="23"/>
      <c r="G392" s="24"/>
      <c r="H392" s="25"/>
      <c r="I392" s="23"/>
      <c r="J392" s="23"/>
      <c r="K392" s="23"/>
      <c r="N392" s="23"/>
    </row>
    <row r="393" spans="2:14" ht="13" x14ac:dyDescent="0.15">
      <c r="B393" s="22"/>
      <c r="C393" s="23"/>
      <c r="G393" s="24"/>
      <c r="H393" s="25"/>
      <c r="I393" s="23"/>
      <c r="J393" s="23"/>
      <c r="K393" s="23"/>
      <c r="N393" s="23"/>
    </row>
    <row r="394" spans="2:14" ht="13" x14ac:dyDescent="0.15">
      <c r="B394" s="22"/>
      <c r="C394" s="23"/>
      <c r="G394" s="24"/>
      <c r="H394" s="25"/>
      <c r="I394" s="23"/>
      <c r="J394" s="23"/>
      <c r="K394" s="23"/>
      <c r="N394" s="23"/>
    </row>
    <row r="395" spans="2:14" ht="13" x14ac:dyDescent="0.15">
      <c r="B395" s="22"/>
      <c r="C395" s="23"/>
      <c r="G395" s="24"/>
      <c r="H395" s="25"/>
      <c r="I395" s="23"/>
      <c r="J395" s="23"/>
      <c r="K395" s="23"/>
      <c r="N395" s="23"/>
    </row>
    <row r="396" spans="2:14" ht="13" x14ac:dyDescent="0.15">
      <c r="B396" s="22"/>
      <c r="C396" s="23"/>
      <c r="G396" s="24"/>
      <c r="H396" s="25"/>
      <c r="I396" s="23"/>
      <c r="J396" s="23"/>
      <c r="K396" s="23"/>
      <c r="N396" s="23"/>
    </row>
    <row r="397" spans="2:14" ht="13" x14ac:dyDescent="0.15">
      <c r="B397" s="22"/>
      <c r="C397" s="23"/>
      <c r="G397" s="24"/>
      <c r="H397" s="25"/>
      <c r="I397" s="23"/>
      <c r="J397" s="23"/>
      <c r="K397" s="23"/>
      <c r="N397" s="23"/>
    </row>
    <row r="398" spans="2:14" ht="13" x14ac:dyDescent="0.15">
      <c r="B398" s="22"/>
      <c r="C398" s="23"/>
      <c r="G398" s="24"/>
      <c r="H398" s="25"/>
      <c r="I398" s="23"/>
      <c r="J398" s="23"/>
      <c r="K398" s="23"/>
      <c r="N398" s="23"/>
    </row>
    <row r="399" spans="2:14" ht="13" x14ac:dyDescent="0.15">
      <c r="B399" s="22"/>
      <c r="C399" s="23"/>
      <c r="G399" s="24"/>
      <c r="H399" s="25"/>
      <c r="I399" s="23"/>
      <c r="J399" s="23"/>
      <c r="K399" s="23"/>
      <c r="N399" s="23"/>
    </row>
    <row r="400" spans="2:14" ht="13" x14ac:dyDescent="0.15">
      <c r="B400" s="22"/>
      <c r="C400" s="23"/>
      <c r="G400" s="24"/>
      <c r="H400" s="25"/>
      <c r="I400" s="23"/>
      <c r="J400" s="23"/>
      <c r="K400" s="23"/>
      <c r="N400" s="23"/>
    </row>
    <row r="401" spans="2:14" ht="13" x14ac:dyDescent="0.15">
      <c r="B401" s="22"/>
      <c r="C401" s="23"/>
      <c r="G401" s="24"/>
      <c r="H401" s="25"/>
      <c r="I401" s="23"/>
      <c r="J401" s="23"/>
      <c r="K401" s="23"/>
      <c r="N401" s="23"/>
    </row>
    <row r="402" spans="2:14" ht="13" x14ac:dyDescent="0.15">
      <c r="B402" s="22"/>
      <c r="C402" s="23"/>
      <c r="G402" s="24"/>
      <c r="H402" s="25"/>
      <c r="I402" s="23"/>
      <c r="J402" s="23"/>
      <c r="K402" s="23"/>
      <c r="N402" s="23"/>
    </row>
    <row r="403" spans="2:14" ht="13" x14ac:dyDescent="0.15">
      <c r="B403" s="22"/>
      <c r="C403" s="23"/>
      <c r="G403" s="24"/>
      <c r="H403" s="25"/>
      <c r="I403" s="23"/>
      <c r="J403" s="23"/>
      <c r="K403" s="23"/>
      <c r="N403" s="23"/>
    </row>
    <row r="404" spans="2:14" ht="13" x14ac:dyDescent="0.15">
      <c r="B404" s="22"/>
      <c r="C404" s="23"/>
      <c r="G404" s="24"/>
      <c r="H404" s="25"/>
      <c r="I404" s="23"/>
      <c r="J404" s="23"/>
      <c r="K404" s="23"/>
      <c r="N404" s="23"/>
    </row>
    <row r="405" spans="2:14" ht="13" x14ac:dyDescent="0.15">
      <c r="B405" s="22"/>
      <c r="C405" s="23"/>
      <c r="G405" s="24"/>
      <c r="H405" s="25"/>
      <c r="I405" s="23"/>
      <c r="J405" s="23"/>
      <c r="K405" s="23"/>
      <c r="N405" s="23"/>
    </row>
    <row r="406" spans="2:14" ht="13" x14ac:dyDescent="0.15">
      <c r="B406" s="22"/>
      <c r="C406" s="23"/>
      <c r="G406" s="24"/>
      <c r="H406" s="25"/>
      <c r="I406" s="23"/>
      <c r="J406" s="23"/>
      <c r="K406" s="23"/>
      <c r="N406" s="23"/>
    </row>
    <row r="407" spans="2:14" ht="13" x14ac:dyDescent="0.15">
      <c r="B407" s="22"/>
      <c r="C407" s="23"/>
      <c r="G407" s="24"/>
      <c r="H407" s="25"/>
      <c r="I407" s="23"/>
      <c r="J407" s="23"/>
      <c r="K407" s="23"/>
      <c r="N407" s="23"/>
    </row>
    <row r="408" spans="2:14" ht="13" x14ac:dyDescent="0.15">
      <c r="B408" s="22"/>
      <c r="C408" s="23"/>
      <c r="G408" s="24"/>
      <c r="H408" s="25"/>
      <c r="I408" s="23"/>
      <c r="J408" s="23"/>
      <c r="K408" s="23"/>
      <c r="N408" s="23"/>
    </row>
    <row r="409" spans="2:14" ht="13" x14ac:dyDescent="0.15">
      <c r="B409" s="22"/>
      <c r="C409" s="23"/>
      <c r="G409" s="24"/>
      <c r="H409" s="25"/>
      <c r="I409" s="23"/>
      <c r="J409" s="23"/>
      <c r="K409" s="23"/>
      <c r="N409" s="23"/>
    </row>
    <row r="410" spans="2:14" ht="13" x14ac:dyDescent="0.15">
      <c r="B410" s="22"/>
      <c r="C410" s="23"/>
      <c r="G410" s="24"/>
      <c r="H410" s="25"/>
      <c r="I410" s="23"/>
      <c r="J410" s="23"/>
      <c r="K410" s="23"/>
      <c r="N410" s="23"/>
    </row>
    <row r="411" spans="2:14" ht="13" x14ac:dyDescent="0.15">
      <c r="B411" s="22"/>
      <c r="C411" s="23"/>
      <c r="G411" s="24"/>
      <c r="H411" s="25"/>
      <c r="I411" s="23"/>
      <c r="J411" s="23"/>
      <c r="K411" s="23"/>
      <c r="N411" s="23"/>
    </row>
    <row r="412" spans="2:14" ht="13" x14ac:dyDescent="0.15">
      <c r="B412" s="22"/>
      <c r="C412" s="23"/>
      <c r="G412" s="24"/>
      <c r="H412" s="25"/>
      <c r="I412" s="23"/>
      <c r="J412" s="23"/>
      <c r="K412" s="23"/>
      <c r="N412" s="23"/>
    </row>
    <row r="413" spans="2:14" ht="13" x14ac:dyDescent="0.15">
      <c r="B413" s="22"/>
      <c r="C413" s="23"/>
      <c r="G413" s="24"/>
      <c r="H413" s="25"/>
      <c r="I413" s="23"/>
      <c r="J413" s="23"/>
      <c r="K413" s="23"/>
      <c r="N413" s="23"/>
    </row>
    <row r="414" spans="2:14" ht="13" x14ac:dyDescent="0.15">
      <c r="B414" s="22"/>
      <c r="C414" s="23"/>
      <c r="G414" s="24"/>
      <c r="H414" s="25"/>
      <c r="I414" s="23"/>
      <c r="J414" s="23"/>
      <c r="K414" s="23"/>
      <c r="N414" s="23"/>
    </row>
    <row r="415" spans="2:14" ht="13" x14ac:dyDescent="0.15">
      <c r="B415" s="22"/>
      <c r="C415" s="23"/>
      <c r="G415" s="24"/>
      <c r="H415" s="25"/>
      <c r="I415" s="23"/>
      <c r="J415" s="23"/>
      <c r="K415" s="23"/>
      <c r="N415" s="23"/>
    </row>
    <row r="416" spans="2:14" ht="13" x14ac:dyDescent="0.15">
      <c r="B416" s="22"/>
      <c r="C416" s="23"/>
      <c r="G416" s="24"/>
      <c r="H416" s="25"/>
      <c r="I416" s="23"/>
      <c r="J416" s="23"/>
      <c r="K416" s="23"/>
      <c r="N416" s="23"/>
    </row>
    <row r="417" spans="2:14" ht="13" x14ac:dyDescent="0.15">
      <c r="B417" s="22"/>
      <c r="C417" s="23"/>
      <c r="G417" s="24"/>
      <c r="H417" s="25"/>
      <c r="I417" s="23"/>
      <c r="J417" s="23"/>
      <c r="K417" s="23"/>
      <c r="N417" s="23"/>
    </row>
    <row r="418" spans="2:14" ht="13" x14ac:dyDescent="0.15">
      <c r="B418" s="22"/>
      <c r="C418" s="23"/>
      <c r="G418" s="24"/>
      <c r="H418" s="25"/>
      <c r="I418" s="23"/>
      <c r="J418" s="23"/>
      <c r="K418" s="23"/>
      <c r="N418" s="23"/>
    </row>
    <row r="419" spans="2:14" ht="13" x14ac:dyDescent="0.15">
      <c r="B419" s="22"/>
      <c r="C419" s="23"/>
      <c r="G419" s="24"/>
      <c r="H419" s="25"/>
      <c r="I419" s="23"/>
      <c r="J419" s="23"/>
      <c r="K419" s="23"/>
      <c r="N419" s="23"/>
    </row>
    <row r="420" spans="2:14" ht="13" x14ac:dyDescent="0.15">
      <c r="B420" s="22"/>
      <c r="C420" s="23"/>
      <c r="G420" s="24"/>
      <c r="H420" s="25"/>
      <c r="I420" s="23"/>
      <c r="J420" s="23"/>
      <c r="K420" s="23"/>
      <c r="N420" s="23"/>
    </row>
    <row r="421" spans="2:14" ht="13" x14ac:dyDescent="0.15">
      <c r="B421" s="22"/>
      <c r="C421" s="23"/>
      <c r="G421" s="24"/>
      <c r="H421" s="25"/>
      <c r="I421" s="23"/>
      <c r="J421" s="23"/>
      <c r="K421" s="23"/>
      <c r="N421" s="23"/>
    </row>
    <row r="422" spans="2:14" ht="13" x14ac:dyDescent="0.15">
      <c r="B422" s="22"/>
      <c r="C422" s="23"/>
      <c r="G422" s="24"/>
      <c r="H422" s="25"/>
      <c r="I422" s="23"/>
      <c r="J422" s="23"/>
      <c r="K422" s="23"/>
      <c r="N422" s="23"/>
    </row>
    <row r="423" spans="2:14" ht="13" x14ac:dyDescent="0.15">
      <c r="B423" s="22"/>
      <c r="C423" s="23"/>
      <c r="G423" s="24"/>
      <c r="H423" s="25"/>
      <c r="I423" s="23"/>
      <c r="J423" s="23"/>
      <c r="K423" s="23"/>
      <c r="N423" s="23"/>
    </row>
    <row r="424" spans="2:14" ht="13" x14ac:dyDescent="0.15">
      <c r="B424" s="22"/>
      <c r="C424" s="23"/>
      <c r="G424" s="24"/>
      <c r="H424" s="25"/>
      <c r="I424" s="23"/>
      <c r="J424" s="23"/>
      <c r="K424" s="23"/>
      <c r="N424" s="23"/>
    </row>
    <row r="425" spans="2:14" ht="13" x14ac:dyDescent="0.15">
      <c r="B425" s="22"/>
      <c r="C425" s="23"/>
      <c r="G425" s="24"/>
      <c r="H425" s="25"/>
      <c r="I425" s="23"/>
      <c r="J425" s="23"/>
      <c r="K425" s="23"/>
      <c r="N425" s="23"/>
    </row>
    <row r="426" spans="2:14" ht="13" x14ac:dyDescent="0.15">
      <c r="B426" s="22"/>
      <c r="C426" s="23"/>
      <c r="G426" s="24"/>
      <c r="H426" s="25"/>
      <c r="I426" s="23"/>
      <c r="J426" s="23"/>
      <c r="K426" s="23"/>
      <c r="N426" s="23"/>
    </row>
    <row r="427" spans="2:14" ht="13" x14ac:dyDescent="0.15">
      <c r="B427" s="22"/>
      <c r="C427" s="23"/>
      <c r="G427" s="24"/>
      <c r="H427" s="25"/>
      <c r="I427" s="23"/>
      <c r="J427" s="23"/>
      <c r="K427" s="23"/>
      <c r="N427" s="23"/>
    </row>
    <row r="428" spans="2:14" ht="13" x14ac:dyDescent="0.15">
      <c r="B428" s="22"/>
      <c r="C428" s="23"/>
      <c r="G428" s="24"/>
      <c r="H428" s="25"/>
      <c r="I428" s="23"/>
      <c r="J428" s="23"/>
      <c r="K428" s="23"/>
      <c r="N428" s="23"/>
    </row>
    <row r="429" spans="2:14" ht="13" x14ac:dyDescent="0.15">
      <c r="B429" s="22"/>
      <c r="C429" s="23"/>
      <c r="G429" s="24"/>
      <c r="H429" s="25"/>
      <c r="I429" s="23"/>
      <c r="J429" s="23"/>
      <c r="K429" s="23"/>
      <c r="N429" s="23"/>
    </row>
    <row r="430" spans="2:14" ht="13" x14ac:dyDescent="0.15">
      <c r="B430" s="22"/>
      <c r="C430" s="23"/>
      <c r="G430" s="24"/>
      <c r="H430" s="25"/>
      <c r="I430" s="23"/>
      <c r="J430" s="23"/>
      <c r="K430" s="23"/>
      <c r="N430" s="23"/>
    </row>
    <row r="431" spans="2:14" ht="13" x14ac:dyDescent="0.15">
      <c r="B431" s="22"/>
      <c r="C431" s="23"/>
      <c r="G431" s="24"/>
      <c r="H431" s="25"/>
      <c r="I431" s="23"/>
      <c r="J431" s="23"/>
      <c r="K431" s="23"/>
      <c r="N431" s="23"/>
    </row>
    <row r="432" spans="2:14" ht="13" x14ac:dyDescent="0.15">
      <c r="B432" s="22"/>
      <c r="C432" s="23"/>
      <c r="G432" s="24"/>
      <c r="H432" s="25"/>
      <c r="I432" s="23"/>
      <c r="J432" s="23"/>
      <c r="K432" s="23"/>
      <c r="N432" s="23"/>
    </row>
    <row r="433" spans="2:14" ht="13" x14ac:dyDescent="0.15">
      <c r="B433" s="22"/>
      <c r="C433" s="23"/>
      <c r="G433" s="24"/>
      <c r="H433" s="25"/>
      <c r="I433" s="23"/>
      <c r="J433" s="23"/>
      <c r="K433" s="23"/>
      <c r="N433" s="23"/>
    </row>
    <row r="434" spans="2:14" ht="13" x14ac:dyDescent="0.15">
      <c r="B434" s="22"/>
      <c r="C434" s="23"/>
      <c r="G434" s="24"/>
      <c r="H434" s="25"/>
      <c r="I434" s="23"/>
      <c r="J434" s="23"/>
      <c r="K434" s="23"/>
      <c r="N434" s="23"/>
    </row>
    <row r="435" spans="2:14" ht="13" x14ac:dyDescent="0.15">
      <c r="B435" s="22"/>
      <c r="C435" s="23"/>
      <c r="G435" s="24"/>
      <c r="H435" s="25"/>
      <c r="I435" s="23"/>
      <c r="J435" s="23"/>
      <c r="K435" s="23"/>
      <c r="N435" s="23"/>
    </row>
    <row r="436" spans="2:14" ht="13" x14ac:dyDescent="0.15">
      <c r="B436" s="22"/>
      <c r="C436" s="23"/>
      <c r="G436" s="24"/>
      <c r="H436" s="25"/>
      <c r="I436" s="23"/>
      <c r="J436" s="23"/>
      <c r="K436" s="23"/>
      <c r="N436" s="23"/>
    </row>
    <row r="437" spans="2:14" ht="13" x14ac:dyDescent="0.15">
      <c r="B437" s="22"/>
      <c r="C437" s="23"/>
      <c r="G437" s="24"/>
      <c r="H437" s="25"/>
      <c r="I437" s="23"/>
      <c r="J437" s="23"/>
      <c r="K437" s="23"/>
      <c r="N437" s="23"/>
    </row>
    <row r="438" spans="2:14" ht="13" x14ac:dyDescent="0.15">
      <c r="B438" s="22"/>
      <c r="C438" s="23"/>
      <c r="G438" s="24"/>
      <c r="H438" s="25"/>
      <c r="I438" s="23"/>
      <c r="J438" s="23"/>
      <c r="K438" s="23"/>
      <c r="N438" s="23"/>
    </row>
    <row r="439" spans="2:14" ht="13" x14ac:dyDescent="0.15">
      <c r="B439" s="22"/>
      <c r="C439" s="23"/>
      <c r="G439" s="24"/>
      <c r="H439" s="25"/>
      <c r="I439" s="23"/>
      <c r="J439" s="23"/>
      <c r="K439" s="23"/>
      <c r="N439" s="23"/>
    </row>
    <row r="440" spans="2:14" ht="13" x14ac:dyDescent="0.15">
      <c r="B440" s="22"/>
      <c r="C440" s="23"/>
      <c r="G440" s="24"/>
      <c r="H440" s="25"/>
      <c r="I440" s="23"/>
      <c r="J440" s="23"/>
      <c r="K440" s="23"/>
      <c r="N440" s="23"/>
    </row>
    <row r="441" spans="2:14" ht="13" x14ac:dyDescent="0.15">
      <c r="B441" s="22"/>
      <c r="C441" s="23"/>
      <c r="G441" s="24"/>
      <c r="H441" s="25"/>
      <c r="I441" s="23"/>
      <c r="J441" s="23"/>
      <c r="K441" s="23"/>
      <c r="N441" s="23"/>
    </row>
    <row r="442" spans="2:14" ht="13" x14ac:dyDescent="0.15">
      <c r="B442" s="22"/>
      <c r="C442" s="23"/>
      <c r="G442" s="24"/>
      <c r="H442" s="25"/>
      <c r="I442" s="23"/>
      <c r="J442" s="23"/>
      <c r="K442" s="23"/>
      <c r="N442" s="23"/>
    </row>
    <row r="443" spans="2:14" ht="13" x14ac:dyDescent="0.15">
      <c r="B443" s="22"/>
      <c r="C443" s="23"/>
      <c r="G443" s="24"/>
      <c r="H443" s="25"/>
      <c r="I443" s="23"/>
      <c r="J443" s="23"/>
      <c r="K443" s="23"/>
      <c r="N443" s="23"/>
    </row>
    <row r="444" spans="2:14" ht="13" x14ac:dyDescent="0.15">
      <c r="B444" s="22"/>
      <c r="C444" s="23"/>
      <c r="G444" s="24"/>
      <c r="H444" s="25"/>
      <c r="I444" s="23"/>
      <c r="J444" s="23"/>
      <c r="K444" s="23"/>
      <c r="N444" s="23"/>
    </row>
    <row r="445" spans="2:14" ht="13" x14ac:dyDescent="0.15">
      <c r="B445" s="22"/>
      <c r="C445" s="23"/>
      <c r="G445" s="24"/>
      <c r="H445" s="25"/>
      <c r="I445" s="23"/>
      <c r="J445" s="23"/>
      <c r="K445" s="23"/>
      <c r="N445" s="23"/>
    </row>
    <row r="446" spans="2:14" ht="13" x14ac:dyDescent="0.15">
      <c r="B446" s="22"/>
      <c r="C446" s="23"/>
      <c r="G446" s="24"/>
      <c r="H446" s="25"/>
      <c r="I446" s="23"/>
      <c r="J446" s="23"/>
      <c r="K446" s="23"/>
      <c r="N446" s="23"/>
    </row>
    <row r="447" spans="2:14" ht="13" x14ac:dyDescent="0.15">
      <c r="B447" s="22"/>
      <c r="C447" s="23"/>
      <c r="G447" s="24"/>
      <c r="H447" s="25"/>
      <c r="I447" s="23"/>
      <c r="J447" s="23"/>
      <c r="K447" s="23"/>
      <c r="N447" s="23"/>
    </row>
    <row r="448" spans="2:14" ht="13" x14ac:dyDescent="0.15">
      <c r="B448" s="22"/>
      <c r="C448" s="23"/>
      <c r="G448" s="24"/>
      <c r="H448" s="25"/>
      <c r="I448" s="23"/>
      <c r="J448" s="23"/>
      <c r="K448" s="23"/>
      <c r="N448" s="23"/>
    </row>
    <row r="449" spans="2:14" ht="13" x14ac:dyDescent="0.15">
      <c r="B449" s="22"/>
      <c r="C449" s="23"/>
      <c r="G449" s="24"/>
      <c r="H449" s="25"/>
      <c r="I449" s="23"/>
      <c r="J449" s="23"/>
      <c r="K449" s="23"/>
      <c r="N449" s="23"/>
    </row>
    <row r="450" spans="2:14" ht="13" x14ac:dyDescent="0.15">
      <c r="B450" s="22"/>
      <c r="C450" s="23"/>
      <c r="G450" s="24"/>
      <c r="H450" s="25"/>
      <c r="I450" s="23"/>
      <c r="J450" s="23"/>
      <c r="K450" s="23"/>
      <c r="N450" s="23"/>
    </row>
    <row r="451" spans="2:14" ht="13" x14ac:dyDescent="0.15">
      <c r="B451" s="22"/>
      <c r="C451" s="23"/>
      <c r="G451" s="24"/>
      <c r="H451" s="25"/>
      <c r="I451" s="23"/>
      <c r="J451" s="23"/>
      <c r="K451" s="23"/>
      <c r="N451" s="23"/>
    </row>
    <row r="452" spans="2:14" ht="13" x14ac:dyDescent="0.15">
      <c r="B452" s="22"/>
      <c r="C452" s="23"/>
      <c r="G452" s="24"/>
      <c r="H452" s="25"/>
      <c r="I452" s="23"/>
      <c r="J452" s="23"/>
      <c r="K452" s="23"/>
      <c r="N452" s="23"/>
    </row>
    <row r="453" spans="2:14" ht="13" x14ac:dyDescent="0.15">
      <c r="B453" s="22"/>
      <c r="C453" s="23"/>
      <c r="G453" s="24"/>
      <c r="H453" s="25"/>
      <c r="I453" s="23"/>
      <c r="J453" s="23"/>
      <c r="K453" s="23"/>
      <c r="N453" s="23"/>
    </row>
    <row r="454" spans="2:14" ht="13" x14ac:dyDescent="0.15">
      <c r="B454" s="22"/>
      <c r="C454" s="23"/>
      <c r="G454" s="24"/>
      <c r="H454" s="25"/>
      <c r="I454" s="23"/>
      <c r="J454" s="23"/>
      <c r="K454" s="23"/>
      <c r="N454" s="23"/>
    </row>
    <row r="455" spans="2:14" ht="13" x14ac:dyDescent="0.15">
      <c r="B455" s="22"/>
      <c r="C455" s="23"/>
      <c r="G455" s="24"/>
      <c r="H455" s="25"/>
      <c r="I455" s="23"/>
      <c r="J455" s="23"/>
      <c r="K455" s="23"/>
      <c r="N455" s="23"/>
    </row>
    <row r="456" spans="2:14" ht="13" x14ac:dyDescent="0.15">
      <c r="B456" s="22"/>
      <c r="C456" s="23"/>
      <c r="G456" s="24"/>
      <c r="H456" s="25"/>
      <c r="I456" s="23"/>
      <c r="J456" s="23"/>
      <c r="K456" s="23"/>
      <c r="N456" s="23"/>
    </row>
    <row r="457" spans="2:14" ht="13" x14ac:dyDescent="0.15">
      <c r="B457" s="22"/>
      <c r="C457" s="23"/>
      <c r="G457" s="24"/>
      <c r="H457" s="25"/>
      <c r="I457" s="23"/>
      <c r="J457" s="23"/>
      <c r="K457" s="23"/>
      <c r="N457" s="23"/>
    </row>
    <row r="458" spans="2:14" ht="13" x14ac:dyDescent="0.15">
      <c r="B458" s="22"/>
      <c r="C458" s="23"/>
      <c r="G458" s="24"/>
      <c r="H458" s="25"/>
      <c r="I458" s="23"/>
      <c r="J458" s="23"/>
      <c r="K458" s="23"/>
      <c r="N458" s="23"/>
    </row>
    <row r="459" spans="2:14" ht="13" x14ac:dyDescent="0.15">
      <c r="B459" s="22"/>
      <c r="C459" s="23"/>
      <c r="G459" s="24"/>
      <c r="H459" s="25"/>
      <c r="I459" s="23"/>
      <c r="J459" s="23"/>
      <c r="K459" s="23"/>
      <c r="N459" s="23"/>
    </row>
    <row r="460" spans="2:14" ht="13" x14ac:dyDescent="0.15">
      <c r="B460" s="22"/>
      <c r="C460" s="23"/>
      <c r="G460" s="24"/>
      <c r="H460" s="25"/>
      <c r="I460" s="23"/>
      <c r="J460" s="23"/>
      <c r="K460" s="23"/>
      <c r="N460" s="23"/>
    </row>
    <row r="461" spans="2:14" ht="13" x14ac:dyDescent="0.15">
      <c r="B461" s="22"/>
      <c r="C461" s="23"/>
      <c r="G461" s="24"/>
      <c r="H461" s="25"/>
      <c r="I461" s="23"/>
      <c r="J461" s="23"/>
      <c r="K461" s="23"/>
      <c r="N461" s="23"/>
    </row>
    <row r="462" spans="2:14" ht="13" x14ac:dyDescent="0.15">
      <c r="B462" s="22"/>
      <c r="C462" s="23"/>
      <c r="G462" s="24"/>
      <c r="H462" s="25"/>
      <c r="I462" s="23"/>
      <c r="J462" s="23"/>
      <c r="K462" s="23"/>
      <c r="N462" s="23"/>
    </row>
    <row r="463" spans="2:14" ht="13" x14ac:dyDescent="0.15">
      <c r="B463" s="22"/>
      <c r="C463" s="23"/>
      <c r="G463" s="24"/>
      <c r="H463" s="25"/>
      <c r="I463" s="23"/>
      <c r="J463" s="23"/>
      <c r="K463" s="23"/>
      <c r="N463" s="23"/>
    </row>
    <row r="464" spans="2:14" ht="13" x14ac:dyDescent="0.15">
      <c r="B464" s="22"/>
      <c r="C464" s="23"/>
      <c r="G464" s="24"/>
      <c r="H464" s="25"/>
      <c r="I464" s="23"/>
      <c r="J464" s="23"/>
      <c r="K464" s="23"/>
      <c r="N464" s="23"/>
    </row>
    <row r="465" spans="2:14" ht="13" x14ac:dyDescent="0.15">
      <c r="B465" s="22"/>
      <c r="C465" s="23"/>
      <c r="G465" s="24"/>
      <c r="H465" s="25"/>
      <c r="I465" s="23"/>
      <c r="J465" s="23"/>
      <c r="K465" s="23"/>
      <c r="N465" s="23"/>
    </row>
    <row r="466" spans="2:14" ht="13" x14ac:dyDescent="0.15">
      <c r="B466" s="22"/>
      <c r="C466" s="23"/>
      <c r="G466" s="24"/>
      <c r="H466" s="25"/>
      <c r="I466" s="23"/>
      <c r="J466" s="23"/>
      <c r="K466" s="23"/>
      <c r="N466" s="23"/>
    </row>
    <row r="467" spans="2:14" ht="13" x14ac:dyDescent="0.15">
      <c r="B467" s="22"/>
      <c r="C467" s="23"/>
      <c r="G467" s="24"/>
      <c r="H467" s="25"/>
      <c r="I467" s="23"/>
      <c r="J467" s="23"/>
      <c r="K467" s="23"/>
      <c r="N467" s="23"/>
    </row>
    <row r="468" spans="2:14" ht="13" x14ac:dyDescent="0.15">
      <c r="B468" s="22"/>
      <c r="C468" s="23"/>
      <c r="G468" s="24"/>
      <c r="H468" s="25"/>
      <c r="I468" s="23"/>
      <c r="J468" s="23"/>
      <c r="K468" s="23"/>
      <c r="N468" s="23"/>
    </row>
    <row r="469" spans="2:14" ht="13" x14ac:dyDescent="0.15">
      <c r="B469" s="22"/>
      <c r="C469" s="23"/>
      <c r="G469" s="24"/>
      <c r="H469" s="25"/>
      <c r="I469" s="23"/>
      <c r="J469" s="23"/>
      <c r="K469" s="23"/>
      <c r="N469" s="23"/>
    </row>
    <row r="470" spans="2:14" ht="13" x14ac:dyDescent="0.15">
      <c r="B470" s="22"/>
      <c r="C470" s="23"/>
      <c r="G470" s="24"/>
      <c r="H470" s="25"/>
      <c r="I470" s="23"/>
      <c r="J470" s="23"/>
      <c r="K470" s="23"/>
      <c r="N470" s="23"/>
    </row>
    <row r="471" spans="2:14" ht="13" x14ac:dyDescent="0.15">
      <c r="B471" s="22"/>
      <c r="C471" s="23"/>
      <c r="G471" s="24"/>
      <c r="H471" s="25"/>
      <c r="I471" s="23"/>
      <c r="J471" s="23"/>
      <c r="K471" s="23"/>
      <c r="N471" s="23"/>
    </row>
    <row r="472" spans="2:14" ht="13" x14ac:dyDescent="0.15">
      <c r="B472" s="22"/>
      <c r="C472" s="23"/>
      <c r="G472" s="24"/>
      <c r="H472" s="25"/>
      <c r="I472" s="23"/>
      <c r="J472" s="23"/>
      <c r="K472" s="23"/>
      <c r="N472" s="23"/>
    </row>
    <row r="473" spans="2:14" ht="13" x14ac:dyDescent="0.15">
      <c r="B473" s="22"/>
      <c r="C473" s="23"/>
      <c r="G473" s="24"/>
      <c r="H473" s="25"/>
      <c r="I473" s="23"/>
      <c r="J473" s="23"/>
      <c r="K473" s="23"/>
      <c r="N473" s="23"/>
    </row>
    <row r="474" spans="2:14" ht="13" x14ac:dyDescent="0.15">
      <c r="B474" s="22"/>
      <c r="C474" s="23"/>
      <c r="G474" s="24"/>
      <c r="H474" s="25"/>
      <c r="I474" s="23"/>
      <c r="J474" s="23"/>
      <c r="K474" s="23"/>
      <c r="N474" s="23"/>
    </row>
    <row r="475" spans="2:14" ht="13" x14ac:dyDescent="0.15">
      <c r="B475" s="22"/>
      <c r="C475" s="23"/>
      <c r="G475" s="24"/>
      <c r="H475" s="25"/>
      <c r="I475" s="23"/>
      <c r="J475" s="23"/>
      <c r="K475" s="23"/>
      <c r="N475" s="23"/>
    </row>
    <row r="476" spans="2:14" ht="13" x14ac:dyDescent="0.15">
      <c r="B476" s="22"/>
      <c r="C476" s="23"/>
      <c r="G476" s="24"/>
      <c r="H476" s="25"/>
      <c r="I476" s="23"/>
      <c r="J476" s="23"/>
      <c r="K476" s="23"/>
      <c r="N476" s="23"/>
    </row>
    <row r="477" spans="2:14" ht="13" x14ac:dyDescent="0.15">
      <c r="B477" s="22"/>
      <c r="C477" s="23"/>
      <c r="G477" s="24"/>
      <c r="H477" s="25"/>
      <c r="I477" s="23"/>
      <c r="J477" s="23"/>
      <c r="K477" s="23"/>
      <c r="N477" s="23"/>
    </row>
    <row r="478" spans="2:14" ht="13" x14ac:dyDescent="0.15">
      <c r="B478" s="22"/>
      <c r="C478" s="23"/>
      <c r="G478" s="24"/>
      <c r="H478" s="25"/>
      <c r="I478" s="23"/>
      <c r="J478" s="23"/>
      <c r="K478" s="23"/>
      <c r="N478" s="23"/>
    </row>
    <row r="479" spans="2:14" ht="13" x14ac:dyDescent="0.15">
      <c r="B479" s="22"/>
      <c r="C479" s="23"/>
      <c r="G479" s="24"/>
      <c r="H479" s="25"/>
      <c r="I479" s="23"/>
      <c r="J479" s="23"/>
      <c r="K479" s="23"/>
      <c r="N479" s="23"/>
    </row>
    <row r="480" spans="2:14" ht="13" x14ac:dyDescent="0.15">
      <c r="B480" s="22"/>
      <c r="C480" s="23"/>
      <c r="G480" s="24"/>
      <c r="H480" s="25"/>
      <c r="I480" s="23"/>
      <c r="J480" s="23"/>
      <c r="K480" s="23"/>
      <c r="N480" s="23"/>
    </row>
    <row r="481" spans="2:14" ht="13" x14ac:dyDescent="0.15">
      <c r="B481" s="22"/>
      <c r="C481" s="23"/>
      <c r="G481" s="24"/>
      <c r="H481" s="25"/>
      <c r="I481" s="23"/>
      <c r="J481" s="23"/>
      <c r="K481" s="23"/>
      <c r="N481" s="23"/>
    </row>
    <row r="482" spans="2:14" ht="13" x14ac:dyDescent="0.15">
      <c r="B482" s="22"/>
      <c r="C482" s="23"/>
      <c r="G482" s="24"/>
      <c r="H482" s="25"/>
      <c r="I482" s="23"/>
      <c r="J482" s="23"/>
      <c r="K482" s="23"/>
      <c r="N482" s="23"/>
    </row>
    <row r="483" spans="2:14" ht="13" x14ac:dyDescent="0.15">
      <c r="B483" s="22"/>
      <c r="C483" s="23"/>
      <c r="G483" s="24"/>
      <c r="H483" s="25"/>
      <c r="I483" s="23"/>
      <c r="J483" s="23"/>
      <c r="K483" s="23"/>
      <c r="N483" s="23"/>
    </row>
    <row r="484" spans="2:14" ht="13" x14ac:dyDescent="0.15">
      <c r="B484" s="22"/>
      <c r="C484" s="23"/>
      <c r="G484" s="24"/>
      <c r="H484" s="25"/>
      <c r="I484" s="23"/>
      <c r="J484" s="23"/>
      <c r="K484" s="23"/>
      <c r="N484" s="23"/>
    </row>
    <row r="485" spans="2:14" ht="13" x14ac:dyDescent="0.15">
      <c r="B485" s="22"/>
      <c r="C485" s="23"/>
      <c r="G485" s="24"/>
      <c r="H485" s="25"/>
      <c r="I485" s="23"/>
      <c r="J485" s="23"/>
      <c r="K485" s="23"/>
      <c r="N485" s="23"/>
    </row>
    <row r="486" spans="2:14" ht="13" x14ac:dyDescent="0.15">
      <c r="B486" s="22"/>
      <c r="C486" s="23"/>
      <c r="G486" s="24"/>
      <c r="H486" s="25"/>
      <c r="I486" s="23"/>
      <c r="J486" s="23"/>
      <c r="K486" s="23"/>
      <c r="N486" s="23"/>
    </row>
    <row r="487" spans="2:14" ht="13" x14ac:dyDescent="0.15">
      <c r="B487" s="22"/>
      <c r="C487" s="23"/>
      <c r="G487" s="24"/>
      <c r="H487" s="25"/>
      <c r="I487" s="23"/>
      <c r="J487" s="23"/>
      <c r="K487" s="23"/>
      <c r="N487" s="23"/>
    </row>
    <row r="488" spans="2:14" ht="13" x14ac:dyDescent="0.15">
      <c r="B488" s="22"/>
      <c r="C488" s="23"/>
      <c r="G488" s="24"/>
      <c r="H488" s="25"/>
      <c r="I488" s="23"/>
      <c r="J488" s="23"/>
      <c r="K488" s="23"/>
      <c r="N488" s="23"/>
    </row>
    <row r="489" spans="2:14" ht="13" x14ac:dyDescent="0.15">
      <c r="B489" s="22"/>
      <c r="C489" s="23"/>
      <c r="G489" s="24"/>
      <c r="H489" s="25"/>
      <c r="I489" s="23"/>
      <c r="J489" s="23"/>
      <c r="K489" s="23"/>
      <c r="N489" s="23"/>
    </row>
    <row r="490" spans="2:14" ht="13" x14ac:dyDescent="0.15">
      <c r="B490" s="22"/>
      <c r="C490" s="23"/>
      <c r="G490" s="24"/>
      <c r="H490" s="25"/>
      <c r="I490" s="23"/>
      <c r="J490" s="23"/>
      <c r="K490" s="23"/>
      <c r="N490" s="23"/>
    </row>
    <row r="491" spans="2:14" ht="13" x14ac:dyDescent="0.15">
      <c r="B491" s="22"/>
      <c r="C491" s="23"/>
      <c r="G491" s="24"/>
      <c r="H491" s="25"/>
      <c r="I491" s="23"/>
      <c r="J491" s="23"/>
      <c r="K491" s="23"/>
      <c r="N491" s="23"/>
    </row>
    <row r="492" spans="2:14" ht="13" x14ac:dyDescent="0.15">
      <c r="B492" s="22"/>
      <c r="C492" s="23"/>
      <c r="G492" s="24"/>
      <c r="H492" s="25"/>
      <c r="I492" s="23"/>
      <c r="J492" s="23"/>
      <c r="K492" s="23"/>
      <c r="N492" s="23"/>
    </row>
    <row r="493" spans="2:14" ht="13" x14ac:dyDescent="0.15">
      <c r="B493" s="22"/>
      <c r="C493" s="23"/>
      <c r="G493" s="24"/>
      <c r="H493" s="25"/>
      <c r="I493" s="23"/>
      <c r="J493" s="23"/>
      <c r="K493" s="23"/>
      <c r="N493" s="23"/>
    </row>
    <row r="494" spans="2:14" ht="13" x14ac:dyDescent="0.15">
      <c r="B494" s="22"/>
      <c r="C494" s="23"/>
      <c r="G494" s="24"/>
      <c r="H494" s="25"/>
      <c r="I494" s="23"/>
      <c r="J494" s="23"/>
      <c r="K494" s="23"/>
      <c r="N494" s="23"/>
    </row>
    <row r="495" spans="2:14" ht="13" x14ac:dyDescent="0.15">
      <c r="B495" s="22"/>
      <c r="C495" s="23"/>
      <c r="G495" s="24"/>
      <c r="H495" s="25"/>
      <c r="I495" s="23"/>
      <c r="J495" s="23"/>
      <c r="K495" s="23"/>
      <c r="N495" s="23"/>
    </row>
    <row r="496" spans="2:14" ht="13" x14ac:dyDescent="0.15">
      <c r="B496" s="22"/>
      <c r="C496" s="23"/>
      <c r="G496" s="24"/>
      <c r="H496" s="25"/>
      <c r="I496" s="23"/>
      <c r="J496" s="23"/>
      <c r="K496" s="23"/>
      <c r="N496" s="23"/>
    </row>
    <row r="497" spans="2:14" ht="13" x14ac:dyDescent="0.15">
      <c r="B497" s="22"/>
      <c r="C497" s="23"/>
      <c r="G497" s="24"/>
      <c r="H497" s="25"/>
      <c r="I497" s="23"/>
      <c r="J497" s="23"/>
      <c r="K497" s="23"/>
      <c r="N497" s="23"/>
    </row>
    <row r="498" spans="2:14" ht="13" x14ac:dyDescent="0.15">
      <c r="B498" s="22"/>
      <c r="C498" s="23"/>
      <c r="G498" s="24"/>
      <c r="H498" s="25"/>
      <c r="I498" s="23"/>
      <c r="J498" s="23"/>
      <c r="K498" s="23"/>
      <c r="N498" s="23"/>
    </row>
    <row r="499" spans="2:14" ht="13" x14ac:dyDescent="0.15">
      <c r="B499" s="22"/>
      <c r="C499" s="23"/>
      <c r="G499" s="24"/>
      <c r="H499" s="25"/>
      <c r="I499" s="23"/>
      <c r="J499" s="23"/>
      <c r="K499" s="23"/>
      <c r="N499" s="23"/>
    </row>
    <row r="500" spans="2:14" ht="13" x14ac:dyDescent="0.15">
      <c r="B500" s="22"/>
      <c r="C500" s="23"/>
      <c r="G500" s="24"/>
      <c r="H500" s="25"/>
      <c r="I500" s="23"/>
      <c r="J500" s="23"/>
      <c r="K500" s="23"/>
      <c r="N500" s="23"/>
    </row>
    <row r="501" spans="2:14" ht="13" x14ac:dyDescent="0.15">
      <c r="B501" s="22"/>
      <c r="C501" s="23"/>
      <c r="G501" s="24"/>
      <c r="H501" s="25"/>
      <c r="I501" s="23"/>
      <c r="J501" s="23"/>
      <c r="K501" s="23"/>
      <c r="N501" s="23"/>
    </row>
    <row r="502" spans="2:14" ht="13" x14ac:dyDescent="0.15">
      <c r="B502" s="22"/>
      <c r="C502" s="23"/>
      <c r="G502" s="24"/>
      <c r="H502" s="25"/>
      <c r="I502" s="23"/>
      <c r="J502" s="23"/>
      <c r="K502" s="23"/>
      <c r="N502" s="23"/>
    </row>
    <row r="503" spans="2:14" ht="13" x14ac:dyDescent="0.15">
      <c r="B503" s="22"/>
      <c r="C503" s="23"/>
      <c r="G503" s="24"/>
      <c r="H503" s="25"/>
      <c r="I503" s="23"/>
      <c r="J503" s="23"/>
      <c r="K503" s="23"/>
      <c r="N503" s="23"/>
    </row>
    <row r="504" spans="2:14" ht="13" x14ac:dyDescent="0.15">
      <c r="B504" s="22"/>
      <c r="C504" s="23"/>
      <c r="G504" s="24"/>
      <c r="H504" s="25"/>
      <c r="I504" s="23"/>
      <c r="J504" s="23"/>
      <c r="K504" s="23"/>
      <c r="N504" s="23"/>
    </row>
    <row r="505" spans="2:14" ht="13" x14ac:dyDescent="0.15">
      <c r="B505" s="22"/>
      <c r="C505" s="23"/>
      <c r="G505" s="24"/>
      <c r="H505" s="25"/>
      <c r="I505" s="23"/>
      <c r="J505" s="23"/>
      <c r="K505" s="23"/>
      <c r="N505" s="23"/>
    </row>
    <row r="506" spans="2:14" ht="13" x14ac:dyDescent="0.15">
      <c r="B506" s="22"/>
      <c r="C506" s="23"/>
      <c r="G506" s="24"/>
      <c r="H506" s="25"/>
      <c r="I506" s="23"/>
      <c r="J506" s="23"/>
      <c r="K506" s="23"/>
      <c r="N506" s="23"/>
    </row>
    <row r="507" spans="2:14" ht="13" x14ac:dyDescent="0.15">
      <c r="B507" s="22"/>
      <c r="C507" s="23"/>
      <c r="G507" s="24"/>
      <c r="H507" s="25"/>
      <c r="I507" s="23"/>
      <c r="J507" s="23"/>
      <c r="K507" s="23"/>
      <c r="N507" s="23"/>
    </row>
    <row r="508" spans="2:14" ht="13" x14ac:dyDescent="0.15">
      <c r="B508" s="22"/>
      <c r="C508" s="23"/>
      <c r="G508" s="24"/>
      <c r="H508" s="25"/>
      <c r="I508" s="23"/>
      <c r="J508" s="23"/>
      <c r="K508" s="23"/>
      <c r="N508" s="23"/>
    </row>
    <row r="509" spans="2:14" ht="13" x14ac:dyDescent="0.15">
      <c r="B509" s="22"/>
      <c r="C509" s="23"/>
      <c r="G509" s="24"/>
      <c r="H509" s="25"/>
      <c r="I509" s="23"/>
      <c r="J509" s="23"/>
      <c r="K509" s="23"/>
      <c r="N509" s="23"/>
    </row>
    <row r="510" spans="2:14" ht="13" x14ac:dyDescent="0.15">
      <c r="B510" s="22"/>
      <c r="C510" s="23"/>
      <c r="G510" s="24"/>
      <c r="H510" s="25"/>
      <c r="I510" s="23"/>
      <c r="J510" s="23"/>
      <c r="K510" s="23"/>
      <c r="N510" s="23"/>
    </row>
    <row r="511" spans="2:14" ht="13" x14ac:dyDescent="0.15">
      <c r="B511" s="22"/>
      <c r="C511" s="23"/>
      <c r="G511" s="24"/>
      <c r="H511" s="25"/>
      <c r="I511" s="23"/>
      <c r="J511" s="23"/>
      <c r="K511" s="23"/>
      <c r="N511" s="23"/>
    </row>
    <row r="512" spans="2:14" ht="13" x14ac:dyDescent="0.15">
      <c r="B512" s="22"/>
      <c r="C512" s="23"/>
      <c r="G512" s="24"/>
      <c r="H512" s="25"/>
      <c r="I512" s="23"/>
      <c r="J512" s="23"/>
      <c r="K512" s="23"/>
      <c r="N512" s="23"/>
    </row>
    <row r="513" spans="2:14" ht="13" x14ac:dyDescent="0.15">
      <c r="B513" s="22"/>
      <c r="C513" s="23"/>
      <c r="G513" s="24"/>
      <c r="H513" s="25"/>
      <c r="I513" s="23"/>
      <c r="J513" s="23"/>
      <c r="K513" s="23"/>
      <c r="N513" s="23"/>
    </row>
    <row r="514" spans="2:14" ht="13" x14ac:dyDescent="0.15">
      <c r="B514" s="22"/>
      <c r="C514" s="23"/>
      <c r="G514" s="24"/>
      <c r="H514" s="25"/>
      <c r="I514" s="23"/>
      <c r="J514" s="23"/>
      <c r="K514" s="23"/>
      <c r="N514" s="23"/>
    </row>
    <row r="515" spans="2:14" ht="13" x14ac:dyDescent="0.15">
      <c r="B515" s="22"/>
      <c r="C515" s="23"/>
      <c r="G515" s="24"/>
      <c r="H515" s="25"/>
      <c r="I515" s="23"/>
      <c r="J515" s="23"/>
      <c r="K515" s="23"/>
      <c r="N515" s="23"/>
    </row>
    <row r="516" spans="2:14" ht="13" x14ac:dyDescent="0.15">
      <c r="B516" s="22"/>
      <c r="C516" s="23"/>
      <c r="G516" s="24"/>
      <c r="H516" s="25"/>
      <c r="I516" s="23"/>
      <c r="J516" s="23"/>
      <c r="K516" s="23"/>
      <c r="N516" s="23"/>
    </row>
    <row r="517" spans="2:14" ht="13" x14ac:dyDescent="0.15">
      <c r="B517" s="22"/>
      <c r="C517" s="23"/>
      <c r="G517" s="24"/>
      <c r="H517" s="25"/>
      <c r="I517" s="23"/>
      <c r="J517" s="23"/>
      <c r="K517" s="23"/>
      <c r="N517" s="23"/>
    </row>
    <row r="518" spans="2:14" ht="13" x14ac:dyDescent="0.15">
      <c r="B518" s="22"/>
      <c r="C518" s="23"/>
      <c r="G518" s="24"/>
      <c r="H518" s="25"/>
      <c r="I518" s="23"/>
      <c r="J518" s="23"/>
      <c r="K518" s="23"/>
      <c r="N518" s="23"/>
    </row>
    <row r="519" spans="2:14" ht="13" x14ac:dyDescent="0.15">
      <c r="B519" s="22"/>
      <c r="C519" s="23"/>
      <c r="G519" s="24"/>
      <c r="H519" s="25"/>
      <c r="I519" s="23"/>
      <c r="J519" s="23"/>
      <c r="K519" s="23"/>
      <c r="N519" s="23"/>
    </row>
    <row r="520" spans="2:14" ht="13" x14ac:dyDescent="0.15">
      <c r="B520" s="22"/>
      <c r="C520" s="23"/>
      <c r="G520" s="24"/>
      <c r="H520" s="25"/>
      <c r="I520" s="23"/>
      <c r="J520" s="23"/>
      <c r="K520" s="23"/>
      <c r="N520" s="23"/>
    </row>
    <row r="521" spans="2:14" ht="13" x14ac:dyDescent="0.15">
      <c r="B521" s="22"/>
      <c r="C521" s="23"/>
      <c r="G521" s="24"/>
      <c r="H521" s="25"/>
      <c r="I521" s="23"/>
      <c r="J521" s="23"/>
      <c r="K521" s="23"/>
      <c r="N521" s="23"/>
    </row>
    <row r="522" spans="2:14" ht="13" x14ac:dyDescent="0.15">
      <c r="B522" s="22"/>
      <c r="C522" s="23"/>
      <c r="G522" s="24"/>
      <c r="H522" s="25"/>
      <c r="I522" s="23"/>
      <c r="J522" s="23"/>
      <c r="K522" s="23"/>
      <c r="N522" s="23"/>
    </row>
    <row r="523" spans="2:14" ht="13" x14ac:dyDescent="0.15">
      <c r="B523" s="22"/>
      <c r="C523" s="23"/>
      <c r="G523" s="24"/>
      <c r="H523" s="25"/>
      <c r="I523" s="23"/>
      <c r="J523" s="23"/>
      <c r="K523" s="23"/>
      <c r="N523" s="23"/>
    </row>
    <row r="524" spans="2:14" ht="13" x14ac:dyDescent="0.15">
      <c r="B524" s="22"/>
      <c r="C524" s="23"/>
      <c r="G524" s="24"/>
      <c r="H524" s="25"/>
      <c r="I524" s="23"/>
      <c r="J524" s="23"/>
      <c r="K524" s="23"/>
      <c r="N524" s="23"/>
    </row>
    <row r="525" spans="2:14" ht="13" x14ac:dyDescent="0.15">
      <c r="B525" s="22"/>
      <c r="C525" s="23"/>
      <c r="G525" s="24"/>
      <c r="H525" s="25"/>
      <c r="I525" s="23"/>
      <c r="J525" s="23"/>
      <c r="K525" s="23"/>
      <c r="N525" s="23"/>
    </row>
    <row r="526" spans="2:14" ht="13" x14ac:dyDescent="0.15">
      <c r="B526" s="22"/>
      <c r="C526" s="23"/>
      <c r="G526" s="24"/>
      <c r="H526" s="25"/>
      <c r="I526" s="23"/>
      <c r="J526" s="23"/>
      <c r="K526" s="23"/>
      <c r="N526" s="23"/>
    </row>
    <row r="527" spans="2:14" ht="13" x14ac:dyDescent="0.15">
      <c r="B527" s="22"/>
      <c r="C527" s="23"/>
      <c r="G527" s="24"/>
      <c r="H527" s="25"/>
      <c r="I527" s="23"/>
      <c r="J527" s="23"/>
      <c r="K527" s="23"/>
      <c r="N527" s="23"/>
    </row>
    <row r="528" spans="2:14" ht="13" x14ac:dyDescent="0.15">
      <c r="B528" s="22"/>
      <c r="C528" s="23"/>
      <c r="G528" s="24"/>
      <c r="H528" s="25"/>
      <c r="I528" s="23"/>
      <c r="J528" s="23"/>
      <c r="K528" s="23"/>
      <c r="N528" s="23"/>
    </row>
    <row r="529" spans="2:14" ht="13" x14ac:dyDescent="0.15">
      <c r="B529" s="22"/>
      <c r="C529" s="23"/>
      <c r="G529" s="24"/>
      <c r="H529" s="25"/>
      <c r="I529" s="23"/>
      <c r="J529" s="23"/>
      <c r="K529" s="23"/>
      <c r="N529" s="23"/>
    </row>
    <row r="530" spans="2:14" ht="13" x14ac:dyDescent="0.15">
      <c r="B530" s="22"/>
      <c r="C530" s="23"/>
      <c r="G530" s="24"/>
      <c r="H530" s="25"/>
      <c r="I530" s="23"/>
      <c r="J530" s="23"/>
      <c r="K530" s="23"/>
      <c r="N530" s="23"/>
    </row>
    <row r="531" spans="2:14" ht="13" x14ac:dyDescent="0.15">
      <c r="B531" s="22"/>
      <c r="C531" s="23"/>
      <c r="G531" s="24"/>
      <c r="H531" s="25"/>
      <c r="I531" s="23"/>
      <c r="J531" s="23"/>
      <c r="K531" s="23"/>
      <c r="N531" s="23"/>
    </row>
    <row r="532" spans="2:14" ht="13" x14ac:dyDescent="0.15">
      <c r="B532" s="22"/>
      <c r="C532" s="23"/>
      <c r="G532" s="24"/>
      <c r="H532" s="25"/>
      <c r="I532" s="23"/>
      <c r="J532" s="23"/>
      <c r="K532" s="23"/>
      <c r="N532" s="23"/>
    </row>
    <row r="533" spans="2:14" ht="13" x14ac:dyDescent="0.15">
      <c r="B533" s="22"/>
      <c r="C533" s="23"/>
      <c r="G533" s="24"/>
      <c r="H533" s="25"/>
      <c r="I533" s="23"/>
      <c r="J533" s="23"/>
      <c r="K533" s="23"/>
      <c r="N533" s="23"/>
    </row>
    <row r="534" spans="2:14" ht="13" x14ac:dyDescent="0.15">
      <c r="B534" s="22"/>
      <c r="C534" s="23"/>
      <c r="G534" s="24"/>
      <c r="H534" s="25"/>
      <c r="I534" s="23"/>
      <c r="J534" s="23"/>
      <c r="K534" s="23"/>
      <c r="N534" s="23"/>
    </row>
    <row r="535" spans="2:14" ht="13" x14ac:dyDescent="0.15">
      <c r="B535" s="22"/>
      <c r="C535" s="23"/>
      <c r="G535" s="24"/>
      <c r="H535" s="25"/>
      <c r="I535" s="23"/>
      <c r="J535" s="23"/>
      <c r="K535" s="23"/>
      <c r="N535" s="23"/>
    </row>
    <row r="536" spans="2:14" ht="13" x14ac:dyDescent="0.15">
      <c r="B536" s="22"/>
      <c r="C536" s="23"/>
      <c r="G536" s="24"/>
      <c r="H536" s="25"/>
      <c r="I536" s="23"/>
      <c r="J536" s="23"/>
      <c r="K536" s="23"/>
      <c r="N536" s="23"/>
    </row>
    <row r="537" spans="2:14" ht="13" x14ac:dyDescent="0.15">
      <c r="B537" s="22"/>
      <c r="C537" s="23"/>
      <c r="G537" s="24"/>
      <c r="H537" s="25"/>
      <c r="I537" s="23"/>
      <c r="J537" s="23"/>
      <c r="K537" s="23"/>
      <c r="N537" s="23"/>
    </row>
    <row r="538" spans="2:14" ht="13" x14ac:dyDescent="0.15">
      <c r="B538" s="22"/>
      <c r="C538" s="23"/>
      <c r="G538" s="24"/>
      <c r="H538" s="25"/>
      <c r="I538" s="23"/>
      <c r="J538" s="23"/>
      <c r="K538" s="23"/>
      <c r="N538" s="23"/>
    </row>
    <row r="539" spans="2:14" ht="13" x14ac:dyDescent="0.15">
      <c r="B539" s="22"/>
      <c r="C539" s="23"/>
      <c r="G539" s="24"/>
      <c r="H539" s="25"/>
      <c r="I539" s="23"/>
      <c r="J539" s="23"/>
      <c r="K539" s="23"/>
      <c r="N539" s="23"/>
    </row>
    <row r="540" spans="2:14" ht="13" x14ac:dyDescent="0.15">
      <c r="B540" s="22"/>
      <c r="C540" s="23"/>
      <c r="G540" s="24"/>
      <c r="H540" s="25"/>
      <c r="I540" s="23"/>
      <c r="J540" s="23"/>
      <c r="K540" s="23"/>
      <c r="N540" s="23"/>
    </row>
    <row r="541" spans="2:14" ht="13" x14ac:dyDescent="0.15">
      <c r="B541" s="22"/>
      <c r="C541" s="23"/>
      <c r="G541" s="24"/>
      <c r="H541" s="25"/>
      <c r="I541" s="23"/>
      <c r="J541" s="23"/>
      <c r="K541" s="23"/>
      <c r="N541" s="23"/>
    </row>
    <row r="542" spans="2:14" ht="13" x14ac:dyDescent="0.15">
      <c r="B542" s="22"/>
      <c r="C542" s="23"/>
      <c r="G542" s="24"/>
      <c r="H542" s="25"/>
      <c r="I542" s="23"/>
      <c r="J542" s="23"/>
      <c r="K542" s="23"/>
      <c r="N542" s="23"/>
    </row>
    <row r="543" spans="2:14" ht="13" x14ac:dyDescent="0.15">
      <c r="B543" s="22"/>
      <c r="C543" s="23"/>
      <c r="G543" s="24"/>
      <c r="H543" s="25"/>
      <c r="I543" s="23"/>
      <c r="J543" s="23"/>
      <c r="K543" s="23"/>
      <c r="N543" s="23"/>
    </row>
    <row r="544" spans="2:14" ht="13" x14ac:dyDescent="0.15">
      <c r="B544" s="22"/>
      <c r="C544" s="23"/>
      <c r="G544" s="24"/>
      <c r="H544" s="25"/>
      <c r="I544" s="23"/>
      <c r="J544" s="23"/>
      <c r="K544" s="23"/>
      <c r="N544" s="23"/>
    </row>
    <row r="545" spans="2:14" ht="13" x14ac:dyDescent="0.15">
      <c r="B545" s="22"/>
      <c r="C545" s="23"/>
      <c r="G545" s="24"/>
      <c r="H545" s="25"/>
      <c r="I545" s="23"/>
      <c r="J545" s="23"/>
      <c r="K545" s="23"/>
      <c r="N545" s="23"/>
    </row>
    <row r="546" spans="2:14" ht="13" x14ac:dyDescent="0.15">
      <c r="B546" s="22"/>
      <c r="C546" s="23"/>
      <c r="G546" s="24"/>
      <c r="H546" s="25"/>
      <c r="I546" s="23"/>
      <c r="J546" s="23"/>
      <c r="K546" s="23"/>
      <c r="N546" s="23"/>
    </row>
    <row r="547" spans="2:14" ht="13" x14ac:dyDescent="0.15">
      <c r="B547" s="22"/>
      <c r="C547" s="23"/>
      <c r="G547" s="24"/>
      <c r="H547" s="25"/>
      <c r="I547" s="23"/>
      <c r="J547" s="23"/>
      <c r="K547" s="23"/>
      <c r="N547" s="23"/>
    </row>
    <row r="548" spans="2:14" ht="13" x14ac:dyDescent="0.15">
      <c r="B548" s="22"/>
      <c r="C548" s="23"/>
      <c r="G548" s="24"/>
      <c r="H548" s="25"/>
      <c r="I548" s="23"/>
      <c r="J548" s="23"/>
      <c r="K548" s="23"/>
      <c r="N548" s="23"/>
    </row>
    <row r="549" spans="2:14" ht="13" x14ac:dyDescent="0.15">
      <c r="B549" s="22"/>
      <c r="C549" s="23"/>
      <c r="G549" s="24"/>
      <c r="H549" s="25"/>
      <c r="I549" s="23"/>
      <c r="J549" s="23"/>
      <c r="K549" s="23"/>
      <c r="N549" s="23"/>
    </row>
    <row r="550" spans="2:14" ht="13" x14ac:dyDescent="0.15">
      <c r="B550" s="22"/>
      <c r="C550" s="23"/>
      <c r="G550" s="24"/>
      <c r="H550" s="25"/>
      <c r="I550" s="23"/>
      <c r="J550" s="23"/>
      <c r="K550" s="23"/>
      <c r="N550" s="23"/>
    </row>
    <row r="551" spans="2:14" ht="13" x14ac:dyDescent="0.15">
      <c r="B551" s="22"/>
      <c r="C551" s="23"/>
      <c r="G551" s="24"/>
      <c r="H551" s="25"/>
      <c r="I551" s="23"/>
      <c r="J551" s="23"/>
      <c r="K551" s="23"/>
      <c r="N551" s="23"/>
    </row>
    <row r="552" spans="2:14" ht="13" x14ac:dyDescent="0.15">
      <c r="B552" s="22"/>
      <c r="C552" s="23"/>
      <c r="G552" s="24"/>
      <c r="H552" s="25"/>
      <c r="I552" s="23"/>
      <c r="J552" s="23"/>
      <c r="K552" s="23"/>
      <c r="N552" s="23"/>
    </row>
    <row r="553" spans="2:14" ht="13" x14ac:dyDescent="0.15">
      <c r="B553" s="22"/>
      <c r="C553" s="23"/>
      <c r="G553" s="24"/>
      <c r="H553" s="25"/>
      <c r="I553" s="23"/>
      <c r="J553" s="23"/>
      <c r="K553" s="23"/>
      <c r="N553" s="23"/>
    </row>
    <row r="554" spans="2:14" ht="13" x14ac:dyDescent="0.15">
      <c r="B554" s="22"/>
      <c r="C554" s="23"/>
      <c r="G554" s="24"/>
      <c r="H554" s="25"/>
      <c r="I554" s="23"/>
      <c r="J554" s="23"/>
      <c r="K554" s="23"/>
      <c r="N554" s="23"/>
    </row>
    <row r="555" spans="2:14" ht="13" x14ac:dyDescent="0.15">
      <c r="B555" s="22"/>
      <c r="C555" s="23"/>
      <c r="G555" s="24"/>
      <c r="H555" s="25"/>
      <c r="I555" s="23"/>
      <c r="J555" s="23"/>
      <c r="K555" s="23"/>
      <c r="N555" s="23"/>
    </row>
    <row r="556" spans="2:14" ht="13" x14ac:dyDescent="0.15">
      <c r="B556" s="22"/>
      <c r="C556" s="23"/>
      <c r="G556" s="24"/>
      <c r="H556" s="25"/>
      <c r="I556" s="23"/>
      <c r="J556" s="23"/>
      <c r="K556" s="23"/>
      <c r="N556" s="23"/>
    </row>
    <row r="557" spans="2:14" ht="13" x14ac:dyDescent="0.15">
      <c r="B557" s="22"/>
      <c r="C557" s="23"/>
      <c r="G557" s="24"/>
      <c r="H557" s="25"/>
      <c r="I557" s="23"/>
      <c r="J557" s="23"/>
      <c r="K557" s="23"/>
      <c r="N557" s="23"/>
    </row>
    <row r="558" spans="2:14" ht="13" x14ac:dyDescent="0.15">
      <c r="B558" s="22"/>
      <c r="C558" s="23"/>
      <c r="G558" s="24"/>
      <c r="H558" s="25"/>
      <c r="I558" s="23"/>
      <c r="J558" s="23"/>
      <c r="K558" s="23"/>
      <c r="N558" s="23"/>
    </row>
    <row r="559" spans="2:14" ht="13" x14ac:dyDescent="0.15">
      <c r="B559" s="22"/>
      <c r="C559" s="23"/>
      <c r="G559" s="24"/>
      <c r="H559" s="25"/>
      <c r="I559" s="23"/>
      <c r="J559" s="23"/>
      <c r="K559" s="23"/>
      <c r="N559" s="23"/>
    </row>
    <row r="560" spans="2:14" ht="13" x14ac:dyDescent="0.15">
      <c r="B560" s="22"/>
      <c r="C560" s="23"/>
      <c r="G560" s="24"/>
      <c r="H560" s="25"/>
      <c r="I560" s="23"/>
      <c r="J560" s="23"/>
      <c r="K560" s="23"/>
      <c r="N560" s="23"/>
    </row>
    <row r="561" spans="2:14" ht="13" x14ac:dyDescent="0.15">
      <c r="B561" s="22"/>
      <c r="C561" s="23"/>
      <c r="G561" s="24"/>
      <c r="H561" s="25"/>
      <c r="I561" s="23"/>
      <c r="J561" s="23"/>
      <c r="K561" s="23"/>
      <c r="N561" s="23"/>
    </row>
    <row r="562" spans="2:14" ht="13" x14ac:dyDescent="0.15">
      <c r="B562" s="22"/>
      <c r="C562" s="23"/>
      <c r="G562" s="24"/>
      <c r="H562" s="25"/>
      <c r="I562" s="23"/>
      <c r="J562" s="23"/>
      <c r="K562" s="23"/>
      <c r="N562" s="23"/>
    </row>
    <row r="563" spans="2:14" ht="13" x14ac:dyDescent="0.15">
      <c r="B563" s="22"/>
      <c r="C563" s="23"/>
      <c r="G563" s="24"/>
      <c r="H563" s="25"/>
      <c r="I563" s="23"/>
      <c r="J563" s="23"/>
      <c r="K563" s="23"/>
      <c r="N563" s="23"/>
    </row>
    <row r="564" spans="2:14" ht="13" x14ac:dyDescent="0.15">
      <c r="B564" s="22"/>
      <c r="C564" s="23"/>
      <c r="G564" s="24"/>
      <c r="H564" s="25"/>
      <c r="I564" s="23"/>
      <c r="J564" s="23"/>
      <c r="K564" s="23"/>
      <c r="N564" s="23"/>
    </row>
    <row r="565" spans="2:14" ht="13" x14ac:dyDescent="0.15">
      <c r="B565" s="22"/>
      <c r="C565" s="23"/>
      <c r="G565" s="24"/>
      <c r="H565" s="25"/>
      <c r="I565" s="23"/>
      <c r="J565" s="23"/>
      <c r="K565" s="23"/>
      <c r="N565" s="23"/>
    </row>
    <row r="566" spans="2:14" ht="13" x14ac:dyDescent="0.15">
      <c r="B566" s="22"/>
      <c r="C566" s="23"/>
      <c r="G566" s="24"/>
      <c r="H566" s="25"/>
      <c r="I566" s="23"/>
      <c r="J566" s="23"/>
      <c r="K566" s="23"/>
      <c r="N566" s="23"/>
    </row>
    <row r="567" spans="2:14" ht="13" x14ac:dyDescent="0.15">
      <c r="B567" s="22"/>
      <c r="C567" s="23"/>
      <c r="G567" s="24"/>
      <c r="H567" s="25"/>
      <c r="I567" s="23"/>
      <c r="J567" s="23"/>
      <c r="K567" s="23"/>
      <c r="N567" s="23"/>
    </row>
    <row r="568" spans="2:14" ht="13" x14ac:dyDescent="0.15">
      <c r="B568" s="22"/>
      <c r="C568" s="23"/>
      <c r="G568" s="24"/>
      <c r="H568" s="25"/>
      <c r="I568" s="23"/>
      <c r="J568" s="23"/>
      <c r="K568" s="23"/>
      <c r="N568" s="23"/>
    </row>
    <row r="569" spans="2:14" ht="13" x14ac:dyDescent="0.15">
      <c r="B569" s="22"/>
      <c r="C569" s="23"/>
      <c r="G569" s="24"/>
      <c r="H569" s="25"/>
      <c r="I569" s="23"/>
      <c r="J569" s="23"/>
      <c r="K569" s="23"/>
      <c r="N569" s="23"/>
    </row>
    <row r="570" spans="2:14" ht="13" x14ac:dyDescent="0.15">
      <c r="B570" s="22"/>
      <c r="C570" s="23"/>
      <c r="G570" s="24"/>
      <c r="H570" s="25"/>
      <c r="I570" s="23"/>
      <c r="J570" s="23"/>
      <c r="K570" s="23"/>
      <c r="N570" s="23"/>
    </row>
    <row r="571" spans="2:14" ht="13" x14ac:dyDescent="0.15">
      <c r="B571" s="22"/>
      <c r="C571" s="23"/>
      <c r="G571" s="24"/>
      <c r="H571" s="25"/>
      <c r="I571" s="23"/>
      <c r="J571" s="23"/>
      <c r="K571" s="23"/>
      <c r="N571" s="23"/>
    </row>
    <row r="572" spans="2:14" ht="13" x14ac:dyDescent="0.15">
      <c r="B572" s="22"/>
      <c r="C572" s="23"/>
      <c r="G572" s="24"/>
      <c r="H572" s="25"/>
      <c r="I572" s="23"/>
      <c r="J572" s="23"/>
      <c r="K572" s="23"/>
      <c r="N572" s="23"/>
    </row>
    <row r="573" spans="2:14" ht="13" x14ac:dyDescent="0.15">
      <c r="B573" s="22"/>
      <c r="C573" s="23"/>
      <c r="G573" s="24"/>
      <c r="H573" s="25"/>
      <c r="I573" s="23"/>
      <c r="J573" s="23"/>
      <c r="K573" s="23"/>
      <c r="N573" s="23"/>
    </row>
    <row r="574" spans="2:14" ht="13" x14ac:dyDescent="0.15">
      <c r="B574" s="22"/>
      <c r="C574" s="23"/>
      <c r="G574" s="24"/>
      <c r="H574" s="25"/>
      <c r="I574" s="23"/>
      <c r="J574" s="23"/>
      <c r="K574" s="23"/>
      <c r="N574" s="23"/>
    </row>
    <row r="575" spans="2:14" ht="13" x14ac:dyDescent="0.15">
      <c r="B575" s="22"/>
      <c r="C575" s="23"/>
      <c r="G575" s="24"/>
      <c r="H575" s="25"/>
      <c r="I575" s="23"/>
      <c r="J575" s="23"/>
      <c r="K575" s="23"/>
      <c r="N575" s="23"/>
    </row>
    <row r="576" spans="2:14" ht="13" x14ac:dyDescent="0.15">
      <c r="B576" s="22"/>
      <c r="C576" s="23"/>
      <c r="G576" s="24"/>
      <c r="H576" s="25"/>
      <c r="I576" s="23"/>
      <c r="J576" s="23"/>
      <c r="K576" s="23"/>
      <c r="N576" s="23"/>
    </row>
    <row r="577" spans="2:14" ht="13" x14ac:dyDescent="0.15">
      <c r="B577" s="22"/>
      <c r="C577" s="23"/>
      <c r="G577" s="24"/>
      <c r="H577" s="25"/>
      <c r="I577" s="23"/>
      <c r="J577" s="23"/>
      <c r="K577" s="23"/>
      <c r="N577" s="23"/>
    </row>
    <row r="578" spans="2:14" ht="13" x14ac:dyDescent="0.15">
      <c r="B578" s="22"/>
      <c r="C578" s="23"/>
      <c r="G578" s="24"/>
      <c r="H578" s="25"/>
      <c r="I578" s="23"/>
      <c r="J578" s="23"/>
      <c r="K578" s="23"/>
      <c r="N578" s="23"/>
    </row>
    <row r="579" spans="2:14" ht="13" x14ac:dyDescent="0.15">
      <c r="B579" s="22"/>
      <c r="C579" s="23"/>
      <c r="G579" s="24"/>
      <c r="H579" s="25"/>
      <c r="I579" s="23"/>
      <c r="J579" s="23"/>
      <c r="K579" s="23"/>
      <c r="N579" s="23"/>
    </row>
    <row r="580" spans="2:14" ht="13" x14ac:dyDescent="0.15">
      <c r="B580" s="22"/>
      <c r="C580" s="23"/>
      <c r="G580" s="24"/>
      <c r="H580" s="25"/>
      <c r="I580" s="23"/>
      <c r="J580" s="23"/>
      <c r="K580" s="23"/>
      <c r="N580" s="23"/>
    </row>
    <row r="581" spans="2:14" ht="13" x14ac:dyDescent="0.15">
      <c r="B581" s="22"/>
      <c r="C581" s="23"/>
      <c r="G581" s="24"/>
      <c r="H581" s="25"/>
      <c r="I581" s="23"/>
      <c r="J581" s="23"/>
      <c r="K581" s="23"/>
      <c r="N581" s="23"/>
    </row>
    <row r="582" spans="2:14" ht="13" x14ac:dyDescent="0.15">
      <c r="B582" s="22"/>
      <c r="C582" s="23"/>
      <c r="G582" s="24"/>
      <c r="H582" s="25"/>
      <c r="I582" s="23"/>
      <c r="J582" s="23"/>
      <c r="K582" s="23"/>
      <c r="N582" s="23"/>
    </row>
    <row r="583" spans="2:14" ht="13" x14ac:dyDescent="0.15">
      <c r="B583" s="22"/>
      <c r="C583" s="23"/>
      <c r="G583" s="24"/>
      <c r="H583" s="25"/>
      <c r="I583" s="23"/>
      <c r="J583" s="23"/>
      <c r="K583" s="23"/>
      <c r="N583" s="23"/>
    </row>
    <row r="584" spans="2:14" ht="13" x14ac:dyDescent="0.15">
      <c r="B584" s="22"/>
      <c r="C584" s="23"/>
      <c r="G584" s="24"/>
      <c r="H584" s="25"/>
      <c r="I584" s="23"/>
      <c r="J584" s="23"/>
      <c r="K584" s="23"/>
      <c r="N584" s="23"/>
    </row>
    <row r="585" spans="2:14" ht="13" x14ac:dyDescent="0.15">
      <c r="B585" s="22"/>
      <c r="C585" s="23"/>
      <c r="G585" s="24"/>
      <c r="H585" s="25"/>
      <c r="I585" s="23"/>
      <c r="J585" s="23"/>
      <c r="K585" s="23"/>
      <c r="N585" s="23"/>
    </row>
    <row r="586" spans="2:14" ht="13" x14ac:dyDescent="0.15">
      <c r="B586" s="22"/>
      <c r="C586" s="23"/>
      <c r="G586" s="24"/>
      <c r="H586" s="25"/>
      <c r="I586" s="23"/>
      <c r="J586" s="23"/>
      <c r="K586" s="23"/>
      <c r="N586" s="23"/>
    </row>
    <row r="587" spans="2:14" ht="13" x14ac:dyDescent="0.15">
      <c r="B587" s="22"/>
      <c r="C587" s="23"/>
      <c r="G587" s="24"/>
      <c r="H587" s="25"/>
      <c r="I587" s="23"/>
      <c r="J587" s="23"/>
      <c r="K587" s="23"/>
      <c r="N587" s="23"/>
    </row>
    <row r="588" spans="2:14" ht="13" x14ac:dyDescent="0.15">
      <c r="B588" s="22"/>
      <c r="C588" s="23"/>
      <c r="G588" s="24"/>
      <c r="H588" s="25"/>
      <c r="I588" s="23"/>
      <c r="J588" s="23"/>
      <c r="K588" s="23"/>
      <c r="N588" s="23"/>
    </row>
    <row r="589" spans="2:14" ht="13" x14ac:dyDescent="0.15">
      <c r="B589" s="22"/>
      <c r="C589" s="23"/>
      <c r="G589" s="24"/>
      <c r="H589" s="25"/>
      <c r="I589" s="23"/>
      <c r="J589" s="23"/>
      <c r="K589" s="23"/>
      <c r="N589" s="23"/>
    </row>
    <row r="590" spans="2:14" ht="13" x14ac:dyDescent="0.15">
      <c r="B590" s="22"/>
      <c r="C590" s="23"/>
      <c r="G590" s="24"/>
      <c r="H590" s="25"/>
      <c r="I590" s="23"/>
      <c r="J590" s="23"/>
      <c r="K590" s="23"/>
      <c r="N590" s="23"/>
    </row>
    <row r="591" spans="2:14" ht="13" x14ac:dyDescent="0.15">
      <c r="B591" s="22"/>
      <c r="C591" s="23"/>
      <c r="G591" s="24"/>
      <c r="H591" s="25"/>
      <c r="I591" s="23"/>
      <c r="J591" s="23"/>
      <c r="K591" s="23"/>
      <c r="N591" s="23"/>
    </row>
    <row r="592" spans="2:14" ht="13" x14ac:dyDescent="0.15">
      <c r="B592" s="22"/>
      <c r="C592" s="23"/>
      <c r="G592" s="24"/>
      <c r="H592" s="25"/>
      <c r="I592" s="23"/>
      <c r="J592" s="23"/>
      <c r="K592" s="23"/>
      <c r="N592" s="23"/>
    </row>
    <row r="593" spans="2:14" ht="13" x14ac:dyDescent="0.15">
      <c r="B593" s="22"/>
      <c r="C593" s="23"/>
      <c r="G593" s="24"/>
      <c r="H593" s="25"/>
      <c r="I593" s="23"/>
      <c r="J593" s="23"/>
      <c r="K593" s="23"/>
      <c r="N593" s="23"/>
    </row>
    <row r="594" spans="2:14" ht="13" x14ac:dyDescent="0.15">
      <c r="B594" s="22"/>
      <c r="C594" s="23"/>
      <c r="G594" s="24"/>
      <c r="H594" s="25"/>
      <c r="I594" s="23"/>
      <c r="J594" s="23"/>
      <c r="K594" s="23"/>
      <c r="N594" s="23"/>
    </row>
    <row r="595" spans="2:14" ht="13" x14ac:dyDescent="0.15">
      <c r="B595" s="22"/>
      <c r="C595" s="23"/>
      <c r="G595" s="24"/>
      <c r="H595" s="25"/>
      <c r="I595" s="23"/>
      <c r="J595" s="23"/>
      <c r="K595" s="23"/>
      <c r="N595" s="23"/>
    </row>
    <row r="596" spans="2:14" ht="13" x14ac:dyDescent="0.15">
      <c r="B596" s="22"/>
      <c r="C596" s="23"/>
      <c r="G596" s="24"/>
      <c r="H596" s="25"/>
      <c r="I596" s="23"/>
      <c r="J596" s="23"/>
      <c r="K596" s="23"/>
      <c r="N596" s="23"/>
    </row>
    <row r="597" spans="2:14" ht="13" x14ac:dyDescent="0.15">
      <c r="B597" s="22"/>
      <c r="C597" s="23"/>
      <c r="G597" s="24"/>
      <c r="H597" s="25"/>
      <c r="I597" s="23"/>
      <c r="J597" s="23"/>
      <c r="K597" s="23"/>
      <c r="N597" s="23"/>
    </row>
    <row r="598" spans="2:14" ht="13" x14ac:dyDescent="0.15">
      <c r="B598" s="22"/>
      <c r="C598" s="23"/>
      <c r="G598" s="24"/>
      <c r="H598" s="25"/>
      <c r="I598" s="23"/>
      <c r="J598" s="23"/>
      <c r="K598" s="23"/>
      <c r="N598" s="23"/>
    </row>
    <row r="599" spans="2:14" ht="13" x14ac:dyDescent="0.15">
      <c r="B599" s="22"/>
      <c r="C599" s="23"/>
      <c r="G599" s="24"/>
      <c r="H599" s="25"/>
      <c r="I599" s="23"/>
      <c r="J599" s="23"/>
      <c r="K599" s="23"/>
      <c r="N599" s="23"/>
    </row>
    <row r="600" spans="2:14" ht="13" x14ac:dyDescent="0.15">
      <c r="B600" s="22"/>
      <c r="C600" s="23"/>
      <c r="G600" s="24"/>
      <c r="H600" s="25"/>
      <c r="I600" s="23"/>
      <c r="J600" s="23"/>
      <c r="K600" s="23"/>
      <c r="N600" s="23"/>
    </row>
    <row r="601" spans="2:14" ht="13" x14ac:dyDescent="0.15">
      <c r="B601" s="22"/>
      <c r="C601" s="23"/>
      <c r="G601" s="24"/>
      <c r="H601" s="25"/>
      <c r="I601" s="23"/>
      <c r="J601" s="23"/>
      <c r="K601" s="23"/>
      <c r="N601" s="23"/>
    </row>
    <row r="602" spans="2:14" ht="13" x14ac:dyDescent="0.15">
      <c r="B602" s="22"/>
      <c r="C602" s="23"/>
      <c r="G602" s="24"/>
      <c r="H602" s="25"/>
      <c r="I602" s="23"/>
      <c r="J602" s="23"/>
      <c r="K602" s="23"/>
      <c r="N602" s="23"/>
    </row>
    <row r="603" spans="2:14" ht="13" x14ac:dyDescent="0.15">
      <c r="B603" s="22"/>
      <c r="C603" s="23"/>
      <c r="G603" s="24"/>
      <c r="H603" s="25"/>
      <c r="I603" s="23"/>
      <c r="J603" s="23"/>
      <c r="K603" s="23"/>
      <c r="N603" s="23"/>
    </row>
    <row r="604" spans="2:14" ht="13" x14ac:dyDescent="0.15">
      <c r="B604" s="22"/>
      <c r="C604" s="23"/>
      <c r="G604" s="24"/>
      <c r="H604" s="25"/>
      <c r="I604" s="23"/>
      <c r="J604" s="23"/>
      <c r="K604" s="23"/>
      <c r="N604" s="23"/>
    </row>
    <row r="605" spans="2:14" ht="13" x14ac:dyDescent="0.15">
      <c r="B605" s="22"/>
      <c r="C605" s="23"/>
      <c r="G605" s="24"/>
      <c r="H605" s="25"/>
      <c r="I605" s="23"/>
      <c r="J605" s="23"/>
      <c r="K605" s="23"/>
      <c r="N605" s="23"/>
    </row>
    <row r="606" spans="2:14" ht="13" x14ac:dyDescent="0.15">
      <c r="B606" s="22"/>
      <c r="C606" s="23"/>
      <c r="G606" s="24"/>
      <c r="H606" s="25"/>
      <c r="I606" s="23"/>
      <c r="J606" s="23"/>
      <c r="K606" s="23"/>
      <c r="N606" s="23"/>
    </row>
    <row r="607" spans="2:14" ht="13" x14ac:dyDescent="0.15">
      <c r="B607" s="22"/>
      <c r="C607" s="23"/>
      <c r="G607" s="24"/>
      <c r="H607" s="25"/>
      <c r="I607" s="23"/>
      <c r="J607" s="23"/>
      <c r="K607" s="23"/>
      <c r="N607" s="23"/>
    </row>
    <row r="608" spans="2:14" ht="13" x14ac:dyDescent="0.15">
      <c r="B608" s="22"/>
      <c r="C608" s="23"/>
      <c r="G608" s="24"/>
      <c r="H608" s="25"/>
      <c r="I608" s="23"/>
      <c r="J608" s="23"/>
      <c r="K608" s="23"/>
      <c r="N608" s="23"/>
    </row>
    <row r="609" spans="2:14" ht="13" x14ac:dyDescent="0.15">
      <c r="B609" s="22"/>
      <c r="C609" s="23"/>
      <c r="G609" s="24"/>
      <c r="H609" s="25"/>
      <c r="I609" s="23"/>
      <c r="J609" s="23"/>
      <c r="K609" s="23"/>
      <c r="N609" s="23"/>
    </row>
    <row r="610" spans="2:14" ht="13" x14ac:dyDescent="0.15">
      <c r="B610" s="22"/>
      <c r="C610" s="23"/>
      <c r="G610" s="24"/>
      <c r="H610" s="25"/>
      <c r="I610" s="23"/>
      <c r="J610" s="23"/>
      <c r="K610" s="23"/>
      <c r="N610" s="23"/>
    </row>
    <row r="611" spans="2:14" ht="13" x14ac:dyDescent="0.15">
      <c r="B611" s="22"/>
      <c r="C611" s="23"/>
      <c r="G611" s="24"/>
      <c r="H611" s="25"/>
      <c r="I611" s="23"/>
      <c r="J611" s="23"/>
      <c r="K611" s="23"/>
      <c r="N611" s="23"/>
    </row>
    <row r="612" spans="2:14" ht="13" x14ac:dyDescent="0.15">
      <c r="B612" s="22"/>
      <c r="C612" s="23"/>
      <c r="G612" s="24"/>
      <c r="H612" s="25"/>
      <c r="I612" s="23"/>
      <c r="J612" s="23"/>
      <c r="K612" s="23"/>
      <c r="N612" s="23"/>
    </row>
    <row r="613" spans="2:14" ht="13" x14ac:dyDescent="0.15">
      <c r="B613" s="22"/>
      <c r="C613" s="23"/>
      <c r="G613" s="24"/>
      <c r="H613" s="25"/>
      <c r="I613" s="23"/>
      <c r="J613" s="23"/>
      <c r="K613" s="23"/>
      <c r="N613" s="23"/>
    </row>
    <row r="614" spans="2:14" ht="13" x14ac:dyDescent="0.15">
      <c r="B614" s="22"/>
      <c r="C614" s="23"/>
      <c r="G614" s="24"/>
      <c r="H614" s="25"/>
      <c r="I614" s="23"/>
      <c r="J614" s="23"/>
      <c r="K614" s="23"/>
      <c r="N614" s="23"/>
    </row>
    <row r="615" spans="2:14" ht="13" x14ac:dyDescent="0.15">
      <c r="B615" s="22"/>
      <c r="C615" s="23"/>
      <c r="G615" s="24"/>
      <c r="H615" s="25"/>
      <c r="I615" s="23"/>
      <c r="J615" s="23"/>
      <c r="K615" s="23"/>
      <c r="N615" s="23"/>
    </row>
    <row r="616" spans="2:14" ht="13" x14ac:dyDescent="0.15">
      <c r="B616" s="22"/>
      <c r="C616" s="23"/>
      <c r="G616" s="24"/>
      <c r="H616" s="25"/>
      <c r="I616" s="23"/>
      <c r="J616" s="23"/>
      <c r="K616" s="23"/>
      <c r="N616" s="23"/>
    </row>
    <row r="617" spans="2:14" ht="13" x14ac:dyDescent="0.15">
      <c r="B617" s="22"/>
      <c r="C617" s="23"/>
      <c r="G617" s="24"/>
      <c r="H617" s="25"/>
      <c r="I617" s="23"/>
      <c r="J617" s="23"/>
      <c r="K617" s="23"/>
      <c r="N617" s="23"/>
    </row>
    <row r="618" spans="2:14" ht="13" x14ac:dyDescent="0.15">
      <c r="B618" s="22"/>
      <c r="C618" s="23"/>
      <c r="G618" s="24"/>
      <c r="H618" s="25"/>
      <c r="I618" s="23"/>
      <c r="J618" s="23"/>
      <c r="K618" s="23"/>
      <c r="N618" s="23"/>
    </row>
    <row r="619" spans="2:14" ht="13" x14ac:dyDescent="0.15">
      <c r="B619" s="22"/>
      <c r="C619" s="23"/>
      <c r="G619" s="24"/>
      <c r="H619" s="25"/>
      <c r="I619" s="23"/>
      <c r="J619" s="23"/>
      <c r="K619" s="23"/>
      <c r="N619" s="23"/>
    </row>
    <row r="620" spans="2:14" ht="13" x14ac:dyDescent="0.15">
      <c r="B620" s="22"/>
      <c r="C620" s="23"/>
      <c r="G620" s="24"/>
      <c r="H620" s="25"/>
      <c r="I620" s="23"/>
      <c r="J620" s="23"/>
      <c r="K620" s="23"/>
      <c r="N620" s="23"/>
    </row>
    <row r="621" spans="2:14" ht="13" x14ac:dyDescent="0.15">
      <c r="B621" s="22"/>
      <c r="C621" s="23"/>
      <c r="G621" s="24"/>
      <c r="H621" s="25"/>
      <c r="I621" s="23"/>
      <c r="J621" s="23"/>
      <c r="K621" s="23"/>
      <c r="N621" s="23"/>
    </row>
    <row r="622" spans="2:14" ht="13" x14ac:dyDescent="0.15">
      <c r="B622" s="22"/>
      <c r="C622" s="23"/>
      <c r="G622" s="24"/>
      <c r="H622" s="25"/>
      <c r="I622" s="23"/>
      <c r="J622" s="23"/>
      <c r="K622" s="23"/>
      <c r="N622" s="23"/>
    </row>
    <row r="623" spans="2:14" ht="13" x14ac:dyDescent="0.15">
      <c r="B623" s="22"/>
      <c r="C623" s="23"/>
      <c r="G623" s="24"/>
      <c r="H623" s="25"/>
      <c r="I623" s="23"/>
      <c r="J623" s="23"/>
      <c r="K623" s="23"/>
      <c r="N623" s="23"/>
    </row>
    <row r="624" spans="2:14" ht="13" x14ac:dyDescent="0.15">
      <c r="B624" s="22"/>
      <c r="C624" s="23"/>
      <c r="G624" s="24"/>
      <c r="H624" s="25"/>
      <c r="I624" s="23"/>
      <c r="J624" s="23"/>
      <c r="K624" s="23"/>
      <c r="N624" s="23"/>
    </row>
    <row r="625" spans="2:14" ht="13" x14ac:dyDescent="0.15">
      <c r="B625" s="22"/>
      <c r="C625" s="23"/>
      <c r="G625" s="24"/>
      <c r="H625" s="25"/>
      <c r="I625" s="23"/>
      <c r="J625" s="23"/>
      <c r="K625" s="23"/>
      <c r="N625" s="23"/>
    </row>
    <row r="626" spans="2:14" ht="13" x14ac:dyDescent="0.15">
      <c r="B626" s="22"/>
      <c r="C626" s="23"/>
      <c r="G626" s="24"/>
      <c r="H626" s="25"/>
      <c r="I626" s="23"/>
      <c r="J626" s="23"/>
      <c r="K626" s="23"/>
      <c r="N626" s="23"/>
    </row>
    <row r="627" spans="2:14" ht="13" x14ac:dyDescent="0.15">
      <c r="B627" s="22"/>
      <c r="C627" s="23"/>
      <c r="G627" s="24"/>
      <c r="H627" s="25"/>
      <c r="I627" s="23"/>
      <c r="J627" s="23"/>
      <c r="K627" s="23"/>
      <c r="N627" s="23"/>
    </row>
    <row r="628" spans="2:14" ht="13" x14ac:dyDescent="0.15">
      <c r="B628" s="22"/>
      <c r="C628" s="23"/>
      <c r="G628" s="24"/>
      <c r="H628" s="25"/>
      <c r="I628" s="23"/>
      <c r="J628" s="23"/>
      <c r="K628" s="23"/>
      <c r="N628" s="23"/>
    </row>
    <row r="629" spans="2:14" ht="13" x14ac:dyDescent="0.15">
      <c r="B629" s="22"/>
      <c r="C629" s="23"/>
      <c r="G629" s="24"/>
      <c r="H629" s="25"/>
      <c r="I629" s="23"/>
      <c r="J629" s="23"/>
      <c r="K629" s="23"/>
      <c r="N629" s="23"/>
    </row>
    <row r="630" spans="2:14" ht="13" x14ac:dyDescent="0.15">
      <c r="B630" s="22"/>
      <c r="C630" s="23"/>
      <c r="G630" s="24"/>
      <c r="H630" s="25"/>
      <c r="I630" s="23"/>
      <c r="J630" s="23"/>
      <c r="K630" s="23"/>
      <c r="N630" s="23"/>
    </row>
    <row r="631" spans="2:14" ht="13" x14ac:dyDescent="0.15">
      <c r="B631" s="22"/>
      <c r="C631" s="23"/>
      <c r="G631" s="24"/>
      <c r="H631" s="25"/>
      <c r="I631" s="23"/>
      <c r="J631" s="23"/>
      <c r="K631" s="23"/>
      <c r="N631" s="23"/>
    </row>
    <row r="632" spans="2:14" ht="13" x14ac:dyDescent="0.15">
      <c r="B632" s="22"/>
      <c r="C632" s="23"/>
      <c r="G632" s="24"/>
      <c r="H632" s="25"/>
      <c r="I632" s="23"/>
      <c r="J632" s="23"/>
      <c r="K632" s="23"/>
      <c r="N632" s="23"/>
    </row>
    <row r="633" spans="2:14" ht="13" x14ac:dyDescent="0.15">
      <c r="B633" s="22"/>
      <c r="C633" s="23"/>
      <c r="G633" s="24"/>
      <c r="H633" s="25"/>
      <c r="I633" s="23"/>
      <c r="J633" s="23"/>
      <c r="K633" s="23"/>
      <c r="N633" s="23"/>
    </row>
    <row r="634" spans="2:14" ht="13" x14ac:dyDescent="0.15">
      <c r="B634" s="22"/>
      <c r="C634" s="23"/>
      <c r="G634" s="24"/>
      <c r="H634" s="25"/>
      <c r="I634" s="23"/>
      <c r="J634" s="23"/>
      <c r="K634" s="23"/>
      <c r="N634" s="23"/>
    </row>
    <row r="635" spans="2:14" ht="13" x14ac:dyDescent="0.15">
      <c r="B635" s="22"/>
      <c r="C635" s="23"/>
      <c r="G635" s="24"/>
      <c r="H635" s="25"/>
      <c r="I635" s="23"/>
      <c r="J635" s="23"/>
      <c r="K635" s="23"/>
      <c r="N635" s="23"/>
    </row>
    <row r="636" spans="2:14" ht="13" x14ac:dyDescent="0.15">
      <c r="B636" s="22"/>
      <c r="C636" s="23"/>
      <c r="G636" s="24"/>
      <c r="H636" s="25"/>
      <c r="I636" s="23"/>
      <c r="J636" s="23"/>
      <c r="K636" s="23"/>
      <c r="N636" s="23"/>
    </row>
    <row r="637" spans="2:14" ht="13" x14ac:dyDescent="0.15">
      <c r="B637" s="22"/>
      <c r="C637" s="23"/>
      <c r="G637" s="24"/>
      <c r="H637" s="25"/>
      <c r="I637" s="23"/>
      <c r="J637" s="23"/>
      <c r="K637" s="23"/>
      <c r="N637" s="23"/>
    </row>
    <row r="638" spans="2:14" ht="13" x14ac:dyDescent="0.15">
      <c r="B638" s="22"/>
      <c r="C638" s="23"/>
      <c r="G638" s="24"/>
      <c r="H638" s="25"/>
      <c r="I638" s="23"/>
      <c r="J638" s="23"/>
      <c r="K638" s="23"/>
      <c r="N638" s="23"/>
    </row>
    <row r="639" spans="2:14" ht="13" x14ac:dyDescent="0.15">
      <c r="B639" s="22"/>
      <c r="C639" s="23"/>
      <c r="G639" s="24"/>
      <c r="H639" s="25"/>
      <c r="I639" s="23"/>
      <c r="J639" s="23"/>
      <c r="K639" s="23"/>
      <c r="N639" s="23"/>
    </row>
    <row r="640" spans="2:14" ht="13" x14ac:dyDescent="0.15">
      <c r="B640" s="22"/>
      <c r="C640" s="23"/>
      <c r="G640" s="24"/>
      <c r="H640" s="25"/>
      <c r="I640" s="23"/>
      <c r="J640" s="23"/>
      <c r="K640" s="23"/>
      <c r="N640" s="23"/>
    </row>
    <row r="641" spans="2:14" ht="13" x14ac:dyDescent="0.15">
      <c r="B641" s="22"/>
      <c r="C641" s="23"/>
      <c r="G641" s="24"/>
      <c r="H641" s="25"/>
      <c r="I641" s="23"/>
      <c r="J641" s="23"/>
      <c r="K641" s="23"/>
      <c r="N641" s="23"/>
    </row>
    <row r="642" spans="2:14" ht="13" x14ac:dyDescent="0.15">
      <c r="B642" s="22"/>
      <c r="C642" s="23"/>
      <c r="G642" s="24"/>
      <c r="H642" s="25"/>
      <c r="I642" s="23"/>
      <c r="J642" s="23"/>
      <c r="K642" s="23"/>
      <c r="N642" s="23"/>
    </row>
    <row r="643" spans="2:14" ht="13" x14ac:dyDescent="0.15">
      <c r="B643" s="22"/>
      <c r="C643" s="23"/>
      <c r="G643" s="24"/>
      <c r="H643" s="25"/>
      <c r="I643" s="23"/>
      <c r="J643" s="23"/>
      <c r="K643" s="23"/>
      <c r="N643" s="23"/>
    </row>
    <row r="644" spans="2:14" ht="13" x14ac:dyDescent="0.15">
      <c r="B644" s="22"/>
      <c r="C644" s="23"/>
      <c r="G644" s="24"/>
      <c r="H644" s="25"/>
      <c r="I644" s="23"/>
      <c r="J644" s="23"/>
      <c r="K644" s="23"/>
      <c r="N644" s="23"/>
    </row>
    <row r="645" spans="2:14" ht="13" x14ac:dyDescent="0.15">
      <c r="B645" s="22"/>
      <c r="C645" s="23"/>
      <c r="G645" s="24"/>
      <c r="H645" s="25"/>
      <c r="I645" s="23"/>
      <c r="J645" s="23"/>
      <c r="K645" s="23"/>
      <c r="N645" s="23"/>
    </row>
    <row r="646" spans="2:14" ht="13" x14ac:dyDescent="0.15">
      <c r="B646" s="22"/>
      <c r="C646" s="23"/>
      <c r="G646" s="24"/>
      <c r="H646" s="25"/>
      <c r="I646" s="23"/>
      <c r="J646" s="23"/>
      <c r="K646" s="23"/>
      <c r="N646" s="23"/>
    </row>
    <row r="647" spans="2:14" ht="13" x14ac:dyDescent="0.15">
      <c r="B647" s="22"/>
      <c r="C647" s="23"/>
      <c r="G647" s="24"/>
      <c r="H647" s="25"/>
      <c r="I647" s="23"/>
      <c r="J647" s="23"/>
      <c r="K647" s="23"/>
      <c r="N647" s="23"/>
    </row>
    <row r="648" spans="2:14" ht="13" x14ac:dyDescent="0.15">
      <c r="B648" s="22"/>
      <c r="C648" s="23"/>
      <c r="G648" s="24"/>
      <c r="H648" s="25"/>
      <c r="I648" s="23"/>
      <c r="J648" s="23"/>
      <c r="K648" s="23"/>
      <c r="N648" s="23"/>
    </row>
    <row r="649" spans="2:14" ht="13" x14ac:dyDescent="0.15">
      <c r="B649" s="22"/>
      <c r="C649" s="23"/>
      <c r="G649" s="24"/>
      <c r="H649" s="25"/>
      <c r="I649" s="23"/>
      <c r="J649" s="23"/>
      <c r="K649" s="23"/>
      <c r="N649" s="23"/>
    </row>
    <row r="650" spans="2:14" ht="13" x14ac:dyDescent="0.15">
      <c r="B650" s="22"/>
      <c r="C650" s="23"/>
      <c r="G650" s="24"/>
      <c r="H650" s="25"/>
      <c r="I650" s="23"/>
      <c r="J650" s="23"/>
      <c r="K650" s="23"/>
      <c r="N650" s="23"/>
    </row>
    <row r="651" spans="2:14" ht="13" x14ac:dyDescent="0.15">
      <c r="B651" s="22"/>
      <c r="C651" s="23"/>
      <c r="G651" s="24"/>
      <c r="H651" s="25"/>
      <c r="I651" s="23"/>
      <c r="J651" s="23"/>
      <c r="K651" s="23"/>
      <c r="N651" s="23"/>
    </row>
    <row r="652" spans="2:14" ht="13" x14ac:dyDescent="0.15">
      <c r="B652" s="22"/>
      <c r="C652" s="23"/>
      <c r="G652" s="24"/>
      <c r="H652" s="25"/>
      <c r="I652" s="23"/>
      <c r="J652" s="23"/>
      <c r="K652" s="23"/>
      <c r="N652" s="23"/>
    </row>
    <row r="653" spans="2:14" ht="13" x14ac:dyDescent="0.15">
      <c r="B653" s="22"/>
      <c r="C653" s="23"/>
      <c r="G653" s="24"/>
      <c r="H653" s="25"/>
      <c r="I653" s="23"/>
      <c r="J653" s="23"/>
      <c r="K653" s="23"/>
      <c r="N653" s="23"/>
    </row>
    <row r="654" spans="2:14" ht="13" x14ac:dyDescent="0.15">
      <c r="B654" s="22"/>
      <c r="C654" s="23"/>
      <c r="G654" s="24"/>
      <c r="H654" s="25"/>
      <c r="I654" s="23"/>
      <c r="J654" s="23"/>
      <c r="K654" s="23"/>
      <c r="N654" s="23"/>
    </row>
    <row r="655" spans="2:14" ht="13" x14ac:dyDescent="0.15">
      <c r="B655" s="22"/>
      <c r="C655" s="23"/>
      <c r="G655" s="24"/>
      <c r="H655" s="25"/>
      <c r="I655" s="23"/>
      <c r="J655" s="23"/>
      <c r="K655" s="23"/>
      <c r="N655" s="23"/>
    </row>
    <row r="656" spans="2:14" ht="13" x14ac:dyDescent="0.15">
      <c r="B656" s="22"/>
      <c r="C656" s="23"/>
      <c r="G656" s="24"/>
      <c r="H656" s="25"/>
      <c r="I656" s="23"/>
      <c r="J656" s="23"/>
      <c r="K656" s="23"/>
      <c r="N656" s="23"/>
    </row>
    <row r="657" spans="2:14" ht="13" x14ac:dyDescent="0.15">
      <c r="B657" s="22"/>
      <c r="C657" s="23"/>
      <c r="G657" s="24"/>
      <c r="H657" s="25"/>
      <c r="I657" s="23"/>
      <c r="J657" s="23"/>
      <c r="K657" s="23"/>
      <c r="N657" s="23"/>
    </row>
    <row r="658" spans="2:14" ht="13" x14ac:dyDescent="0.15">
      <c r="B658" s="22"/>
      <c r="C658" s="23"/>
      <c r="G658" s="24"/>
      <c r="H658" s="25"/>
      <c r="I658" s="23"/>
      <c r="J658" s="23"/>
      <c r="K658" s="23"/>
      <c r="N658" s="23"/>
    </row>
    <row r="659" spans="2:14" ht="13" x14ac:dyDescent="0.15">
      <c r="B659" s="22"/>
      <c r="C659" s="23"/>
      <c r="G659" s="24"/>
      <c r="H659" s="25"/>
      <c r="I659" s="23"/>
      <c r="J659" s="23"/>
      <c r="K659" s="23"/>
      <c r="N659" s="23"/>
    </row>
    <row r="660" spans="2:14" ht="13" x14ac:dyDescent="0.15">
      <c r="B660" s="22"/>
      <c r="C660" s="23"/>
      <c r="G660" s="24"/>
      <c r="H660" s="25"/>
      <c r="I660" s="23"/>
      <c r="J660" s="23"/>
      <c r="K660" s="23"/>
      <c r="N660" s="23"/>
    </row>
    <row r="661" spans="2:14" ht="13" x14ac:dyDescent="0.15">
      <c r="B661" s="22"/>
      <c r="C661" s="23"/>
      <c r="G661" s="24"/>
      <c r="H661" s="25"/>
      <c r="I661" s="23"/>
      <c r="J661" s="23"/>
      <c r="K661" s="23"/>
      <c r="N661" s="23"/>
    </row>
    <row r="662" spans="2:14" ht="13" x14ac:dyDescent="0.15">
      <c r="B662" s="22"/>
      <c r="C662" s="23"/>
      <c r="G662" s="24"/>
      <c r="H662" s="25"/>
      <c r="I662" s="23"/>
      <c r="J662" s="23"/>
      <c r="K662" s="23"/>
      <c r="N662" s="23"/>
    </row>
    <row r="663" spans="2:14" ht="13" x14ac:dyDescent="0.15">
      <c r="B663" s="22"/>
      <c r="C663" s="23"/>
      <c r="G663" s="24"/>
      <c r="H663" s="25"/>
      <c r="I663" s="23"/>
      <c r="J663" s="23"/>
      <c r="K663" s="23"/>
      <c r="N663" s="23"/>
    </row>
    <row r="664" spans="2:14" ht="13" x14ac:dyDescent="0.15">
      <c r="B664" s="22"/>
      <c r="C664" s="23"/>
      <c r="G664" s="24"/>
      <c r="H664" s="25"/>
      <c r="I664" s="23"/>
      <c r="J664" s="23"/>
      <c r="K664" s="23"/>
      <c r="N664" s="23"/>
    </row>
    <row r="665" spans="2:14" ht="13" x14ac:dyDescent="0.15">
      <c r="B665" s="22"/>
      <c r="C665" s="23"/>
      <c r="G665" s="24"/>
      <c r="H665" s="25"/>
      <c r="I665" s="23"/>
      <c r="J665" s="23"/>
      <c r="K665" s="23"/>
      <c r="N665" s="23"/>
    </row>
    <row r="666" spans="2:14" ht="13" x14ac:dyDescent="0.15">
      <c r="B666" s="22"/>
      <c r="C666" s="23"/>
      <c r="G666" s="24"/>
      <c r="H666" s="25"/>
      <c r="I666" s="23"/>
      <c r="J666" s="23"/>
      <c r="K666" s="23"/>
      <c r="N666" s="23"/>
    </row>
    <row r="667" spans="2:14" ht="13" x14ac:dyDescent="0.15">
      <c r="B667" s="22"/>
      <c r="C667" s="23"/>
      <c r="G667" s="24"/>
      <c r="H667" s="25"/>
      <c r="I667" s="23"/>
      <c r="J667" s="23"/>
      <c r="K667" s="23"/>
      <c r="N667" s="23"/>
    </row>
    <row r="668" spans="2:14" ht="13" x14ac:dyDescent="0.15">
      <c r="B668" s="22"/>
      <c r="C668" s="23"/>
      <c r="G668" s="24"/>
      <c r="H668" s="25"/>
      <c r="I668" s="23"/>
      <c r="J668" s="23"/>
      <c r="K668" s="23"/>
      <c r="N668" s="23"/>
    </row>
    <row r="669" spans="2:14" ht="13" x14ac:dyDescent="0.15">
      <c r="B669" s="22"/>
      <c r="C669" s="23"/>
      <c r="G669" s="24"/>
      <c r="H669" s="25"/>
      <c r="I669" s="23"/>
      <c r="J669" s="23"/>
      <c r="K669" s="23"/>
      <c r="N669" s="23"/>
    </row>
    <row r="670" spans="2:14" ht="13" x14ac:dyDescent="0.15">
      <c r="B670" s="22"/>
      <c r="C670" s="23"/>
      <c r="G670" s="24"/>
      <c r="H670" s="25"/>
      <c r="I670" s="23"/>
      <c r="J670" s="23"/>
      <c r="K670" s="23"/>
      <c r="N670" s="23"/>
    </row>
    <row r="671" spans="2:14" ht="13" x14ac:dyDescent="0.15">
      <c r="B671" s="22"/>
      <c r="C671" s="23"/>
      <c r="G671" s="24"/>
      <c r="H671" s="25"/>
      <c r="I671" s="23"/>
      <c r="J671" s="23"/>
      <c r="K671" s="23"/>
      <c r="N671" s="23"/>
    </row>
    <row r="672" spans="2:14" ht="13" x14ac:dyDescent="0.15">
      <c r="B672" s="22"/>
      <c r="C672" s="23"/>
      <c r="G672" s="24"/>
      <c r="H672" s="25"/>
      <c r="I672" s="23"/>
      <c r="J672" s="23"/>
      <c r="K672" s="23"/>
      <c r="N672" s="23"/>
    </row>
    <row r="673" spans="2:14" ht="13" x14ac:dyDescent="0.15">
      <c r="B673" s="22"/>
      <c r="C673" s="23"/>
      <c r="G673" s="24"/>
      <c r="H673" s="25"/>
      <c r="I673" s="23"/>
      <c r="J673" s="23"/>
      <c r="K673" s="23"/>
      <c r="N673" s="23"/>
    </row>
    <row r="674" spans="2:14" ht="13" x14ac:dyDescent="0.15">
      <c r="B674" s="22"/>
      <c r="C674" s="23"/>
      <c r="G674" s="24"/>
      <c r="H674" s="25"/>
      <c r="I674" s="23"/>
      <c r="J674" s="23"/>
      <c r="K674" s="23"/>
      <c r="N674" s="23"/>
    </row>
    <row r="675" spans="2:14" ht="13" x14ac:dyDescent="0.15">
      <c r="B675" s="22"/>
      <c r="C675" s="23"/>
      <c r="G675" s="24"/>
      <c r="H675" s="25"/>
      <c r="I675" s="23"/>
      <c r="J675" s="23"/>
      <c r="K675" s="23"/>
      <c r="N675" s="23"/>
    </row>
    <row r="676" spans="2:14" ht="13" x14ac:dyDescent="0.15">
      <c r="B676" s="22"/>
      <c r="C676" s="23"/>
      <c r="G676" s="24"/>
      <c r="H676" s="25"/>
      <c r="I676" s="23"/>
      <c r="J676" s="23"/>
      <c r="K676" s="23"/>
      <c r="N676" s="23"/>
    </row>
    <row r="677" spans="2:14" ht="13" x14ac:dyDescent="0.15">
      <c r="B677" s="22"/>
      <c r="C677" s="23"/>
      <c r="G677" s="24"/>
      <c r="H677" s="25"/>
      <c r="I677" s="23"/>
      <c r="J677" s="23"/>
      <c r="K677" s="23"/>
      <c r="N677" s="23"/>
    </row>
    <row r="678" spans="2:14" ht="13" x14ac:dyDescent="0.15">
      <c r="B678" s="22"/>
      <c r="C678" s="23"/>
      <c r="G678" s="24"/>
      <c r="H678" s="25"/>
      <c r="I678" s="23"/>
      <c r="J678" s="23"/>
      <c r="K678" s="23"/>
      <c r="N678" s="23"/>
    </row>
    <row r="679" spans="2:14" ht="13" x14ac:dyDescent="0.15">
      <c r="B679" s="22"/>
      <c r="C679" s="23"/>
      <c r="G679" s="24"/>
      <c r="H679" s="25"/>
      <c r="I679" s="23"/>
      <c r="J679" s="23"/>
      <c r="K679" s="23"/>
      <c r="N679" s="23"/>
    </row>
    <row r="680" spans="2:14" ht="13" x14ac:dyDescent="0.15">
      <c r="B680" s="22"/>
      <c r="C680" s="23"/>
      <c r="G680" s="24"/>
      <c r="H680" s="25"/>
      <c r="I680" s="23"/>
      <c r="J680" s="23"/>
      <c r="K680" s="23"/>
      <c r="N680" s="23"/>
    </row>
    <row r="681" spans="2:14" ht="13" x14ac:dyDescent="0.15">
      <c r="B681" s="22"/>
      <c r="C681" s="23"/>
      <c r="G681" s="24"/>
      <c r="H681" s="25"/>
      <c r="I681" s="23"/>
      <c r="J681" s="23"/>
      <c r="K681" s="23"/>
      <c r="N681" s="23"/>
    </row>
    <row r="682" spans="2:14" ht="13" x14ac:dyDescent="0.15">
      <c r="B682" s="22"/>
      <c r="C682" s="23"/>
      <c r="G682" s="24"/>
      <c r="H682" s="25"/>
      <c r="I682" s="23"/>
      <c r="J682" s="23"/>
      <c r="K682" s="23"/>
      <c r="N682" s="23"/>
    </row>
    <row r="683" spans="2:14" ht="13" x14ac:dyDescent="0.15">
      <c r="B683" s="22"/>
      <c r="C683" s="23"/>
      <c r="G683" s="24"/>
      <c r="H683" s="25"/>
      <c r="I683" s="23"/>
      <c r="J683" s="23"/>
      <c r="K683" s="23"/>
      <c r="N683" s="23"/>
    </row>
    <row r="684" spans="2:14" ht="13" x14ac:dyDescent="0.15">
      <c r="B684" s="22"/>
      <c r="C684" s="23"/>
      <c r="G684" s="24"/>
      <c r="H684" s="25"/>
      <c r="I684" s="23"/>
      <c r="J684" s="23"/>
      <c r="K684" s="23"/>
      <c r="N684" s="23"/>
    </row>
    <row r="685" spans="2:14" ht="13" x14ac:dyDescent="0.15">
      <c r="B685" s="22"/>
      <c r="C685" s="23"/>
      <c r="G685" s="24"/>
      <c r="H685" s="25"/>
      <c r="I685" s="23"/>
      <c r="J685" s="23"/>
      <c r="K685" s="23"/>
      <c r="N685" s="23"/>
    </row>
    <row r="686" spans="2:14" ht="13" x14ac:dyDescent="0.15">
      <c r="B686" s="22"/>
      <c r="C686" s="23"/>
      <c r="G686" s="24"/>
      <c r="H686" s="25"/>
      <c r="I686" s="23"/>
      <c r="J686" s="23"/>
      <c r="K686" s="23"/>
      <c r="N686" s="23"/>
    </row>
    <row r="687" spans="2:14" ht="13" x14ac:dyDescent="0.15">
      <c r="B687" s="22"/>
      <c r="C687" s="23"/>
      <c r="G687" s="24"/>
      <c r="H687" s="25"/>
      <c r="I687" s="23"/>
      <c r="J687" s="23"/>
      <c r="K687" s="23"/>
      <c r="N687" s="23"/>
    </row>
    <row r="688" spans="2:14" ht="13" x14ac:dyDescent="0.15">
      <c r="B688" s="22"/>
      <c r="C688" s="23"/>
      <c r="G688" s="24"/>
      <c r="H688" s="25"/>
      <c r="I688" s="23"/>
      <c r="J688" s="23"/>
      <c r="K688" s="23"/>
      <c r="N688" s="23"/>
    </row>
    <row r="689" spans="2:14" ht="13" x14ac:dyDescent="0.15">
      <c r="B689" s="22"/>
      <c r="C689" s="23"/>
      <c r="G689" s="24"/>
      <c r="H689" s="25"/>
      <c r="I689" s="23"/>
      <c r="J689" s="23"/>
      <c r="K689" s="23"/>
      <c r="N689" s="23"/>
    </row>
    <row r="690" spans="2:14" ht="13" x14ac:dyDescent="0.15">
      <c r="B690" s="22"/>
      <c r="C690" s="23"/>
      <c r="G690" s="24"/>
      <c r="H690" s="25"/>
      <c r="I690" s="23"/>
      <c r="J690" s="23"/>
      <c r="K690" s="23"/>
      <c r="N690" s="23"/>
    </row>
    <row r="691" spans="2:14" ht="13" x14ac:dyDescent="0.15">
      <c r="B691" s="22"/>
      <c r="C691" s="23"/>
      <c r="G691" s="24"/>
      <c r="H691" s="25"/>
      <c r="I691" s="23"/>
      <c r="J691" s="23"/>
      <c r="K691" s="23"/>
      <c r="N691" s="23"/>
    </row>
    <row r="692" spans="2:14" ht="13" x14ac:dyDescent="0.15">
      <c r="B692" s="22"/>
      <c r="C692" s="23"/>
      <c r="G692" s="24"/>
      <c r="H692" s="25"/>
      <c r="I692" s="23"/>
      <c r="J692" s="23"/>
      <c r="K692" s="23"/>
      <c r="N692" s="23"/>
    </row>
    <row r="693" spans="2:14" ht="13" x14ac:dyDescent="0.15">
      <c r="B693" s="22"/>
      <c r="C693" s="23"/>
      <c r="G693" s="24"/>
      <c r="H693" s="25"/>
      <c r="I693" s="23"/>
      <c r="J693" s="23"/>
      <c r="K693" s="23"/>
      <c r="N693" s="23"/>
    </row>
    <row r="694" spans="2:14" ht="13" x14ac:dyDescent="0.15">
      <c r="B694" s="22"/>
      <c r="C694" s="23"/>
      <c r="G694" s="24"/>
      <c r="H694" s="25"/>
      <c r="I694" s="23"/>
      <c r="J694" s="23"/>
      <c r="K694" s="23"/>
      <c r="N694" s="23"/>
    </row>
    <row r="695" spans="2:14" ht="13" x14ac:dyDescent="0.15">
      <c r="B695" s="22"/>
      <c r="C695" s="23"/>
      <c r="G695" s="24"/>
      <c r="H695" s="25"/>
      <c r="I695" s="23"/>
      <c r="J695" s="23"/>
      <c r="K695" s="23"/>
      <c r="N695" s="23"/>
    </row>
    <row r="696" spans="2:14" ht="13" x14ac:dyDescent="0.15">
      <c r="B696" s="22"/>
      <c r="C696" s="23"/>
      <c r="G696" s="24"/>
      <c r="H696" s="25"/>
      <c r="I696" s="23"/>
      <c r="J696" s="23"/>
      <c r="K696" s="23"/>
      <c r="N696" s="23"/>
    </row>
    <row r="697" spans="2:14" ht="13" x14ac:dyDescent="0.15">
      <c r="B697" s="22"/>
      <c r="C697" s="23"/>
      <c r="G697" s="24"/>
      <c r="H697" s="25"/>
      <c r="I697" s="23"/>
      <c r="J697" s="23"/>
      <c r="K697" s="23"/>
      <c r="N697" s="23"/>
    </row>
    <row r="698" spans="2:14" ht="13" x14ac:dyDescent="0.15">
      <c r="B698" s="22"/>
      <c r="C698" s="23"/>
      <c r="G698" s="24"/>
      <c r="H698" s="25"/>
      <c r="I698" s="23"/>
      <c r="J698" s="23"/>
      <c r="K698" s="23"/>
      <c r="N698" s="23"/>
    </row>
    <row r="699" spans="2:14" ht="13" x14ac:dyDescent="0.15">
      <c r="B699" s="22"/>
      <c r="C699" s="23"/>
      <c r="G699" s="24"/>
      <c r="H699" s="25"/>
      <c r="I699" s="23"/>
      <c r="J699" s="23"/>
      <c r="K699" s="23"/>
      <c r="N699" s="23"/>
    </row>
    <row r="700" spans="2:14" ht="13" x14ac:dyDescent="0.15">
      <c r="B700" s="22"/>
      <c r="C700" s="23"/>
      <c r="G700" s="24"/>
      <c r="H700" s="25"/>
      <c r="I700" s="23"/>
      <c r="J700" s="23"/>
      <c r="K700" s="23"/>
      <c r="N700" s="23"/>
    </row>
    <row r="701" spans="2:14" ht="13" x14ac:dyDescent="0.15">
      <c r="B701" s="22"/>
      <c r="C701" s="23"/>
      <c r="G701" s="24"/>
      <c r="H701" s="25"/>
      <c r="I701" s="23"/>
      <c r="J701" s="23"/>
      <c r="K701" s="23"/>
      <c r="N701" s="23"/>
    </row>
    <row r="702" spans="2:14" ht="13" x14ac:dyDescent="0.15">
      <c r="B702" s="22"/>
      <c r="C702" s="23"/>
      <c r="G702" s="24"/>
      <c r="H702" s="25"/>
      <c r="I702" s="23"/>
      <c r="J702" s="23"/>
      <c r="K702" s="23"/>
      <c r="N702" s="23"/>
    </row>
    <row r="703" spans="2:14" ht="13" x14ac:dyDescent="0.15">
      <c r="B703" s="22"/>
      <c r="C703" s="23"/>
      <c r="G703" s="24"/>
      <c r="H703" s="25"/>
      <c r="I703" s="23"/>
      <c r="J703" s="23"/>
      <c r="K703" s="23"/>
      <c r="N703" s="23"/>
    </row>
    <row r="704" spans="2:14" ht="13" x14ac:dyDescent="0.15">
      <c r="B704" s="22"/>
      <c r="C704" s="23"/>
      <c r="G704" s="24"/>
      <c r="H704" s="25"/>
      <c r="I704" s="23"/>
      <c r="J704" s="23"/>
      <c r="K704" s="23"/>
      <c r="N704" s="23"/>
    </row>
    <row r="705" spans="2:14" ht="13" x14ac:dyDescent="0.15">
      <c r="B705" s="22"/>
      <c r="C705" s="23"/>
      <c r="G705" s="24"/>
      <c r="H705" s="25"/>
      <c r="I705" s="23"/>
      <c r="J705" s="23"/>
      <c r="K705" s="23"/>
      <c r="N705" s="23"/>
    </row>
    <row r="706" spans="2:14" ht="13" x14ac:dyDescent="0.15">
      <c r="B706" s="22"/>
      <c r="C706" s="23"/>
      <c r="G706" s="24"/>
      <c r="H706" s="25"/>
      <c r="I706" s="23"/>
      <c r="J706" s="23"/>
      <c r="K706" s="23"/>
      <c r="N706" s="23"/>
    </row>
    <row r="707" spans="2:14" ht="13" x14ac:dyDescent="0.15">
      <c r="B707" s="22"/>
      <c r="C707" s="23"/>
      <c r="G707" s="24"/>
      <c r="H707" s="25"/>
      <c r="I707" s="23"/>
      <c r="J707" s="23"/>
      <c r="K707" s="23"/>
      <c r="N707" s="23"/>
    </row>
    <row r="708" spans="2:14" ht="13" x14ac:dyDescent="0.15">
      <c r="B708" s="22"/>
      <c r="C708" s="23"/>
      <c r="G708" s="24"/>
      <c r="H708" s="25"/>
      <c r="I708" s="23"/>
      <c r="J708" s="23"/>
      <c r="K708" s="23"/>
      <c r="N708" s="23"/>
    </row>
    <row r="709" spans="2:14" ht="13" x14ac:dyDescent="0.15">
      <c r="B709" s="22"/>
      <c r="C709" s="23"/>
      <c r="G709" s="24"/>
      <c r="H709" s="25"/>
      <c r="I709" s="23"/>
      <c r="J709" s="23"/>
      <c r="K709" s="23"/>
      <c r="N709" s="23"/>
    </row>
    <row r="710" spans="2:14" ht="13" x14ac:dyDescent="0.15">
      <c r="B710" s="22"/>
      <c r="C710" s="23"/>
      <c r="G710" s="24"/>
      <c r="H710" s="25"/>
      <c r="I710" s="23"/>
      <c r="J710" s="23"/>
      <c r="K710" s="23"/>
      <c r="N710" s="23"/>
    </row>
    <row r="711" spans="2:14" ht="13" x14ac:dyDescent="0.15">
      <c r="B711" s="22"/>
      <c r="C711" s="23"/>
      <c r="G711" s="24"/>
      <c r="H711" s="25"/>
      <c r="I711" s="23"/>
      <c r="J711" s="23"/>
      <c r="K711" s="23"/>
      <c r="N711" s="23"/>
    </row>
    <row r="712" spans="2:14" ht="13" x14ac:dyDescent="0.15">
      <c r="B712" s="22"/>
      <c r="C712" s="23"/>
      <c r="G712" s="24"/>
      <c r="H712" s="25"/>
      <c r="I712" s="23"/>
      <c r="J712" s="23"/>
      <c r="K712" s="23"/>
      <c r="N712" s="23"/>
    </row>
    <row r="713" spans="2:14" ht="13" x14ac:dyDescent="0.15">
      <c r="B713" s="22"/>
      <c r="C713" s="23"/>
      <c r="G713" s="24"/>
      <c r="H713" s="25"/>
      <c r="I713" s="23"/>
      <c r="J713" s="23"/>
      <c r="K713" s="23"/>
      <c r="N713" s="23"/>
    </row>
    <row r="714" spans="2:14" ht="13" x14ac:dyDescent="0.15">
      <c r="B714" s="22"/>
      <c r="C714" s="23"/>
      <c r="G714" s="24"/>
      <c r="H714" s="25"/>
      <c r="I714" s="23"/>
      <c r="J714" s="23"/>
      <c r="K714" s="23"/>
      <c r="N714" s="23"/>
    </row>
    <row r="715" spans="2:14" ht="13" x14ac:dyDescent="0.15">
      <c r="B715" s="22"/>
      <c r="C715" s="23"/>
      <c r="G715" s="24"/>
      <c r="H715" s="25"/>
      <c r="I715" s="23"/>
      <c r="J715" s="23"/>
      <c r="K715" s="23"/>
      <c r="N715" s="23"/>
    </row>
    <row r="716" spans="2:14" ht="13" x14ac:dyDescent="0.15">
      <c r="B716" s="22"/>
      <c r="C716" s="23"/>
      <c r="G716" s="24"/>
      <c r="H716" s="25"/>
      <c r="I716" s="23"/>
      <c r="J716" s="23"/>
      <c r="K716" s="23"/>
      <c r="N716" s="23"/>
    </row>
    <row r="717" spans="2:14" ht="13" x14ac:dyDescent="0.15">
      <c r="B717" s="22"/>
      <c r="C717" s="23"/>
      <c r="G717" s="24"/>
      <c r="H717" s="25"/>
      <c r="I717" s="23"/>
      <c r="J717" s="23"/>
      <c r="K717" s="23"/>
      <c r="N717" s="23"/>
    </row>
    <row r="718" spans="2:14" ht="13" x14ac:dyDescent="0.15">
      <c r="B718" s="22"/>
      <c r="C718" s="23"/>
      <c r="G718" s="24"/>
      <c r="H718" s="25"/>
      <c r="I718" s="23"/>
      <c r="J718" s="23"/>
      <c r="K718" s="23"/>
      <c r="N718" s="23"/>
    </row>
    <row r="719" spans="2:14" ht="13" x14ac:dyDescent="0.15">
      <c r="B719" s="22"/>
      <c r="C719" s="23"/>
      <c r="G719" s="24"/>
      <c r="H719" s="25"/>
      <c r="I719" s="23"/>
      <c r="J719" s="23"/>
      <c r="K719" s="23"/>
      <c r="N719" s="23"/>
    </row>
    <row r="720" spans="2:14" ht="13" x14ac:dyDescent="0.15">
      <c r="B720" s="22"/>
      <c r="C720" s="23"/>
      <c r="G720" s="24"/>
      <c r="H720" s="25"/>
      <c r="I720" s="23"/>
      <c r="J720" s="23"/>
      <c r="K720" s="23"/>
      <c r="N720" s="23"/>
    </row>
    <row r="721" spans="2:14" ht="13" x14ac:dyDescent="0.15">
      <c r="B721" s="22"/>
      <c r="C721" s="23"/>
      <c r="G721" s="24"/>
      <c r="H721" s="25"/>
      <c r="I721" s="23"/>
      <c r="J721" s="23"/>
      <c r="K721" s="23"/>
      <c r="N721" s="23"/>
    </row>
    <row r="722" spans="2:14" ht="13" x14ac:dyDescent="0.15">
      <c r="B722" s="22"/>
      <c r="C722" s="23"/>
      <c r="G722" s="24"/>
      <c r="H722" s="25"/>
      <c r="I722" s="23"/>
      <c r="J722" s="23"/>
      <c r="K722" s="23"/>
      <c r="N722" s="23"/>
    </row>
    <row r="723" spans="2:14" ht="13" x14ac:dyDescent="0.15">
      <c r="B723" s="22"/>
      <c r="C723" s="23"/>
      <c r="G723" s="24"/>
      <c r="H723" s="25"/>
      <c r="I723" s="23"/>
      <c r="J723" s="23"/>
      <c r="K723" s="23"/>
      <c r="N723" s="23"/>
    </row>
    <row r="724" spans="2:14" ht="13" x14ac:dyDescent="0.15">
      <c r="B724" s="22"/>
      <c r="C724" s="23"/>
      <c r="G724" s="24"/>
      <c r="H724" s="25"/>
      <c r="I724" s="23"/>
      <c r="J724" s="23"/>
      <c r="K724" s="23"/>
      <c r="N724" s="23"/>
    </row>
    <row r="725" spans="2:14" ht="13" x14ac:dyDescent="0.15">
      <c r="B725" s="22"/>
      <c r="C725" s="23"/>
      <c r="G725" s="24"/>
      <c r="H725" s="25"/>
      <c r="I725" s="23"/>
      <c r="J725" s="23"/>
      <c r="K725" s="23"/>
      <c r="N725" s="23"/>
    </row>
    <row r="726" spans="2:14" ht="13" x14ac:dyDescent="0.15">
      <c r="B726" s="22"/>
      <c r="C726" s="23"/>
      <c r="G726" s="24"/>
      <c r="H726" s="25"/>
      <c r="I726" s="23"/>
      <c r="J726" s="23"/>
      <c r="K726" s="23"/>
      <c r="N726" s="23"/>
    </row>
    <row r="727" spans="2:14" ht="13" x14ac:dyDescent="0.15">
      <c r="B727" s="22"/>
      <c r="C727" s="23"/>
      <c r="G727" s="24"/>
      <c r="H727" s="25"/>
      <c r="I727" s="23"/>
      <c r="J727" s="23"/>
      <c r="K727" s="23"/>
      <c r="N727" s="23"/>
    </row>
    <row r="728" spans="2:14" ht="13" x14ac:dyDescent="0.15">
      <c r="B728" s="22"/>
      <c r="C728" s="23"/>
      <c r="G728" s="24"/>
      <c r="H728" s="25"/>
      <c r="I728" s="23"/>
      <c r="J728" s="23"/>
      <c r="K728" s="23"/>
      <c r="N728" s="23"/>
    </row>
    <row r="729" spans="2:14" ht="13" x14ac:dyDescent="0.15">
      <c r="B729" s="22"/>
      <c r="C729" s="23"/>
      <c r="G729" s="24"/>
      <c r="H729" s="25"/>
      <c r="I729" s="23"/>
      <c r="J729" s="23"/>
      <c r="K729" s="23"/>
      <c r="N729" s="23"/>
    </row>
    <row r="730" spans="2:14" ht="13" x14ac:dyDescent="0.15">
      <c r="B730" s="22"/>
      <c r="C730" s="23"/>
      <c r="G730" s="24"/>
      <c r="H730" s="25"/>
      <c r="I730" s="23"/>
      <c r="J730" s="23"/>
      <c r="K730" s="23"/>
      <c r="N730" s="23"/>
    </row>
    <row r="731" spans="2:14" ht="13" x14ac:dyDescent="0.15">
      <c r="B731" s="22"/>
      <c r="C731" s="23"/>
      <c r="G731" s="24"/>
      <c r="H731" s="25"/>
      <c r="I731" s="23"/>
      <c r="J731" s="23"/>
      <c r="K731" s="23"/>
      <c r="N731" s="23"/>
    </row>
    <row r="732" spans="2:14" ht="13" x14ac:dyDescent="0.15">
      <c r="B732" s="22"/>
      <c r="C732" s="23"/>
      <c r="G732" s="24"/>
      <c r="H732" s="25"/>
      <c r="I732" s="23"/>
      <c r="J732" s="23"/>
      <c r="K732" s="23"/>
      <c r="N732" s="23"/>
    </row>
    <row r="733" spans="2:14" ht="13" x14ac:dyDescent="0.15">
      <c r="B733" s="22"/>
      <c r="C733" s="23"/>
      <c r="G733" s="24"/>
      <c r="H733" s="25"/>
      <c r="I733" s="23"/>
      <c r="J733" s="23"/>
      <c r="K733" s="23"/>
      <c r="N733" s="23"/>
    </row>
    <row r="734" spans="2:14" ht="13" x14ac:dyDescent="0.15">
      <c r="B734" s="22"/>
      <c r="C734" s="23"/>
      <c r="G734" s="24"/>
      <c r="H734" s="25"/>
      <c r="I734" s="23"/>
      <c r="J734" s="23"/>
      <c r="K734" s="23"/>
      <c r="N734" s="23"/>
    </row>
    <row r="735" spans="2:14" ht="13" x14ac:dyDescent="0.15">
      <c r="B735" s="22"/>
      <c r="C735" s="23"/>
      <c r="G735" s="24"/>
      <c r="H735" s="25"/>
      <c r="I735" s="23"/>
      <c r="J735" s="23"/>
      <c r="K735" s="23"/>
      <c r="N735" s="23"/>
    </row>
    <row r="736" spans="2:14" ht="13" x14ac:dyDescent="0.15">
      <c r="B736" s="22"/>
      <c r="C736" s="23"/>
      <c r="G736" s="24"/>
      <c r="H736" s="25"/>
      <c r="I736" s="23"/>
      <c r="J736" s="23"/>
      <c r="K736" s="23"/>
      <c r="N736" s="23"/>
    </row>
    <row r="737" spans="2:14" ht="13" x14ac:dyDescent="0.15">
      <c r="B737" s="22"/>
      <c r="C737" s="23"/>
      <c r="G737" s="24"/>
      <c r="H737" s="25"/>
      <c r="I737" s="23"/>
      <c r="J737" s="23"/>
      <c r="K737" s="23"/>
      <c r="N737" s="23"/>
    </row>
    <row r="738" spans="2:14" ht="13" x14ac:dyDescent="0.15">
      <c r="B738" s="22"/>
      <c r="C738" s="23"/>
      <c r="G738" s="24"/>
      <c r="H738" s="25"/>
      <c r="I738" s="23"/>
      <c r="J738" s="23"/>
      <c r="K738" s="23"/>
      <c r="N738" s="23"/>
    </row>
    <row r="739" spans="2:14" ht="13" x14ac:dyDescent="0.15">
      <c r="B739" s="22"/>
      <c r="C739" s="23"/>
      <c r="G739" s="24"/>
      <c r="H739" s="25"/>
      <c r="I739" s="23"/>
      <c r="J739" s="23"/>
      <c r="K739" s="23"/>
      <c r="N739" s="23"/>
    </row>
    <row r="740" spans="2:14" ht="13" x14ac:dyDescent="0.15">
      <c r="B740" s="22"/>
      <c r="C740" s="23"/>
      <c r="G740" s="24"/>
      <c r="H740" s="25"/>
      <c r="I740" s="23"/>
      <c r="J740" s="23"/>
      <c r="K740" s="23"/>
      <c r="N740" s="23"/>
    </row>
    <row r="741" spans="2:14" ht="13" x14ac:dyDescent="0.15">
      <c r="B741" s="22"/>
      <c r="C741" s="23"/>
      <c r="G741" s="24"/>
      <c r="H741" s="25"/>
      <c r="I741" s="23"/>
      <c r="J741" s="23"/>
      <c r="K741" s="23"/>
      <c r="N741" s="23"/>
    </row>
    <row r="742" spans="2:14" ht="13" x14ac:dyDescent="0.15">
      <c r="B742" s="22"/>
      <c r="C742" s="23"/>
      <c r="G742" s="24"/>
      <c r="H742" s="25"/>
      <c r="I742" s="23"/>
      <c r="J742" s="23"/>
      <c r="K742" s="23"/>
      <c r="N742" s="23"/>
    </row>
    <row r="743" spans="2:14" ht="13" x14ac:dyDescent="0.15">
      <c r="B743" s="22"/>
      <c r="C743" s="23"/>
      <c r="G743" s="24"/>
      <c r="H743" s="25"/>
      <c r="I743" s="23"/>
      <c r="J743" s="23"/>
      <c r="K743" s="23"/>
      <c r="N743" s="23"/>
    </row>
    <row r="744" spans="2:14" ht="13" x14ac:dyDescent="0.15">
      <c r="B744" s="22"/>
      <c r="C744" s="23"/>
      <c r="G744" s="24"/>
      <c r="H744" s="25"/>
      <c r="I744" s="23"/>
      <c r="J744" s="23"/>
      <c r="K744" s="23"/>
      <c r="N744" s="23"/>
    </row>
    <row r="745" spans="2:14" ht="13" x14ac:dyDescent="0.15">
      <c r="B745" s="22"/>
      <c r="C745" s="23"/>
      <c r="G745" s="24"/>
      <c r="H745" s="25"/>
      <c r="I745" s="23"/>
      <c r="J745" s="23"/>
      <c r="K745" s="23"/>
      <c r="N745" s="23"/>
    </row>
    <row r="746" spans="2:14" ht="13" x14ac:dyDescent="0.15">
      <c r="B746" s="22"/>
      <c r="C746" s="23"/>
      <c r="G746" s="24"/>
      <c r="H746" s="25"/>
      <c r="I746" s="23"/>
      <c r="J746" s="23"/>
      <c r="K746" s="23"/>
      <c r="N746" s="23"/>
    </row>
    <row r="747" spans="2:14" ht="13" x14ac:dyDescent="0.15">
      <c r="B747" s="22"/>
      <c r="C747" s="23"/>
      <c r="G747" s="24"/>
      <c r="H747" s="25"/>
      <c r="I747" s="23"/>
      <c r="J747" s="23"/>
      <c r="K747" s="23"/>
      <c r="N747" s="23"/>
    </row>
    <row r="748" spans="2:14" ht="13" x14ac:dyDescent="0.15">
      <c r="B748" s="22"/>
      <c r="C748" s="23"/>
      <c r="G748" s="24"/>
      <c r="H748" s="25"/>
      <c r="I748" s="23"/>
      <c r="J748" s="23"/>
      <c r="K748" s="23"/>
      <c r="N748" s="23"/>
    </row>
    <row r="749" spans="2:14" ht="13" x14ac:dyDescent="0.15">
      <c r="B749" s="22"/>
      <c r="C749" s="23"/>
      <c r="G749" s="24"/>
      <c r="H749" s="25"/>
      <c r="I749" s="23"/>
      <c r="J749" s="23"/>
      <c r="K749" s="23"/>
      <c r="N749" s="23"/>
    </row>
    <row r="750" spans="2:14" ht="13" x14ac:dyDescent="0.15">
      <c r="B750" s="22"/>
      <c r="C750" s="23"/>
      <c r="G750" s="24"/>
      <c r="H750" s="25"/>
      <c r="I750" s="23"/>
      <c r="J750" s="23"/>
      <c r="K750" s="23"/>
      <c r="N750" s="23"/>
    </row>
    <row r="751" spans="2:14" ht="13" x14ac:dyDescent="0.15">
      <c r="B751" s="22"/>
      <c r="C751" s="23"/>
      <c r="G751" s="24"/>
      <c r="H751" s="25"/>
      <c r="I751" s="23"/>
      <c r="J751" s="23"/>
      <c r="K751" s="23"/>
      <c r="N751" s="23"/>
    </row>
    <row r="752" spans="2:14" ht="13" x14ac:dyDescent="0.15">
      <c r="B752" s="22"/>
      <c r="C752" s="23"/>
      <c r="G752" s="24"/>
      <c r="H752" s="25"/>
      <c r="I752" s="23"/>
      <c r="J752" s="23"/>
      <c r="K752" s="23"/>
      <c r="N752" s="23"/>
    </row>
    <row r="753" spans="2:14" ht="13" x14ac:dyDescent="0.15">
      <c r="B753" s="22"/>
      <c r="C753" s="23"/>
      <c r="G753" s="24"/>
      <c r="H753" s="25"/>
      <c r="I753" s="23"/>
      <c r="J753" s="23"/>
      <c r="K753" s="23"/>
      <c r="N753" s="23"/>
    </row>
    <row r="754" spans="2:14" ht="13" x14ac:dyDescent="0.15">
      <c r="B754" s="22"/>
      <c r="C754" s="23"/>
      <c r="G754" s="24"/>
      <c r="H754" s="25"/>
      <c r="I754" s="23"/>
      <c r="J754" s="23"/>
      <c r="K754" s="23"/>
      <c r="N754" s="23"/>
    </row>
    <row r="755" spans="2:14" ht="13" x14ac:dyDescent="0.15">
      <c r="B755" s="22"/>
      <c r="C755" s="23"/>
      <c r="G755" s="24"/>
      <c r="H755" s="25"/>
      <c r="I755" s="23"/>
      <c r="J755" s="23"/>
      <c r="K755" s="23"/>
      <c r="N755" s="23"/>
    </row>
    <row r="756" spans="2:14" ht="13" x14ac:dyDescent="0.15">
      <c r="B756" s="22"/>
      <c r="C756" s="23"/>
      <c r="G756" s="24"/>
      <c r="H756" s="25"/>
      <c r="I756" s="23"/>
      <c r="J756" s="23"/>
      <c r="K756" s="23"/>
      <c r="N756" s="23"/>
    </row>
    <row r="757" spans="2:14" ht="13" x14ac:dyDescent="0.15">
      <c r="B757" s="22"/>
      <c r="C757" s="23"/>
      <c r="G757" s="24"/>
      <c r="H757" s="25"/>
      <c r="I757" s="23"/>
      <c r="J757" s="23"/>
      <c r="K757" s="23"/>
      <c r="N757" s="23"/>
    </row>
    <row r="758" spans="2:14" ht="13" x14ac:dyDescent="0.15">
      <c r="B758" s="22"/>
      <c r="C758" s="23"/>
      <c r="G758" s="24"/>
      <c r="H758" s="25"/>
      <c r="I758" s="23"/>
      <c r="J758" s="23"/>
      <c r="K758" s="23"/>
      <c r="N758" s="23"/>
    </row>
    <row r="759" spans="2:14" ht="13" x14ac:dyDescent="0.15">
      <c r="B759" s="22"/>
      <c r="C759" s="23"/>
      <c r="G759" s="24"/>
      <c r="H759" s="25"/>
      <c r="I759" s="23"/>
      <c r="J759" s="23"/>
      <c r="K759" s="23"/>
      <c r="N759" s="23"/>
    </row>
    <row r="760" spans="2:14" ht="13" x14ac:dyDescent="0.15">
      <c r="B760" s="22"/>
      <c r="C760" s="23"/>
      <c r="G760" s="24"/>
      <c r="H760" s="25"/>
      <c r="I760" s="23"/>
      <c r="J760" s="23"/>
      <c r="K760" s="23"/>
      <c r="N760" s="23"/>
    </row>
    <row r="761" spans="2:14" ht="13" x14ac:dyDescent="0.15">
      <c r="B761" s="22"/>
      <c r="C761" s="23"/>
      <c r="G761" s="24"/>
      <c r="H761" s="25"/>
      <c r="I761" s="23"/>
      <c r="J761" s="23"/>
      <c r="K761" s="23"/>
      <c r="N761" s="23"/>
    </row>
    <row r="762" spans="2:14" ht="13" x14ac:dyDescent="0.15">
      <c r="B762" s="22"/>
      <c r="C762" s="23"/>
      <c r="G762" s="24"/>
      <c r="H762" s="25"/>
      <c r="I762" s="23"/>
      <c r="J762" s="23"/>
      <c r="K762" s="23"/>
      <c r="N762" s="23"/>
    </row>
    <row r="763" spans="2:14" ht="13" x14ac:dyDescent="0.15">
      <c r="B763" s="22"/>
      <c r="C763" s="23"/>
      <c r="G763" s="24"/>
      <c r="H763" s="25"/>
      <c r="I763" s="23"/>
      <c r="J763" s="23"/>
      <c r="K763" s="23"/>
      <c r="N763" s="23"/>
    </row>
    <row r="764" spans="2:14" ht="13" x14ac:dyDescent="0.15">
      <c r="B764" s="22"/>
      <c r="C764" s="23"/>
      <c r="G764" s="24"/>
      <c r="H764" s="25"/>
      <c r="I764" s="23"/>
      <c r="J764" s="23"/>
      <c r="K764" s="23"/>
      <c r="N764" s="23"/>
    </row>
    <row r="765" spans="2:14" ht="13" x14ac:dyDescent="0.15">
      <c r="B765" s="22"/>
      <c r="C765" s="23"/>
      <c r="G765" s="24"/>
      <c r="H765" s="25"/>
      <c r="I765" s="23"/>
      <c r="J765" s="23"/>
      <c r="K765" s="23"/>
      <c r="N765" s="23"/>
    </row>
    <row r="766" spans="2:14" ht="13" x14ac:dyDescent="0.15">
      <c r="B766" s="22"/>
      <c r="C766" s="23"/>
      <c r="G766" s="24"/>
      <c r="H766" s="25"/>
      <c r="I766" s="23"/>
      <c r="J766" s="23"/>
      <c r="K766" s="23"/>
      <c r="N766" s="23"/>
    </row>
    <row r="767" spans="2:14" ht="13" x14ac:dyDescent="0.15">
      <c r="B767" s="22"/>
      <c r="C767" s="23"/>
      <c r="G767" s="24"/>
      <c r="H767" s="25"/>
      <c r="I767" s="23"/>
      <c r="J767" s="23"/>
      <c r="K767" s="23"/>
      <c r="N767" s="23"/>
    </row>
    <row r="768" spans="2:14" ht="13" x14ac:dyDescent="0.15">
      <c r="B768" s="22"/>
      <c r="C768" s="23"/>
      <c r="G768" s="24"/>
      <c r="H768" s="25"/>
      <c r="I768" s="23"/>
      <c r="J768" s="23"/>
      <c r="K768" s="23"/>
      <c r="N768" s="23"/>
    </row>
    <row r="769" spans="2:14" ht="13" x14ac:dyDescent="0.15">
      <c r="B769" s="22"/>
      <c r="C769" s="23"/>
      <c r="G769" s="24"/>
      <c r="H769" s="25"/>
      <c r="I769" s="23"/>
      <c r="J769" s="23"/>
      <c r="K769" s="23"/>
      <c r="N769" s="23"/>
    </row>
    <row r="770" spans="2:14" ht="13" x14ac:dyDescent="0.15">
      <c r="B770" s="22"/>
      <c r="C770" s="23"/>
      <c r="G770" s="24"/>
      <c r="H770" s="25"/>
      <c r="I770" s="23"/>
      <c r="J770" s="23"/>
      <c r="K770" s="23"/>
      <c r="N770" s="23"/>
    </row>
    <row r="771" spans="2:14" ht="13" x14ac:dyDescent="0.15">
      <c r="B771" s="22"/>
      <c r="C771" s="23"/>
      <c r="G771" s="24"/>
      <c r="H771" s="25"/>
      <c r="I771" s="23"/>
      <c r="J771" s="23"/>
      <c r="K771" s="23"/>
      <c r="N771" s="23"/>
    </row>
    <row r="772" spans="2:14" ht="13" x14ac:dyDescent="0.15">
      <c r="B772" s="22"/>
      <c r="C772" s="23"/>
      <c r="G772" s="24"/>
      <c r="H772" s="25"/>
      <c r="I772" s="23"/>
      <c r="J772" s="23"/>
      <c r="K772" s="23"/>
      <c r="N772" s="23"/>
    </row>
    <row r="773" spans="2:14" ht="13" x14ac:dyDescent="0.15">
      <c r="B773" s="22"/>
      <c r="C773" s="23"/>
      <c r="G773" s="24"/>
      <c r="H773" s="25"/>
      <c r="I773" s="23"/>
      <c r="J773" s="23"/>
      <c r="K773" s="23"/>
      <c r="N773" s="23"/>
    </row>
    <row r="774" spans="2:14" ht="13" x14ac:dyDescent="0.15">
      <c r="B774" s="22"/>
      <c r="C774" s="23"/>
      <c r="G774" s="24"/>
      <c r="H774" s="25"/>
      <c r="I774" s="23"/>
      <c r="J774" s="23"/>
      <c r="K774" s="23"/>
      <c r="N774" s="23"/>
    </row>
    <row r="775" spans="2:14" ht="13" x14ac:dyDescent="0.15">
      <c r="B775" s="22"/>
      <c r="C775" s="23"/>
      <c r="G775" s="24"/>
      <c r="H775" s="25"/>
      <c r="I775" s="23"/>
      <c r="J775" s="23"/>
      <c r="K775" s="23"/>
      <c r="N775" s="23"/>
    </row>
    <row r="776" spans="2:14" ht="13" x14ac:dyDescent="0.15">
      <c r="B776" s="22"/>
      <c r="C776" s="23"/>
      <c r="G776" s="24"/>
      <c r="H776" s="25"/>
      <c r="I776" s="23"/>
      <c r="J776" s="23"/>
      <c r="K776" s="23"/>
      <c r="N776" s="23"/>
    </row>
    <row r="777" spans="2:14" ht="13" x14ac:dyDescent="0.15">
      <c r="B777" s="22"/>
      <c r="C777" s="23"/>
      <c r="G777" s="24"/>
      <c r="H777" s="25"/>
      <c r="I777" s="23"/>
      <c r="J777" s="23"/>
      <c r="K777" s="23"/>
      <c r="N777" s="23"/>
    </row>
    <row r="778" spans="2:14" ht="13" x14ac:dyDescent="0.15">
      <c r="B778" s="22"/>
      <c r="C778" s="23"/>
      <c r="G778" s="24"/>
      <c r="H778" s="25"/>
      <c r="I778" s="23"/>
      <c r="J778" s="23"/>
      <c r="K778" s="23"/>
      <c r="N778" s="23"/>
    </row>
    <row r="779" spans="2:14" ht="13" x14ac:dyDescent="0.15">
      <c r="B779" s="22"/>
      <c r="C779" s="23"/>
      <c r="G779" s="24"/>
      <c r="H779" s="25"/>
      <c r="I779" s="23"/>
      <c r="J779" s="23"/>
      <c r="K779" s="23"/>
      <c r="N779" s="23"/>
    </row>
    <row r="780" spans="2:14" ht="13" x14ac:dyDescent="0.15">
      <c r="B780" s="22"/>
      <c r="C780" s="23"/>
      <c r="G780" s="24"/>
      <c r="H780" s="25"/>
      <c r="I780" s="23"/>
      <c r="J780" s="23"/>
      <c r="K780" s="23"/>
      <c r="N780" s="23"/>
    </row>
    <row r="781" spans="2:14" ht="13" x14ac:dyDescent="0.15">
      <c r="B781" s="22"/>
      <c r="C781" s="23"/>
      <c r="G781" s="24"/>
      <c r="H781" s="25"/>
      <c r="I781" s="23"/>
      <c r="J781" s="23"/>
      <c r="K781" s="23"/>
      <c r="N781" s="23"/>
    </row>
    <row r="782" spans="2:14" ht="13" x14ac:dyDescent="0.15">
      <c r="B782" s="22"/>
      <c r="C782" s="23"/>
      <c r="G782" s="24"/>
      <c r="H782" s="25"/>
      <c r="I782" s="23"/>
      <c r="J782" s="23"/>
      <c r="K782" s="23"/>
      <c r="N782" s="23"/>
    </row>
    <row r="783" spans="2:14" ht="13" x14ac:dyDescent="0.15">
      <c r="B783" s="22"/>
      <c r="C783" s="23"/>
      <c r="G783" s="24"/>
      <c r="H783" s="25"/>
      <c r="I783" s="23"/>
      <c r="J783" s="23"/>
      <c r="K783" s="23"/>
      <c r="N783" s="23"/>
    </row>
    <row r="784" spans="2:14" ht="13" x14ac:dyDescent="0.15">
      <c r="B784" s="22"/>
      <c r="C784" s="23"/>
      <c r="G784" s="24"/>
      <c r="H784" s="25"/>
      <c r="I784" s="23"/>
      <c r="J784" s="23"/>
      <c r="K784" s="23"/>
      <c r="N784" s="23"/>
    </row>
    <row r="785" spans="2:14" ht="13" x14ac:dyDescent="0.15">
      <c r="B785" s="22"/>
      <c r="C785" s="23"/>
      <c r="G785" s="24"/>
      <c r="H785" s="25"/>
      <c r="I785" s="23"/>
      <c r="J785" s="23"/>
      <c r="K785" s="23"/>
      <c r="N785" s="23"/>
    </row>
    <row r="786" spans="2:14" ht="13" x14ac:dyDescent="0.15">
      <c r="B786" s="22"/>
      <c r="C786" s="23"/>
      <c r="G786" s="24"/>
      <c r="H786" s="25"/>
      <c r="I786" s="23"/>
      <c r="J786" s="23"/>
      <c r="K786" s="23"/>
      <c r="N786" s="23"/>
    </row>
    <row r="787" spans="2:14" ht="13" x14ac:dyDescent="0.15">
      <c r="B787" s="22"/>
      <c r="C787" s="23"/>
      <c r="G787" s="24"/>
      <c r="H787" s="25"/>
      <c r="I787" s="23"/>
      <c r="J787" s="23"/>
      <c r="K787" s="23"/>
      <c r="N787" s="23"/>
    </row>
    <row r="788" spans="2:14" ht="13" x14ac:dyDescent="0.15">
      <c r="B788" s="22"/>
      <c r="C788" s="23"/>
      <c r="G788" s="24"/>
      <c r="H788" s="25"/>
      <c r="I788" s="23"/>
      <c r="J788" s="23"/>
      <c r="K788" s="23"/>
      <c r="N788" s="23"/>
    </row>
    <row r="789" spans="2:14" ht="13" x14ac:dyDescent="0.15">
      <c r="B789" s="22"/>
      <c r="C789" s="23"/>
      <c r="G789" s="24"/>
      <c r="H789" s="25"/>
      <c r="I789" s="23"/>
      <c r="J789" s="23"/>
      <c r="K789" s="23"/>
      <c r="N789" s="23"/>
    </row>
    <row r="790" spans="2:14" ht="13" x14ac:dyDescent="0.15">
      <c r="B790" s="22"/>
      <c r="C790" s="23"/>
      <c r="G790" s="24"/>
      <c r="H790" s="25"/>
      <c r="I790" s="23"/>
      <c r="J790" s="23"/>
      <c r="K790" s="23"/>
      <c r="N790" s="23"/>
    </row>
    <row r="791" spans="2:14" ht="13" x14ac:dyDescent="0.15">
      <c r="B791" s="22"/>
      <c r="C791" s="23"/>
      <c r="G791" s="24"/>
      <c r="H791" s="25"/>
      <c r="I791" s="23"/>
      <c r="J791" s="23"/>
      <c r="K791" s="23"/>
      <c r="N791" s="23"/>
    </row>
    <row r="792" spans="2:14" ht="13" x14ac:dyDescent="0.15">
      <c r="B792" s="22"/>
      <c r="C792" s="23"/>
      <c r="G792" s="24"/>
      <c r="H792" s="25"/>
      <c r="I792" s="23"/>
      <c r="J792" s="23"/>
      <c r="K792" s="23"/>
      <c r="N792" s="23"/>
    </row>
    <row r="793" spans="2:14" ht="13" x14ac:dyDescent="0.15">
      <c r="B793" s="22"/>
      <c r="C793" s="23"/>
      <c r="G793" s="24"/>
      <c r="H793" s="25"/>
      <c r="I793" s="23"/>
      <c r="J793" s="23"/>
      <c r="K793" s="23"/>
      <c r="N793" s="23"/>
    </row>
    <row r="794" spans="2:14" ht="13" x14ac:dyDescent="0.15">
      <c r="B794" s="22"/>
      <c r="C794" s="23"/>
      <c r="G794" s="24"/>
      <c r="H794" s="25"/>
      <c r="I794" s="23"/>
      <c r="J794" s="23"/>
      <c r="K794" s="23"/>
      <c r="N794" s="23"/>
    </row>
    <row r="795" spans="2:14" ht="13" x14ac:dyDescent="0.15">
      <c r="B795" s="22"/>
      <c r="C795" s="23"/>
      <c r="G795" s="24"/>
      <c r="H795" s="25"/>
      <c r="I795" s="23"/>
      <c r="J795" s="23"/>
      <c r="K795" s="23"/>
      <c r="N795" s="23"/>
    </row>
    <row r="796" spans="2:14" ht="13" x14ac:dyDescent="0.15">
      <c r="B796" s="22"/>
      <c r="C796" s="23"/>
      <c r="G796" s="24"/>
      <c r="H796" s="25"/>
      <c r="I796" s="23"/>
      <c r="J796" s="23"/>
      <c r="K796" s="23"/>
      <c r="N796" s="23"/>
    </row>
    <row r="797" spans="2:14" ht="13" x14ac:dyDescent="0.15">
      <c r="B797" s="22"/>
      <c r="C797" s="23"/>
      <c r="G797" s="24"/>
      <c r="H797" s="25"/>
      <c r="I797" s="23"/>
      <c r="J797" s="23"/>
      <c r="K797" s="23"/>
      <c r="N797" s="23"/>
    </row>
    <row r="798" spans="2:14" ht="13" x14ac:dyDescent="0.15">
      <c r="B798" s="22"/>
      <c r="C798" s="23"/>
      <c r="G798" s="24"/>
      <c r="H798" s="25"/>
      <c r="I798" s="23"/>
      <c r="J798" s="23"/>
      <c r="K798" s="23"/>
      <c r="N798" s="23"/>
    </row>
    <row r="799" spans="2:14" ht="13" x14ac:dyDescent="0.15">
      <c r="B799" s="22"/>
      <c r="C799" s="23"/>
      <c r="G799" s="24"/>
      <c r="H799" s="25"/>
      <c r="I799" s="23"/>
      <c r="J799" s="23"/>
      <c r="K799" s="23"/>
      <c r="N799" s="23"/>
    </row>
    <row r="800" spans="2:14" ht="13" x14ac:dyDescent="0.15">
      <c r="B800" s="22"/>
      <c r="C800" s="23"/>
      <c r="G800" s="24"/>
      <c r="H800" s="25"/>
      <c r="I800" s="23"/>
      <c r="J800" s="23"/>
      <c r="K800" s="23"/>
      <c r="N800" s="23"/>
    </row>
    <row r="801" spans="2:14" ht="13" x14ac:dyDescent="0.15">
      <c r="B801" s="22"/>
      <c r="C801" s="23"/>
      <c r="G801" s="24"/>
      <c r="H801" s="25"/>
      <c r="I801" s="23"/>
      <c r="J801" s="23"/>
      <c r="K801" s="23"/>
      <c r="N801" s="23"/>
    </row>
    <row r="802" spans="2:14" ht="13" x14ac:dyDescent="0.15">
      <c r="B802" s="22"/>
      <c r="C802" s="23"/>
      <c r="G802" s="24"/>
      <c r="H802" s="25"/>
      <c r="I802" s="23"/>
      <c r="J802" s="23"/>
      <c r="K802" s="23"/>
      <c r="N802" s="23"/>
    </row>
    <row r="803" spans="2:14" ht="13" x14ac:dyDescent="0.15">
      <c r="B803" s="22"/>
      <c r="C803" s="23"/>
      <c r="G803" s="24"/>
      <c r="H803" s="25"/>
      <c r="I803" s="23"/>
      <c r="J803" s="23"/>
      <c r="K803" s="23"/>
      <c r="N803" s="23"/>
    </row>
    <row r="804" spans="2:14" ht="13" x14ac:dyDescent="0.15">
      <c r="B804" s="22"/>
      <c r="C804" s="23"/>
      <c r="G804" s="24"/>
      <c r="H804" s="25"/>
      <c r="I804" s="23"/>
      <c r="J804" s="23"/>
      <c r="K804" s="23"/>
      <c r="N804" s="23"/>
    </row>
    <row r="805" spans="2:14" ht="13" x14ac:dyDescent="0.15">
      <c r="B805" s="22"/>
      <c r="C805" s="23"/>
      <c r="G805" s="24"/>
      <c r="H805" s="25"/>
      <c r="I805" s="23"/>
      <c r="J805" s="23"/>
      <c r="K805" s="23"/>
      <c r="N805" s="23"/>
    </row>
    <row r="806" spans="2:14" ht="13" x14ac:dyDescent="0.15">
      <c r="B806" s="22"/>
      <c r="C806" s="23"/>
      <c r="G806" s="24"/>
      <c r="H806" s="25"/>
      <c r="I806" s="23"/>
      <c r="J806" s="23"/>
      <c r="K806" s="23"/>
      <c r="N806" s="23"/>
    </row>
    <row r="807" spans="2:14" ht="13" x14ac:dyDescent="0.15">
      <c r="B807" s="22"/>
      <c r="C807" s="23"/>
      <c r="G807" s="24"/>
      <c r="H807" s="25"/>
      <c r="I807" s="23"/>
      <c r="J807" s="23"/>
      <c r="K807" s="23"/>
      <c r="N807" s="23"/>
    </row>
    <row r="808" spans="2:14" ht="13" x14ac:dyDescent="0.15">
      <c r="B808" s="22"/>
      <c r="C808" s="23"/>
      <c r="G808" s="24"/>
      <c r="H808" s="25"/>
      <c r="I808" s="23"/>
      <c r="J808" s="23"/>
      <c r="K808" s="23"/>
      <c r="N808" s="23"/>
    </row>
    <row r="809" spans="2:14" ht="13" x14ac:dyDescent="0.15">
      <c r="B809" s="22"/>
      <c r="C809" s="23"/>
      <c r="G809" s="24"/>
      <c r="H809" s="25"/>
      <c r="I809" s="23"/>
      <c r="J809" s="23"/>
      <c r="K809" s="23"/>
      <c r="N809" s="23"/>
    </row>
    <row r="810" spans="2:14" ht="13" x14ac:dyDescent="0.15">
      <c r="B810" s="22"/>
      <c r="C810" s="23"/>
      <c r="G810" s="24"/>
      <c r="H810" s="25"/>
      <c r="I810" s="23"/>
      <c r="J810" s="23"/>
      <c r="K810" s="23"/>
      <c r="N810" s="23"/>
    </row>
    <row r="811" spans="2:14" ht="13" x14ac:dyDescent="0.15">
      <c r="B811" s="22"/>
      <c r="C811" s="23"/>
      <c r="G811" s="24"/>
      <c r="H811" s="25"/>
      <c r="I811" s="23"/>
      <c r="J811" s="23"/>
      <c r="K811" s="23"/>
      <c r="N811" s="23"/>
    </row>
    <row r="812" spans="2:14" ht="13" x14ac:dyDescent="0.15">
      <c r="B812" s="22"/>
      <c r="C812" s="23"/>
      <c r="G812" s="24"/>
      <c r="H812" s="25"/>
      <c r="I812" s="23"/>
      <c r="J812" s="23"/>
      <c r="K812" s="23"/>
      <c r="N812" s="23"/>
    </row>
    <row r="813" spans="2:14" ht="13" x14ac:dyDescent="0.15">
      <c r="B813" s="22"/>
      <c r="C813" s="23"/>
      <c r="G813" s="24"/>
      <c r="H813" s="25"/>
      <c r="I813" s="23"/>
      <c r="J813" s="23"/>
      <c r="K813" s="23"/>
      <c r="N813" s="23"/>
    </row>
    <row r="814" spans="2:14" ht="13" x14ac:dyDescent="0.15">
      <c r="B814" s="22"/>
      <c r="C814" s="23"/>
      <c r="G814" s="24"/>
      <c r="H814" s="25"/>
      <c r="I814" s="23"/>
      <c r="J814" s="23"/>
      <c r="K814" s="23"/>
      <c r="N814" s="23"/>
    </row>
    <row r="815" spans="2:14" ht="13" x14ac:dyDescent="0.15">
      <c r="B815" s="22"/>
      <c r="C815" s="23"/>
      <c r="G815" s="24"/>
      <c r="H815" s="25"/>
      <c r="I815" s="23"/>
      <c r="J815" s="23"/>
      <c r="K815" s="23"/>
      <c r="N815" s="23"/>
    </row>
    <row r="816" spans="2:14" ht="13" x14ac:dyDescent="0.15">
      <c r="B816" s="22"/>
      <c r="C816" s="23"/>
      <c r="G816" s="24"/>
      <c r="H816" s="25"/>
      <c r="I816" s="23"/>
      <c r="J816" s="23"/>
      <c r="K816" s="23"/>
      <c r="N816" s="23"/>
    </row>
    <row r="817" spans="2:14" ht="13" x14ac:dyDescent="0.15">
      <c r="B817" s="22"/>
      <c r="C817" s="23"/>
      <c r="G817" s="24"/>
      <c r="H817" s="25"/>
      <c r="I817" s="23"/>
      <c r="J817" s="23"/>
      <c r="K817" s="23"/>
      <c r="N817" s="23"/>
    </row>
    <row r="818" spans="2:14" ht="13" x14ac:dyDescent="0.15">
      <c r="B818" s="22"/>
      <c r="C818" s="23"/>
      <c r="G818" s="24"/>
      <c r="H818" s="25"/>
      <c r="I818" s="23"/>
      <c r="J818" s="23"/>
      <c r="K818" s="23"/>
      <c r="N818" s="23"/>
    </row>
    <row r="819" spans="2:14" ht="13" x14ac:dyDescent="0.15">
      <c r="B819" s="22"/>
      <c r="C819" s="23"/>
      <c r="G819" s="24"/>
      <c r="H819" s="25"/>
      <c r="I819" s="23"/>
      <c r="J819" s="23"/>
      <c r="K819" s="23"/>
      <c r="N819" s="23"/>
    </row>
    <row r="820" spans="2:14" ht="13" x14ac:dyDescent="0.15">
      <c r="B820" s="22"/>
      <c r="C820" s="23"/>
      <c r="G820" s="24"/>
      <c r="H820" s="25"/>
      <c r="I820" s="23"/>
      <c r="J820" s="23"/>
      <c r="K820" s="23"/>
      <c r="N820" s="23"/>
    </row>
    <row r="821" spans="2:14" ht="13" x14ac:dyDescent="0.15">
      <c r="B821" s="22"/>
      <c r="C821" s="23"/>
      <c r="G821" s="24"/>
      <c r="H821" s="25"/>
      <c r="I821" s="23"/>
      <c r="J821" s="23"/>
      <c r="K821" s="23"/>
      <c r="N821" s="23"/>
    </row>
    <row r="822" spans="2:14" ht="13" x14ac:dyDescent="0.15">
      <c r="B822" s="22"/>
      <c r="C822" s="23"/>
      <c r="G822" s="24"/>
      <c r="H822" s="25"/>
      <c r="I822" s="23"/>
      <c r="J822" s="23"/>
      <c r="K822" s="23"/>
      <c r="N822" s="23"/>
    </row>
    <row r="823" spans="2:14" ht="13" x14ac:dyDescent="0.15">
      <c r="B823" s="22"/>
      <c r="C823" s="23"/>
      <c r="G823" s="24"/>
      <c r="H823" s="25"/>
      <c r="I823" s="23"/>
      <c r="J823" s="23"/>
      <c r="K823" s="23"/>
      <c r="N823" s="23"/>
    </row>
    <row r="824" spans="2:14" ht="13" x14ac:dyDescent="0.15">
      <c r="B824" s="22"/>
      <c r="C824" s="23"/>
      <c r="G824" s="24"/>
      <c r="H824" s="25"/>
      <c r="I824" s="23"/>
      <c r="J824" s="23"/>
      <c r="K824" s="23"/>
      <c r="N824" s="23"/>
    </row>
    <row r="825" spans="2:14" ht="13" x14ac:dyDescent="0.15">
      <c r="B825" s="22"/>
      <c r="C825" s="23"/>
      <c r="G825" s="24"/>
      <c r="H825" s="25"/>
      <c r="I825" s="23"/>
      <c r="J825" s="23"/>
      <c r="K825" s="23"/>
      <c r="N825" s="23"/>
    </row>
    <row r="826" spans="2:14" ht="13" x14ac:dyDescent="0.15">
      <c r="B826" s="22"/>
      <c r="C826" s="23"/>
      <c r="G826" s="24"/>
      <c r="H826" s="25"/>
      <c r="I826" s="23"/>
      <c r="J826" s="23"/>
      <c r="K826" s="23"/>
      <c r="N826" s="23"/>
    </row>
    <row r="827" spans="2:14" ht="13" x14ac:dyDescent="0.15">
      <c r="B827" s="22"/>
      <c r="C827" s="23"/>
      <c r="G827" s="24"/>
      <c r="H827" s="25"/>
      <c r="I827" s="23"/>
      <c r="J827" s="23"/>
      <c r="K827" s="23"/>
      <c r="N827" s="23"/>
    </row>
    <row r="828" spans="2:14" ht="13" x14ac:dyDescent="0.15">
      <c r="B828" s="22"/>
      <c r="C828" s="23"/>
      <c r="G828" s="24"/>
      <c r="H828" s="25"/>
      <c r="I828" s="23"/>
      <c r="J828" s="23"/>
      <c r="K828" s="23"/>
      <c r="N828" s="23"/>
    </row>
    <row r="829" spans="2:14" ht="13" x14ac:dyDescent="0.15">
      <c r="B829" s="22"/>
      <c r="C829" s="23"/>
      <c r="G829" s="24"/>
      <c r="H829" s="25"/>
      <c r="I829" s="23"/>
      <c r="J829" s="23"/>
      <c r="K829" s="23"/>
      <c r="N829" s="23"/>
    </row>
    <row r="830" spans="2:14" ht="13" x14ac:dyDescent="0.15">
      <c r="B830" s="22"/>
      <c r="C830" s="23"/>
      <c r="G830" s="24"/>
      <c r="H830" s="25"/>
      <c r="I830" s="23"/>
      <c r="J830" s="23"/>
      <c r="K830" s="23"/>
      <c r="N830" s="23"/>
    </row>
    <row r="831" spans="2:14" ht="13" x14ac:dyDescent="0.15">
      <c r="B831" s="22"/>
      <c r="C831" s="23"/>
      <c r="G831" s="24"/>
      <c r="H831" s="25"/>
      <c r="I831" s="23"/>
      <c r="J831" s="23"/>
      <c r="K831" s="23"/>
      <c r="N831" s="23"/>
    </row>
    <row r="832" spans="2:14" ht="13" x14ac:dyDescent="0.15">
      <c r="B832" s="22"/>
      <c r="C832" s="23"/>
      <c r="G832" s="24"/>
      <c r="H832" s="25"/>
      <c r="I832" s="23"/>
      <c r="J832" s="23"/>
      <c r="K832" s="23"/>
      <c r="N832" s="23"/>
    </row>
    <row r="833" spans="2:14" ht="13" x14ac:dyDescent="0.15">
      <c r="B833" s="22"/>
      <c r="C833" s="23"/>
      <c r="G833" s="24"/>
      <c r="H833" s="25"/>
      <c r="I833" s="23"/>
      <c r="J833" s="23"/>
      <c r="K833" s="23"/>
      <c r="N833" s="23"/>
    </row>
    <row r="834" spans="2:14" ht="13" x14ac:dyDescent="0.15">
      <c r="B834" s="22"/>
      <c r="C834" s="23"/>
      <c r="G834" s="24"/>
      <c r="H834" s="25"/>
      <c r="I834" s="23"/>
      <c r="J834" s="23"/>
      <c r="K834" s="23"/>
      <c r="N834" s="23"/>
    </row>
    <row r="835" spans="2:14" ht="13" x14ac:dyDescent="0.15">
      <c r="B835" s="22"/>
      <c r="C835" s="23"/>
      <c r="G835" s="24"/>
      <c r="H835" s="25"/>
      <c r="I835" s="23"/>
      <c r="J835" s="23"/>
      <c r="K835" s="23"/>
      <c r="N835" s="23"/>
    </row>
    <row r="836" spans="2:14" ht="13" x14ac:dyDescent="0.15">
      <c r="B836" s="22"/>
      <c r="C836" s="23"/>
      <c r="G836" s="24"/>
      <c r="H836" s="25"/>
      <c r="I836" s="23"/>
      <c r="J836" s="23"/>
      <c r="K836" s="23"/>
      <c r="N836" s="23"/>
    </row>
    <row r="837" spans="2:14" ht="13" x14ac:dyDescent="0.15">
      <c r="B837" s="22"/>
      <c r="C837" s="23"/>
      <c r="G837" s="24"/>
      <c r="H837" s="25"/>
      <c r="I837" s="23"/>
      <c r="J837" s="23"/>
      <c r="K837" s="23"/>
      <c r="N837" s="23"/>
    </row>
    <row r="838" spans="2:14" ht="13" x14ac:dyDescent="0.15">
      <c r="B838" s="22"/>
      <c r="C838" s="23"/>
      <c r="G838" s="24"/>
      <c r="H838" s="25"/>
      <c r="I838" s="23"/>
      <c r="J838" s="23"/>
      <c r="K838" s="23"/>
      <c r="N838" s="23"/>
    </row>
    <row r="839" spans="2:14" ht="13" x14ac:dyDescent="0.15">
      <c r="B839" s="22"/>
      <c r="C839" s="23"/>
      <c r="G839" s="24"/>
      <c r="H839" s="25"/>
      <c r="I839" s="23"/>
      <c r="J839" s="23"/>
      <c r="K839" s="23"/>
      <c r="N839" s="23"/>
    </row>
    <row r="840" spans="2:14" ht="13" x14ac:dyDescent="0.15">
      <c r="B840" s="22"/>
      <c r="C840" s="23"/>
      <c r="G840" s="24"/>
      <c r="H840" s="25"/>
      <c r="I840" s="23"/>
      <c r="J840" s="23"/>
      <c r="K840" s="23"/>
      <c r="N840" s="23"/>
    </row>
    <row r="841" spans="2:14" ht="13" x14ac:dyDescent="0.15">
      <c r="B841" s="22"/>
      <c r="C841" s="23"/>
      <c r="G841" s="24"/>
      <c r="H841" s="25"/>
      <c r="I841" s="23"/>
      <c r="J841" s="23"/>
      <c r="K841" s="23"/>
      <c r="N841" s="23"/>
    </row>
    <row r="842" spans="2:14" ht="13" x14ac:dyDescent="0.15">
      <c r="B842" s="22"/>
      <c r="C842" s="23"/>
      <c r="G842" s="24"/>
      <c r="H842" s="25"/>
      <c r="I842" s="23"/>
      <c r="J842" s="23"/>
      <c r="K842" s="23"/>
      <c r="N842" s="23"/>
    </row>
    <row r="843" spans="2:14" ht="13" x14ac:dyDescent="0.15">
      <c r="B843" s="22"/>
      <c r="C843" s="23"/>
      <c r="G843" s="24"/>
      <c r="H843" s="25"/>
      <c r="I843" s="23"/>
      <c r="J843" s="23"/>
      <c r="K843" s="23"/>
      <c r="N843" s="23"/>
    </row>
    <row r="844" spans="2:14" ht="13" x14ac:dyDescent="0.15">
      <c r="B844" s="22"/>
      <c r="C844" s="23"/>
      <c r="G844" s="24"/>
      <c r="H844" s="25"/>
      <c r="I844" s="23"/>
      <c r="J844" s="23"/>
      <c r="K844" s="23"/>
      <c r="N844" s="23"/>
    </row>
    <row r="845" spans="2:14" ht="13" x14ac:dyDescent="0.15">
      <c r="B845" s="22"/>
      <c r="C845" s="23"/>
      <c r="G845" s="24"/>
      <c r="H845" s="25"/>
      <c r="I845" s="23"/>
      <c r="J845" s="23"/>
      <c r="K845" s="23"/>
      <c r="N845" s="23"/>
    </row>
    <row r="846" spans="2:14" ht="13" x14ac:dyDescent="0.15">
      <c r="B846" s="22"/>
      <c r="C846" s="23"/>
      <c r="G846" s="24"/>
      <c r="H846" s="25"/>
      <c r="I846" s="23"/>
      <c r="J846" s="23"/>
      <c r="K846" s="23"/>
      <c r="N846" s="23"/>
    </row>
    <row r="847" spans="2:14" ht="13" x14ac:dyDescent="0.15">
      <c r="B847" s="22"/>
      <c r="C847" s="23"/>
      <c r="G847" s="24"/>
      <c r="H847" s="25"/>
      <c r="I847" s="23"/>
      <c r="J847" s="23"/>
      <c r="K847" s="23"/>
      <c r="N847" s="23"/>
    </row>
    <row r="848" spans="2:14" ht="13" x14ac:dyDescent="0.15">
      <c r="B848" s="22"/>
      <c r="C848" s="23"/>
      <c r="G848" s="24"/>
      <c r="H848" s="25"/>
      <c r="I848" s="23"/>
      <c r="J848" s="23"/>
      <c r="K848" s="23"/>
      <c r="N848" s="23"/>
    </row>
    <row r="849" spans="2:14" ht="13" x14ac:dyDescent="0.15">
      <c r="B849" s="22"/>
      <c r="C849" s="23"/>
      <c r="G849" s="24"/>
      <c r="H849" s="25"/>
      <c r="I849" s="23"/>
      <c r="J849" s="23"/>
      <c r="K849" s="23"/>
      <c r="N849" s="23"/>
    </row>
    <row r="850" spans="2:14" ht="13" x14ac:dyDescent="0.15">
      <c r="B850" s="22"/>
      <c r="C850" s="23"/>
      <c r="G850" s="24"/>
      <c r="H850" s="25"/>
      <c r="I850" s="23"/>
      <c r="J850" s="23"/>
      <c r="K850" s="23"/>
      <c r="N850" s="23"/>
    </row>
    <row r="851" spans="2:14" ht="13" x14ac:dyDescent="0.15">
      <c r="B851" s="22"/>
      <c r="C851" s="23"/>
      <c r="G851" s="24"/>
      <c r="H851" s="25"/>
      <c r="I851" s="23"/>
      <c r="J851" s="23"/>
      <c r="K851" s="23"/>
      <c r="N851" s="23"/>
    </row>
    <row r="852" spans="2:14" ht="13" x14ac:dyDescent="0.15">
      <c r="B852" s="22"/>
      <c r="C852" s="23"/>
      <c r="G852" s="24"/>
      <c r="H852" s="25"/>
      <c r="I852" s="23"/>
      <c r="J852" s="23"/>
      <c r="K852" s="23"/>
      <c r="N852" s="23"/>
    </row>
    <row r="853" spans="2:14" ht="13" x14ac:dyDescent="0.15">
      <c r="B853" s="22"/>
      <c r="C853" s="23"/>
      <c r="G853" s="24"/>
      <c r="H853" s="25"/>
      <c r="I853" s="23"/>
      <c r="J853" s="23"/>
      <c r="K853" s="23"/>
      <c r="N853" s="23"/>
    </row>
    <row r="854" spans="2:14" ht="13" x14ac:dyDescent="0.15">
      <c r="B854" s="22"/>
      <c r="C854" s="23"/>
      <c r="G854" s="24"/>
      <c r="H854" s="25"/>
      <c r="I854" s="23"/>
      <c r="J854" s="23"/>
      <c r="K854" s="23"/>
      <c r="N854" s="23"/>
    </row>
    <row r="855" spans="2:14" ht="13" x14ac:dyDescent="0.15">
      <c r="B855" s="22"/>
      <c r="C855" s="23"/>
      <c r="G855" s="24"/>
      <c r="H855" s="25"/>
      <c r="I855" s="23"/>
      <c r="J855" s="23"/>
      <c r="K855" s="23"/>
      <c r="N855" s="23"/>
    </row>
    <row r="856" spans="2:14" ht="13" x14ac:dyDescent="0.15">
      <c r="B856" s="22"/>
      <c r="C856" s="23"/>
      <c r="G856" s="24"/>
      <c r="H856" s="25"/>
      <c r="I856" s="23"/>
      <c r="J856" s="23"/>
      <c r="K856" s="23"/>
      <c r="N856" s="23"/>
    </row>
    <row r="857" spans="2:14" ht="13" x14ac:dyDescent="0.15">
      <c r="B857" s="22"/>
      <c r="C857" s="23"/>
      <c r="G857" s="24"/>
      <c r="H857" s="25"/>
      <c r="I857" s="23"/>
      <c r="J857" s="23"/>
      <c r="K857" s="23"/>
      <c r="N857" s="23"/>
    </row>
    <row r="858" spans="2:14" ht="13" x14ac:dyDescent="0.15">
      <c r="B858" s="22"/>
      <c r="C858" s="23"/>
      <c r="G858" s="24"/>
      <c r="H858" s="25"/>
      <c r="I858" s="23"/>
      <c r="J858" s="23"/>
      <c r="K858" s="23"/>
      <c r="N858" s="23"/>
    </row>
    <row r="859" spans="2:14" ht="13" x14ac:dyDescent="0.15">
      <c r="B859" s="22"/>
      <c r="C859" s="23"/>
      <c r="G859" s="24"/>
      <c r="H859" s="25"/>
      <c r="I859" s="23"/>
      <c r="J859" s="23"/>
      <c r="K859" s="23"/>
      <c r="N859" s="23"/>
    </row>
    <row r="860" spans="2:14" ht="13" x14ac:dyDescent="0.15">
      <c r="B860" s="22"/>
      <c r="C860" s="23"/>
      <c r="G860" s="24"/>
      <c r="H860" s="25"/>
      <c r="I860" s="23"/>
      <c r="J860" s="23"/>
      <c r="K860" s="23"/>
      <c r="N860" s="23"/>
    </row>
    <row r="861" spans="2:14" ht="13" x14ac:dyDescent="0.15">
      <c r="B861" s="22"/>
      <c r="C861" s="23"/>
      <c r="G861" s="24"/>
      <c r="H861" s="25"/>
      <c r="I861" s="23"/>
      <c r="J861" s="23"/>
      <c r="K861" s="23"/>
      <c r="N861" s="23"/>
    </row>
    <row r="862" spans="2:14" ht="13" x14ac:dyDescent="0.15">
      <c r="B862" s="22"/>
      <c r="C862" s="23"/>
      <c r="G862" s="24"/>
      <c r="H862" s="25"/>
      <c r="I862" s="23"/>
      <c r="J862" s="23"/>
      <c r="K862" s="23"/>
      <c r="N862" s="23"/>
    </row>
    <row r="863" spans="2:14" ht="13" x14ac:dyDescent="0.15">
      <c r="B863" s="22"/>
      <c r="C863" s="23"/>
      <c r="G863" s="24"/>
      <c r="H863" s="25"/>
      <c r="I863" s="23"/>
      <c r="J863" s="23"/>
      <c r="K863" s="23"/>
      <c r="N863" s="23"/>
    </row>
    <row r="864" spans="2:14" ht="13" x14ac:dyDescent="0.15">
      <c r="B864" s="22"/>
      <c r="C864" s="23"/>
      <c r="G864" s="24"/>
      <c r="H864" s="25"/>
      <c r="I864" s="23"/>
      <c r="J864" s="23"/>
      <c r="K864" s="23"/>
      <c r="N864" s="23"/>
    </row>
    <row r="865" spans="2:14" ht="13" x14ac:dyDescent="0.15">
      <c r="B865" s="22"/>
      <c r="C865" s="23"/>
      <c r="G865" s="24"/>
      <c r="H865" s="25"/>
      <c r="I865" s="23"/>
      <c r="J865" s="23"/>
      <c r="K865" s="23"/>
      <c r="N865" s="23"/>
    </row>
    <row r="866" spans="2:14" ht="13" x14ac:dyDescent="0.15">
      <c r="B866" s="22"/>
      <c r="C866" s="23"/>
      <c r="G866" s="24"/>
      <c r="H866" s="25"/>
      <c r="I866" s="23"/>
      <c r="J866" s="23"/>
      <c r="K866" s="23"/>
      <c r="N866" s="23"/>
    </row>
    <row r="867" spans="2:14" ht="13" x14ac:dyDescent="0.15">
      <c r="B867" s="22"/>
      <c r="C867" s="23"/>
      <c r="G867" s="24"/>
      <c r="H867" s="25"/>
      <c r="I867" s="23"/>
      <c r="J867" s="23"/>
      <c r="K867" s="23"/>
      <c r="N867" s="23"/>
    </row>
    <row r="868" spans="2:14" ht="13" x14ac:dyDescent="0.15">
      <c r="B868" s="22"/>
      <c r="C868" s="23"/>
      <c r="G868" s="24"/>
      <c r="H868" s="25"/>
      <c r="I868" s="23"/>
      <c r="J868" s="23"/>
      <c r="K868" s="23"/>
      <c r="N868" s="23"/>
    </row>
    <row r="869" spans="2:14" ht="13" x14ac:dyDescent="0.15">
      <c r="B869" s="22"/>
      <c r="C869" s="23"/>
      <c r="G869" s="24"/>
      <c r="H869" s="25"/>
      <c r="I869" s="23"/>
      <c r="J869" s="23"/>
      <c r="K869" s="23"/>
      <c r="N869" s="23"/>
    </row>
    <row r="870" spans="2:14" ht="13" x14ac:dyDescent="0.15">
      <c r="B870" s="22"/>
      <c r="C870" s="23"/>
      <c r="G870" s="24"/>
      <c r="H870" s="25"/>
      <c r="I870" s="23"/>
      <c r="J870" s="23"/>
      <c r="K870" s="23"/>
      <c r="N870" s="23"/>
    </row>
    <row r="871" spans="2:14" ht="13" x14ac:dyDescent="0.15">
      <c r="B871" s="22"/>
      <c r="C871" s="23"/>
      <c r="G871" s="24"/>
      <c r="H871" s="25"/>
      <c r="I871" s="23"/>
      <c r="J871" s="23"/>
      <c r="K871" s="23"/>
      <c r="N871" s="23"/>
    </row>
    <row r="872" spans="2:14" ht="13" x14ac:dyDescent="0.15">
      <c r="B872" s="22"/>
      <c r="C872" s="23"/>
      <c r="G872" s="24"/>
      <c r="H872" s="25"/>
      <c r="I872" s="23"/>
      <c r="J872" s="23"/>
      <c r="K872" s="23"/>
      <c r="N872" s="23"/>
    </row>
    <row r="873" spans="2:14" ht="13" x14ac:dyDescent="0.15">
      <c r="B873" s="22"/>
      <c r="C873" s="23"/>
      <c r="G873" s="24"/>
      <c r="H873" s="25"/>
      <c r="I873" s="23"/>
      <c r="J873" s="23"/>
      <c r="K873" s="23"/>
      <c r="N873" s="23"/>
    </row>
    <row r="874" spans="2:14" ht="13" x14ac:dyDescent="0.15">
      <c r="B874" s="22"/>
      <c r="C874" s="23"/>
      <c r="G874" s="24"/>
      <c r="H874" s="25"/>
      <c r="I874" s="23"/>
      <c r="J874" s="23"/>
      <c r="K874" s="23"/>
      <c r="N874" s="23"/>
    </row>
    <row r="875" spans="2:14" ht="13" x14ac:dyDescent="0.15">
      <c r="B875" s="22"/>
      <c r="C875" s="23"/>
      <c r="G875" s="24"/>
      <c r="H875" s="25"/>
      <c r="I875" s="23"/>
      <c r="J875" s="23"/>
      <c r="K875" s="23"/>
      <c r="N875" s="23"/>
    </row>
    <row r="876" spans="2:14" ht="13" x14ac:dyDescent="0.15">
      <c r="B876" s="22"/>
      <c r="C876" s="23"/>
      <c r="G876" s="24"/>
      <c r="H876" s="25"/>
      <c r="I876" s="23"/>
      <c r="J876" s="23"/>
      <c r="K876" s="23"/>
      <c r="N876" s="23"/>
    </row>
    <row r="877" spans="2:14" ht="13" x14ac:dyDescent="0.15">
      <c r="B877" s="22"/>
      <c r="C877" s="23"/>
      <c r="G877" s="24"/>
      <c r="H877" s="25"/>
      <c r="I877" s="23"/>
      <c r="J877" s="23"/>
      <c r="K877" s="23"/>
      <c r="N877" s="23"/>
    </row>
    <row r="878" spans="2:14" ht="13" x14ac:dyDescent="0.15">
      <c r="B878" s="22"/>
      <c r="C878" s="23"/>
      <c r="G878" s="24"/>
      <c r="H878" s="25"/>
      <c r="I878" s="23"/>
      <c r="J878" s="23"/>
      <c r="K878" s="23"/>
      <c r="N878" s="23"/>
    </row>
    <row r="879" spans="2:14" ht="13" x14ac:dyDescent="0.15">
      <c r="B879" s="22"/>
      <c r="C879" s="23"/>
      <c r="G879" s="24"/>
      <c r="H879" s="25"/>
      <c r="I879" s="23"/>
      <c r="J879" s="23"/>
      <c r="K879" s="23"/>
      <c r="N879" s="23"/>
    </row>
    <row r="880" spans="2:14" ht="13" x14ac:dyDescent="0.15">
      <c r="B880" s="22"/>
      <c r="C880" s="23"/>
      <c r="G880" s="24"/>
      <c r="H880" s="25"/>
      <c r="I880" s="23"/>
      <c r="J880" s="23"/>
      <c r="K880" s="23"/>
      <c r="N880" s="23"/>
    </row>
    <row r="881" spans="2:14" ht="13" x14ac:dyDescent="0.15">
      <c r="B881" s="22"/>
      <c r="C881" s="23"/>
      <c r="G881" s="24"/>
      <c r="H881" s="25"/>
      <c r="I881" s="23"/>
      <c r="J881" s="23"/>
      <c r="K881" s="23"/>
      <c r="N881" s="23"/>
    </row>
    <row r="882" spans="2:14" ht="13" x14ac:dyDescent="0.15">
      <c r="B882" s="22"/>
      <c r="C882" s="23"/>
      <c r="G882" s="24"/>
      <c r="H882" s="25"/>
      <c r="I882" s="23"/>
      <c r="J882" s="23"/>
      <c r="K882" s="23"/>
      <c r="N882" s="23"/>
    </row>
    <row r="883" spans="2:14" ht="13" x14ac:dyDescent="0.15">
      <c r="B883" s="22"/>
      <c r="C883" s="23"/>
      <c r="G883" s="24"/>
      <c r="H883" s="25"/>
      <c r="I883" s="23"/>
      <c r="J883" s="23"/>
      <c r="K883" s="23"/>
      <c r="N883" s="23"/>
    </row>
    <row r="884" spans="2:14" ht="13" x14ac:dyDescent="0.15">
      <c r="B884" s="22"/>
      <c r="C884" s="23"/>
      <c r="G884" s="24"/>
      <c r="H884" s="25"/>
      <c r="I884" s="23"/>
      <c r="J884" s="23"/>
      <c r="K884" s="23"/>
      <c r="N884" s="23"/>
    </row>
    <row r="885" spans="2:14" ht="13" x14ac:dyDescent="0.15">
      <c r="B885" s="22"/>
      <c r="C885" s="23"/>
      <c r="G885" s="24"/>
      <c r="H885" s="25"/>
      <c r="I885" s="23"/>
      <c r="J885" s="23"/>
      <c r="K885" s="23"/>
      <c r="N885" s="23"/>
    </row>
    <row r="886" spans="2:14" ht="13" x14ac:dyDescent="0.15">
      <c r="B886" s="22"/>
      <c r="C886" s="23"/>
      <c r="G886" s="24"/>
      <c r="H886" s="25"/>
      <c r="I886" s="23"/>
      <c r="J886" s="23"/>
      <c r="K886" s="23"/>
      <c r="N886" s="23"/>
    </row>
    <row r="887" spans="2:14" ht="13" x14ac:dyDescent="0.15">
      <c r="B887" s="22"/>
      <c r="C887" s="23"/>
      <c r="G887" s="24"/>
      <c r="H887" s="25"/>
      <c r="I887" s="23"/>
      <c r="J887" s="23"/>
      <c r="K887" s="23"/>
      <c r="N887" s="23"/>
    </row>
    <row r="888" spans="2:14" ht="13" x14ac:dyDescent="0.15">
      <c r="B888" s="22"/>
      <c r="C888" s="23"/>
      <c r="G888" s="24"/>
      <c r="H888" s="25"/>
      <c r="I888" s="23"/>
      <c r="J888" s="23"/>
      <c r="K888" s="23"/>
      <c r="N888" s="23"/>
    </row>
    <row r="889" spans="2:14" ht="13" x14ac:dyDescent="0.15">
      <c r="B889" s="22"/>
      <c r="C889" s="23"/>
      <c r="G889" s="24"/>
      <c r="H889" s="25"/>
      <c r="I889" s="23"/>
      <c r="J889" s="23"/>
      <c r="K889" s="23"/>
      <c r="N889" s="23"/>
    </row>
    <row r="890" spans="2:14" ht="13" x14ac:dyDescent="0.15">
      <c r="B890" s="22"/>
      <c r="C890" s="23"/>
      <c r="G890" s="24"/>
      <c r="H890" s="25"/>
      <c r="I890" s="23"/>
      <c r="J890" s="23"/>
      <c r="K890" s="23"/>
      <c r="N890" s="23"/>
    </row>
    <row r="891" spans="2:14" ht="13" x14ac:dyDescent="0.15">
      <c r="B891" s="22"/>
      <c r="C891" s="23"/>
      <c r="G891" s="24"/>
      <c r="H891" s="25"/>
      <c r="I891" s="23"/>
      <c r="J891" s="23"/>
      <c r="K891" s="23"/>
      <c r="N891" s="23"/>
    </row>
    <row r="892" spans="2:14" ht="13" x14ac:dyDescent="0.15">
      <c r="B892" s="22"/>
      <c r="C892" s="23"/>
      <c r="G892" s="24"/>
      <c r="H892" s="25"/>
      <c r="I892" s="23"/>
      <c r="J892" s="23"/>
      <c r="K892" s="23"/>
      <c r="N892" s="23"/>
    </row>
    <row r="893" spans="2:14" ht="13" x14ac:dyDescent="0.15">
      <c r="B893" s="22"/>
      <c r="C893" s="23"/>
      <c r="G893" s="24"/>
      <c r="H893" s="25"/>
      <c r="I893" s="23"/>
      <c r="J893" s="23"/>
      <c r="K893" s="23"/>
      <c r="N893" s="23"/>
    </row>
    <row r="894" spans="2:14" ht="13" x14ac:dyDescent="0.15">
      <c r="B894" s="22"/>
      <c r="C894" s="23"/>
      <c r="G894" s="24"/>
      <c r="H894" s="25"/>
      <c r="I894" s="23"/>
      <c r="J894" s="23"/>
      <c r="K894" s="23"/>
      <c r="N894" s="23"/>
    </row>
    <row r="895" spans="2:14" ht="13" x14ac:dyDescent="0.15">
      <c r="B895" s="22"/>
      <c r="C895" s="23"/>
      <c r="G895" s="24"/>
      <c r="H895" s="25"/>
      <c r="I895" s="23"/>
      <c r="J895" s="23"/>
      <c r="K895" s="23"/>
      <c r="N895" s="23"/>
    </row>
    <row r="896" spans="2:14" ht="13" x14ac:dyDescent="0.15">
      <c r="B896" s="22"/>
      <c r="C896" s="23"/>
      <c r="G896" s="24"/>
      <c r="H896" s="25"/>
      <c r="I896" s="23"/>
      <c r="J896" s="23"/>
      <c r="K896" s="23"/>
      <c r="N896" s="23"/>
    </row>
    <row r="897" spans="2:14" ht="13" x14ac:dyDescent="0.15">
      <c r="B897" s="22"/>
      <c r="C897" s="23"/>
      <c r="G897" s="24"/>
      <c r="H897" s="25"/>
      <c r="I897" s="23"/>
      <c r="J897" s="23"/>
      <c r="K897" s="23"/>
      <c r="N897" s="23"/>
    </row>
    <row r="898" spans="2:14" ht="13" x14ac:dyDescent="0.15">
      <c r="B898" s="22"/>
      <c r="C898" s="23"/>
      <c r="G898" s="24"/>
      <c r="H898" s="25"/>
      <c r="I898" s="23"/>
      <c r="J898" s="23"/>
      <c r="K898" s="23"/>
      <c r="N898" s="23"/>
    </row>
    <row r="899" spans="2:14" ht="13" x14ac:dyDescent="0.15">
      <c r="B899" s="22"/>
      <c r="C899" s="23"/>
      <c r="G899" s="24"/>
      <c r="H899" s="25"/>
      <c r="I899" s="23"/>
      <c r="J899" s="23"/>
      <c r="K899" s="23"/>
      <c r="N899" s="23"/>
    </row>
    <row r="900" spans="2:14" ht="13" x14ac:dyDescent="0.15">
      <c r="B900" s="22"/>
      <c r="C900" s="23"/>
      <c r="G900" s="24"/>
      <c r="H900" s="25"/>
      <c r="I900" s="23"/>
      <c r="J900" s="23"/>
      <c r="K900" s="23"/>
      <c r="N900" s="23"/>
    </row>
    <row r="901" spans="2:14" ht="13" x14ac:dyDescent="0.15">
      <c r="B901" s="22"/>
      <c r="C901" s="23"/>
      <c r="G901" s="24"/>
      <c r="H901" s="25"/>
      <c r="I901" s="23"/>
      <c r="J901" s="23"/>
      <c r="K901" s="23"/>
      <c r="N901" s="23"/>
    </row>
    <row r="902" spans="2:14" ht="13" x14ac:dyDescent="0.15">
      <c r="B902" s="22"/>
      <c r="C902" s="23"/>
      <c r="G902" s="24"/>
      <c r="H902" s="25"/>
      <c r="I902" s="23"/>
      <c r="J902" s="23"/>
      <c r="K902" s="23"/>
      <c r="N902" s="23"/>
    </row>
    <row r="903" spans="2:14" ht="13" x14ac:dyDescent="0.15">
      <c r="B903" s="22"/>
      <c r="C903" s="23"/>
      <c r="G903" s="24"/>
      <c r="H903" s="25"/>
      <c r="I903" s="23"/>
      <c r="J903" s="23"/>
      <c r="K903" s="23"/>
      <c r="N903" s="23"/>
    </row>
    <row r="904" spans="2:14" ht="13" x14ac:dyDescent="0.15">
      <c r="B904" s="22"/>
      <c r="C904" s="23"/>
      <c r="G904" s="24"/>
      <c r="H904" s="25"/>
      <c r="I904" s="23"/>
      <c r="J904" s="23"/>
      <c r="K904" s="23"/>
      <c r="N904" s="23"/>
    </row>
    <row r="905" spans="2:14" ht="13" x14ac:dyDescent="0.15">
      <c r="B905" s="22"/>
      <c r="C905" s="23"/>
      <c r="G905" s="24"/>
      <c r="H905" s="25"/>
      <c r="I905" s="23"/>
      <c r="J905" s="23"/>
      <c r="K905" s="23"/>
      <c r="N905" s="23"/>
    </row>
    <row r="906" spans="2:14" ht="13" x14ac:dyDescent="0.15">
      <c r="B906" s="22"/>
      <c r="C906" s="23"/>
      <c r="G906" s="24"/>
      <c r="H906" s="25"/>
      <c r="I906" s="23"/>
      <c r="J906" s="23"/>
      <c r="K906" s="23"/>
      <c r="N906" s="23"/>
    </row>
    <row r="907" spans="2:14" ht="13" x14ac:dyDescent="0.15">
      <c r="B907" s="22"/>
      <c r="C907" s="23"/>
      <c r="G907" s="24"/>
      <c r="H907" s="25"/>
      <c r="I907" s="23"/>
      <c r="J907" s="23"/>
      <c r="K907" s="23"/>
      <c r="N907" s="23"/>
    </row>
    <row r="908" spans="2:14" ht="13" x14ac:dyDescent="0.15">
      <c r="B908" s="22"/>
      <c r="C908" s="23"/>
      <c r="G908" s="24"/>
      <c r="H908" s="25"/>
      <c r="I908" s="23"/>
      <c r="J908" s="23"/>
      <c r="K908" s="23"/>
      <c r="N908" s="23"/>
    </row>
    <row r="909" spans="2:14" ht="13" x14ac:dyDescent="0.15">
      <c r="B909" s="22"/>
      <c r="C909" s="23"/>
      <c r="G909" s="24"/>
      <c r="H909" s="25"/>
      <c r="I909" s="23"/>
      <c r="J909" s="23"/>
      <c r="K909" s="23"/>
      <c r="N909" s="23"/>
    </row>
    <row r="910" spans="2:14" ht="13" x14ac:dyDescent="0.15">
      <c r="B910" s="22"/>
      <c r="C910" s="23"/>
      <c r="G910" s="24"/>
      <c r="H910" s="25"/>
      <c r="I910" s="23"/>
      <c r="J910" s="23"/>
      <c r="K910" s="23"/>
      <c r="N910" s="23"/>
    </row>
    <row r="911" spans="2:14" ht="13" x14ac:dyDescent="0.15">
      <c r="B911" s="22"/>
      <c r="C911" s="23"/>
      <c r="G911" s="24"/>
      <c r="H911" s="25"/>
      <c r="I911" s="23"/>
      <c r="J911" s="23"/>
      <c r="K911" s="23"/>
      <c r="N911" s="23"/>
    </row>
    <row r="912" spans="2:14" ht="13" x14ac:dyDescent="0.15">
      <c r="B912" s="22"/>
      <c r="C912" s="23"/>
      <c r="G912" s="24"/>
      <c r="H912" s="25"/>
      <c r="I912" s="23"/>
      <c r="J912" s="23"/>
      <c r="K912" s="23"/>
      <c r="N912" s="23"/>
    </row>
    <row r="913" spans="2:14" ht="13" x14ac:dyDescent="0.15">
      <c r="B913" s="22"/>
      <c r="C913" s="23"/>
      <c r="G913" s="24"/>
      <c r="H913" s="25"/>
      <c r="I913" s="23"/>
      <c r="J913" s="23"/>
      <c r="K913" s="23"/>
      <c r="N913" s="23"/>
    </row>
    <row r="914" spans="2:14" ht="13" x14ac:dyDescent="0.15">
      <c r="B914" s="22"/>
      <c r="C914" s="23"/>
      <c r="G914" s="24"/>
      <c r="H914" s="25"/>
      <c r="I914" s="23"/>
      <c r="J914" s="23"/>
      <c r="K914" s="23"/>
      <c r="N914" s="23"/>
    </row>
    <row r="915" spans="2:14" ht="13" x14ac:dyDescent="0.15">
      <c r="B915" s="22"/>
      <c r="C915" s="23"/>
      <c r="G915" s="24"/>
      <c r="H915" s="25"/>
      <c r="I915" s="23"/>
      <c r="J915" s="23"/>
      <c r="K915" s="23"/>
      <c r="N915" s="23"/>
    </row>
    <row r="916" spans="2:14" ht="13" x14ac:dyDescent="0.15">
      <c r="B916" s="22"/>
      <c r="C916" s="23"/>
      <c r="G916" s="24"/>
      <c r="H916" s="25"/>
      <c r="I916" s="23"/>
      <c r="J916" s="23"/>
      <c r="K916" s="23"/>
      <c r="N916" s="23"/>
    </row>
    <row r="917" spans="2:14" ht="13" x14ac:dyDescent="0.15">
      <c r="B917" s="22"/>
      <c r="C917" s="23"/>
      <c r="G917" s="24"/>
      <c r="H917" s="25"/>
      <c r="I917" s="23"/>
      <c r="J917" s="23"/>
      <c r="K917" s="23"/>
      <c r="N917" s="23"/>
    </row>
    <row r="918" spans="2:14" ht="13" x14ac:dyDescent="0.15">
      <c r="B918" s="22"/>
      <c r="C918" s="23"/>
      <c r="G918" s="24"/>
      <c r="H918" s="25"/>
      <c r="I918" s="23"/>
      <c r="J918" s="23"/>
      <c r="K918" s="23"/>
      <c r="N918" s="23"/>
    </row>
    <row r="919" spans="2:14" ht="13" x14ac:dyDescent="0.15">
      <c r="B919" s="22"/>
      <c r="C919" s="23"/>
      <c r="G919" s="24"/>
      <c r="H919" s="25"/>
      <c r="I919" s="23"/>
      <c r="J919" s="23"/>
      <c r="K919" s="23"/>
      <c r="N919" s="23"/>
    </row>
    <row r="920" spans="2:14" ht="13" x14ac:dyDescent="0.15">
      <c r="B920" s="22"/>
      <c r="C920" s="23"/>
      <c r="G920" s="24"/>
      <c r="H920" s="25"/>
      <c r="I920" s="23"/>
      <c r="J920" s="23"/>
      <c r="K920" s="23"/>
      <c r="N920" s="23"/>
    </row>
    <row r="921" spans="2:14" ht="13" x14ac:dyDescent="0.15">
      <c r="B921" s="22"/>
      <c r="C921" s="23"/>
      <c r="G921" s="24"/>
      <c r="H921" s="25"/>
      <c r="I921" s="23"/>
      <c r="J921" s="23"/>
      <c r="K921" s="23"/>
      <c r="N921" s="23"/>
    </row>
    <row r="922" spans="2:14" ht="13" x14ac:dyDescent="0.15">
      <c r="B922" s="22"/>
      <c r="C922" s="23"/>
      <c r="G922" s="24"/>
      <c r="H922" s="25"/>
      <c r="I922" s="23"/>
      <c r="J922" s="23"/>
      <c r="K922" s="23"/>
      <c r="N922" s="23"/>
    </row>
    <row r="923" spans="2:14" ht="13" x14ac:dyDescent="0.15">
      <c r="B923" s="22"/>
      <c r="C923" s="23"/>
      <c r="G923" s="24"/>
      <c r="H923" s="25"/>
      <c r="I923" s="23"/>
      <c r="J923" s="23"/>
      <c r="K923" s="23"/>
      <c r="N923" s="23"/>
    </row>
    <row r="924" spans="2:14" ht="13" x14ac:dyDescent="0.15">
      <c r="B924" s="22"/>
      <c r="C924" s="23"/>
      <c r="G924" s="24"/>
      <c r="H924" s="25"/>
      <c r="I924" s="23"/>
      <c r="J924" s="23"/>
      <c r="K924" s="23"/>
      <c r="N924" s="23"/>
    </row>
    <row r="925" spans="2:14" ht="13" x14ac:dyDescent="0.15">
      <c r="B925" s="22"/>
      <c r="C925" s="23"/>
      <c r="G925" s="24"/>
      <c r="H925" s="25"/>
      <c r="I925" s="23"/>
      <c r="J925" s="23"/>
      <c r="K925" s="23"/>
      <c r="N925" s="23"/>
    </row>
    <row r="926" spans="2:14" ht="13" x14ac:dyDescent="0.15">
      <c r="B926" s="22"/>
      <c r="C926" s="23"/>
      <c r="G926" s="24"/>
      <c r="H926" s="25"/>
      <c r="I926" s="23"/>
      <c r="J926" s="23"/>
      <c r="K926" s="23"/>
      <c r="N926" s="23"/>
    </row>
    <row r="927" spans="2:14" ht="13" x14ac:dyDescent="0.15">
      <c r="B927" s="22"/>
      <c r="C927" s="23"/>
      <c r="G927" s="24"/>
      <c r="H927" s="25"/>
      <c r="I927" s="23"/>
      <c r="J927" s="23"/>
      <c r="K927" s="23"/>
      <c r="N927" s="23"/>
    </row>
    <row r="928" spans="2:14" ht="13" x14ac:dyDescent="0.15">
      <c r="B928" s="22"/>
      <c r="C928" s="23"/>
      <c r="G928" s="24"/>
      <c r="H928" s="25"/>
      <c r="I928" s="23"/>
      <c r="J928" s="23"/>
      <c r="K928" s="23"/>
      <c r="N928" s="23"/>
    </row>
    <row r="929" spans="2:14" ht="13" x14ac:dyDescent="0.15">
      <c r="B929" s="22"/>
      <c r="C929" s="23"/>
      <c r="G929" s="24"/>
      <c r="H929" s="25"/>
      <c r="I929" s="23"/>
      <c r="J929" s="23"/>
      <c r="K929" s="23"/>
      <c r="N929" s="23"/>
    </row>
    <row r="930" spans="2:14" ht="13" x14ac:dyDescent="0.15">
      <c r="B930" s="22"/>
      <c r="C930" s="23"/>
      <c r="G930" s="24"/>
      <c r="H930" s="25"/>
      <c r="I930" s="23"/>
      <c r="J930" s="23"/>
      <c r="K930" s="23"/>
      <c r="N930" s="23"/>
    </row>
    <row r="931" spans="2:14" ht="13" x14ac:dyDescent="0.15">
      <c r="B931" s="22"/>
      <c r="C931" s="23"/>
      <c r="G931" s="24"/>
      <c r="H931" s="25"/>
      <c r="I931" s="23"/>
      <c r="J931" s="23"/>
      <c r="K931" s="23"/>
      <c r="N931" s="23"/>
    </row>
    <row r="932" spans="2:14" ht="13" x14ac:dyDescent="0.15">
      <c r="B932" s="22"/>
      <c r="C932" s="23"/>
      <c r="G932" s="24"/>
      <c r="H932" s="25"/>
      <c r="I932" s="23"/>
      <c r="J932" s="23"/>
      <c r="K932" s="23"/>
      <c r="N932" s="23"/>
    </row>
    <row r="933" spans="2:14" ht="13" x14ac:dyDescent="0.15">
      <c r="B933" s="22"/>
      <c r="C933" s="23"/>
      <c r="G933" s="24"/>
      <c r="H933" s="25"/>
      <c r="I933" s="23"/>
      <c r="J933" s="23"/>
      <c r="K933" s="23"/>
      <c r="N933" s="23"/>
    </row>
    <row r="934" spans="2:14" ht="13" x14ac:dyDescent="0.15">
      <c r="B934" s="22"/>
      <c r="C934" s="23"/>
      <c r="G934" s="24"/>
      <c r="H934" s="25"/>
      <c r="I934" s="23"/>
      <c r="J934" s="23"/>
      <c r="K934" s="23"/>
      <c r="N934" s="23"/>
    </row>
    <row r="935" spans="2:14" ht="13" x14ac:dyDescent="0.15">
      <c r="B935" s="22"/>
      <c r="C935" s="23"/>
      <c r="G935" s="24"/>
      <c r="H935" s="25"/>
      <c r="I935" s="23"/>
      <c r="J935" s="23"/>
      <c r="K935" s="23"/>
      <c r="N935" s="23"/>
    </row>
    <row r="936" spans="2:14" ht="13" x14ac:dyDescent="0.15">
      <c r="B936" s="22"/>
      <c r="C936" s="23"/>
      <c r="G936" s="24"/>
      <c r="H936" s="25"/>
      <c r="I936" s="23"/>
      <c r="J936" s="23"/>
      <c r="K936" s="23"/>
      <c r="N936" s="23"/>
    </row>
    <row r="937" spans="2:14" ht="13" x14ac:dyDescent="0.15">
      <c r="B937" s="22"/>
      <c r="C937" s="23"/>
      <c r="G937" s="24"/>
      <c r="H937" s="25"/>
      <c r="I937" s="23"/>
      <c r="J937" s="23"/>
      <c r="K937" s="23"/>
      <c r="N937" s="23"/>
    </row>
    <row r="938" spans="2:14" ht="13" x14ac:dyDescent="0.15">
      <c r="B938" s="22"/>
      <c r="C938" s="23"/>
      <c r="G938" s="24"/>
      <c r="H938" s="25"/>
      <c r="I938" s="23"/>
      <c r="J938" s="23"/>
      <c r="K938" s="23"/>
      <c r="N938" s="23"/>
    </row>
    <row r="939" spans="2:14" ht="13" x14ac:dyDescent="0.15">
      <c r="B939" s="22"/>
      <c r="C939" s="23"/>
      <c r="G939" s="24"/>
      <c r="H939" s="25"/>
      <c r="I939" s="23"/>
      <c r="J939" s="23"/>
      <c r="K939" s="23"/>
      <c r="N939" s="23"/>
    </row>
    <row r="940" spans="2:14" ht="13" x14ac:dyDescent="0.15">
      <c r="B940" s="22"/>
      <c r="C940" s="23"/>
      <c r="G940" s="24"/>
      <c r="H940" s="25"/>
      <c r="I940" s="23"/>
      <c r="J940" s="23"/>
      <c r="K940" s="23"/>
      <c r="N940" s="23"/>
    </row>
    <row r="941" spans="2:14" ht="13" x14ac:dyDescent="0.15">
      <c r="B941" s="22"/>
      <c r="C941" s="23"/>
      <c r="G941" s="24"/>
      <c r="H941" s="25"/>
      <c r="I941" s="23"/>
      <c r="J941" s="23"/>
      <c r="K941" s="23"/>
      <c r="N941" s="23"/>
    </row>
    <row r="942" spans="2:14" ht="13" x14ac:dyDescent="0.15">
      <c r="B942" s="22"/>
      <c r="C942" s="23"/>
      <c r="G942" s="24"/>
      <c r="H942" s="25"/>
      <c r="I942" s="23"/>
      <c r="J942" s="23"/>
      <c r="K942" s="23"/>
      <c r="N942" s="23"/>
    </row>
    <row r="943" spans="2:14" ht="13" x14ac:dyDescent="0.15">
      <c r="B943" s="22"/>
      <c r="C943" s="23"/>
      <c r="G943" s="24"/>
      <c r="H943" s="25"/>
      <c r="I943" s="23"/>
      <c r="J943" s="23"/>
      <c r="K943" s="23"/>
      <c r="N943" s="23"/>
    </row>
    <row r="944" spans="2:14" ht="13" x14ac:dyDescent="0.15">
      <c r="B944" s="22"/>
      <c r="C944" s="23"/>
      <c r="G944" s="24"/>
      <c r="H944" s="25"/>
      <c r="I944" s="23"/>
      <c r="J944" s="23"/>
      <c r="K944" s="23"/>
      <c r="N944" s="23"/>
    </row>
    <row r="945" spans="2:14" ht="13" x14ac:dyDescent="0.15">
      <c r="B945" s="22"/>
      <c r="C945" s="23"/>
      <c r="G945" s="24"/>
      <c r="H945" s="25"/>
      <c r="I945" s="23"/>
      <c r="J945" s="23"/>
      <c r="K945" s="23"/>
      <c r="N945" s="23"/>
    </row>
    <row r="946" spans="2:14" ht="13" x14ac:dyDescent="0.15">
      <c r="B946" s="22"/>
      <c r="C946" s="23"/>
      <c r="G946" s="24"/>
      <c r="H946" s="25"/>
      <c r="I946" s="23"/>
      <c r="J946" s="23"/>
      <c r="K946" s="23"/>
      <c r="N946" s="23"/>
    </row>
    <row r="947" spans="2:14" ht="13" x14ac:dyDescent="0.15">
      <c r="B947" s="22"/>
      <c r="C947" s="23"/>
      <c r="G947" s="24"/>
      <c r="H947" s="25"/>
      <c r="I947" s="23"/>
      <c r="J947" s="23"/>
      <c r="K947" s="23"/>
      <c r="N947" s="23"/>
    </row>
    <row r="948" spans="2:14" ht="13" x14ac:dyDescent="0.15">
      <c r="B948" s="22"/>
      <c r="C948" s="23"/>
      <c r="G948" s="24"/>
      <c r="H948" s="25"/>
      <c r="I948" s="23"/>
      <c r="J948" s="23"/>
      <c r="K948" s="23"/>
      <c r="N948" s="23"/>
    </row>
    <row r="949" spans="2:14" ht="13" x14ac:dyDescent="0.15">
      <c r="B949" s="22"/>
      <c r="C949" s="23"/>
      <c r="G949" s="24"/>
      <c r="H949" s="25"/>
      <c r="I949" s="23"/>
      <c r="J949" s="23"/>
      <c r="K949" s="23"/>
      <c r="N949" s="23"/>
    </row>
    <row r="950" spans="2:14" ht="13" x14ac:dyDescent="0.15">
      <c r="B950" s="22"/>
      <c r="C950" s="23"/>
      <c r="G950" s="24"/>
      <c r="H950" s="25"/>
      <c r="I950" s="23"/>
      <c r="J950" s="23"/>
      <c r="K950" s="23"/>
      <c r="N950" s="23"/>
    </row>
    <row r="951" spans="2:14" ht="13" x14ac:dyDescent="0.15">
      <c r="B951" s="22"/>
      <c r="C951" s="23"/>
      <c r="G951" s="24"/>
      <c r="H951" s="25"/>
      <c r="I951" s="23"/>
      <c r="J951" s="23"/>
      <c r="K951" s="23"/>
      <c r="N951" s="23"/>
    </row>
    <row r="952" spans="2:14" ht="13" x14ac:dyDescent="0.15">
      <c r="B952" s="22"/>
      <c r="C952" s="23"/>
      <c r="G952" s="24"/>
      <c r="H952" s="25"/>
      <c r="I952" s="23"/>
      <c r="J952" s="23"/>
      <c r="K952" s="23"/>
      <c r="N952" s="23"/>
    </row>
    <row r="953" spans="2:14" ht="13" x14ac:dyDescent="0.15">
      <c r="B953" s="22"/>
      <c r="C953" s="23"/>
      <c r="G953" s="24"/>
      <c r="H953" s="25"/>
      <c r="I953" s="23"/>
      <c r="J953" s="23"/>
      <c r="K953" s="23"/>
      <c r="N953" s="23"/>
    </row>
    <row r="954" spans="2:14" ht="13" x14ac:dyDescent="0.15">
      <c r="B954" s="22"/>
      <c r="C954" s="23"/>
      <c r="G954" s="24"/>
      <c r="H954" s="25"/>
      <c r="I954" s="23"/>
      <c r="J954" s="23"/>
      <c r="K954" s="23"/>
      <c r="N954" s="23"/>
    </row>
    <row r="955" spans="2:14" ht="13" x14ac:dyDescent="0.15">
      <c r="B955" s="22"/>
      <c r="C955" s="23"/>
      <c r="G955" s="24"/>
      <c r="H955" s="25"/>
      <c r="I955" s="23"/>
      <c r="J955" s="23"/>
      <c r="K955" s="23"/>
      <c r="N955" s="23"/>
    </row>
    <row r="956" spans="2:14" ht="13" x14ac:dyDescent="0.15">
      <c r="B956" s="22"/>
      <c r="C956" s="23"/>
      <c r="G956" s="24"/>
      <c r="H956" s="25"/>
      <c r="I956" s="23"/>
      <c r="J956" s="23"/>
      <c r="K956" s="23"/>
      <c r="N956" s="23"/>
    </row>
    <row r="957" spans="2:14" ht="13" x14ac:dyDescent="0.15">
      <c r="B957" s="22"/>
      <c r="C957" s="23"/>
      <c r="G957" s="24"/>
      <c r="H957" s="25"/>
      <c r="I957" s="23"/>
      <c r="J957" s="23"/>
      <c r="K957" s="23"/>
      <c r="N957" s="23"/>
    </row>
    <row r="958" spans="2:14" ht="13" x14ac:dyDescent="0.15">
      <c r="B958" s="22"/>
      <c r="C958" s="23"/>
      <c r="G958" s="24"/>
      <c r="H958" s="25"/>
      <c r="I958" s="23"/>
      <c r="J958" s="23"/>
      <c r="K958" s="23"/>
      <c r="N958" s="23"/>
    </row>
    <row r="959" spans="2:14" ht="13" x14ac:dyDescent="0.15">
      <c r="B959" s="22"/>
      <c r="C959" s="23"/>
      <c r="G959" s="24"/>
      <c r="H959" s="25"/>
      <c r="I959" s="23"/>
      <c r="J959" s="23"/>
      <c r="K959" s="23"/>
      <c r="N959" s="23"/>
    </row>
    <row r="960" spans="2:14" ht="13" x14ac:dyDescent="0.15">
      <c r="B960" s="22"/>
      <c r="C960" s="23"/>
      <c r="G960" s="24"/>
      <c r="H960" s="25"/>
      <c r="I960" s="23"/>
      <c r="J960" s="23"/>
      <c r="K960" s="23"/>
      <c r="N960" s="23"/>
    </row>
    <row r="961" spans="2:14" ht="13" x14ac:dyDescent="0.15">
      <c r="B961" s="22"/>
      <c r="C961" s="23"/>
      <c r="G961" s="24"/>
      <c r="H961" s="25"/>
      <c r="I961" s="23"/>
      <c r="J961" s="23"/>
      <c r="K961" s="23"/>
      <c r="N961" s="23"/>
    </row>
    <row r="962" spans="2:14" ht="13" x14ac:dyDescent="0.15">
      <c r="B962" s="22"/>
      <c r="C962" s="23"/>
      <c r="G962" s="24"/>
      <c r="H962" s="25"/>
      <c r="I962" s="23"/>
      <c r="J962" s="23"/>
      <c r="K962" s="23"/>
      <c r="N962" s="23"/>
    </row>
    <row r="963" spans="2:14" ht="13" x14ac:dyDescent="0.15">
      <c r="B963" s="22"/>
      <c r="C963" s="23"/>
      <c r="G963" s="24"/>
      <c r="H963" s="25"/>
      <c r="I963" s="23"/>
      <c r="J963" s="23"/>
      <c r="K963" s="23"/>
      <c r="N963" s="23"/>
    </row>
    <row r="964" spans="2:14" ht="13" x14ac:dyDescent="0.15">
      <c r="B964" s="22"/>
      <c r="C964" s="23"/>
      <c r="G964" s="24"/>
      <c r="H964" s="25"/>
      <c r="I964" s="23"/>
      <c r="J964" s="23"/>
      <c r="K964" s="23"/>
      <c r="N964" s="23"/>
    </row>
    <row r="965" spans="2:14" ht="13" x14ac:dyDescent="0.15">
      <c r="B965" s="22"/>
      <c r="C965" s="23"/>
      <c r="G965" s="24"/>
      <c r="H965" s="25"/>
      <c r="I965" s="23"/>
      <c r="J965" s="23"/>
      <c r="K965" s="23"/>
      <c r="N965" s="23"/>
    </row>
    <row r="966" spans="2:14" ht="13" x14ac:dyDescent="0.15">
      <c r="B966" s="22"/>
      <c r="C966" s="23"/>
      <c r="G966" s="24"/>
      <c r="H966" s="25"/>
      <c r="I966" s="23"/>
      <c r="J966" s="23"/>
      <c r="K966" s="23"/>
      <c r="N966" s="23"/>
    </row>
    <row r="967" spans="2:14" ht="13" x14ac:dyDescent="0.15">
      <c r="B967" s="22"/>
      <c r="C967" s="23"/>
      <c r="G967" s="24"/>
      <c r="H967" s="25"/>
      <c r="I967" s="23"/>
      <c r="J967" s="23"/>
      <c r="K967" s="23"/>
      <c r="N967" s="23"/>
    </row>
    <row r="968" spans="2:14" ht="13" x14ac:dyDescent="0.15">
      <c r="B968" s="22"/>
      <c r="C968" s="23"/>
      <c r="G968" s="24"/>
      <c r="H968" s="25"/>
      <c r="I968" s="23"/>
      <c r="J968" s="23"/>
      <c r="K968" s="23"/>
      <c r="N968" s="23"/>
    </row>
    <row r="969" spans="2:14" ht="13" x14ac:dyDescent="0.15">
      <c r="B969" s="22"/>
      <c r="C969" s="23"/>
      <c r="G969" s="24"/>
      <c r="H969" s="25"/>
      <c r="I969" s="23"/>
      <c r="J969" s="23"/>
      <c r="K969" s="23"/>
      <c r="N969" s="23"/>
    </row>
    <row r="970" spans="2:14" ht="13" x14ac:dyDescent="0.15">
      <c r="B970" s="22"/>
      <c r="C970" s="23"/>
      <c r="G970" s="24"/>
      <c r="H970" s="25"/>
      <c r="I970" s="23"/>
      <c r="J970" s="23"/>
      <c r="K970" s="23"/>
      <c r="N970" s="23"/>
    </row>
    <row r="971" spans="2:14" ht="13" x14ac:dyDescent="0.15">
      <c r="B971" s="22"/>
      <c r="C971" s="23"/>
      <c r="G971" s="24"/>
      <c r="H971" s="25"/>
      <c r="I971" s="23"/>
      <c r="J971" s="23"/>
      <c r="K971" s="23"/>
      <c r="N971" s="23"/>
    </row>
    <row r="972" spans="2:14" ht="13" x14ac:dyDescent="0.15">
      <c r="B972" s="22"/>
      <c r="C972" s="23"/>
      <c r="G972" s="24"/>
      <c r="H972" s="25"/>
      <c r="I972" s="23"/>
      <c r="J972" s="23"/>
      <c r="K972" s="23"/>
      <c r="N972" s="23"/>
    </row>
    <row r="973" spans="2:14" ht="13" x14ac:dyDescent="0.15">
      <c r="B973" s="22"/>
      <c r="C973" s="23"/>
      <c r="G973" s="24"/>
      <c r="H973" s="25"/>
      <c r="I973" s="23"/>
      <c r="J973" s="23"/>
      <c r="K973" s="23"/>
      <c r="N973" s="23"/>
    </row>
    <row r="974" spans="2:14" ht="13" x14ac:dyDescent="0.15">
      <c r="B974" s="22"/>
      <c r="C974" s="23"/>
      <c r="G974" s="24"/>
      <c r="H974" s="25"/>
      <c r="I974" s="23"/>
      <c r="J974" s="23"/>
      <c r="K974" s="23"/>
      <c r="N974" s="23"/>
    </row>
    <row r="975" spans="2:14" ht="13" x14ac:dyDescent="0.15">
      <c r="B975" s="22"/>
      <c r="C975" s="23"/>
      <c r="G975" s="24"/>
      <c r="H975" s="25"/>
      <c r="I975" s="23"/>
      <c r="J975" s="23"/>
      <c r="K975" s="23"/>
      <c r="N975" s="23"/>
    </row>
    <row r="976" spans="2:14" ht="13" x14ac:dyDescent="0.15">
      <c r="B976" s="22"/>
      <c r="C976" s="23"/>
      <c r="G976" s="24"/>
      <c r="H976" s="25"/>
      <c r="I976" s="23"/>
      <c r="J976" s="23"/>
      <c r="K976" s="23"/>
      <c r="N976" s="23"/>
    </row>
    <row r="977" spans="2:14" ht="13" x14ac:dyDescent="0.15">
      <c r="B977" s="22"/>
      <c r="C977" s="23"/>
      <c r="G977" s="24"/>
      <c r="H977" s="25"/>
      <c r="I977" s="23"/>
      <c r="J977" s="23"/>
      <c r="K977" s="23"/>
      <c r="N977" s="23"/>
    </row>
    <row r="978" spans="2:14" ht="13" x14ac:dyDescent="0.15">
      <c r="B978" s="22"/>
      <c r="C978" s="23"/>
      <c r="G978" s="24"/>
      <c r="H978" s="25"/>
      <c r="I978" s="23"/>
      <c r="J978" s="23"/>
      <c r="K978" s="23"/>
      <c r="N978" s="23"/>
    </row>
    <row r="979" spans="2:14" ht="13" x14ac:dyDescent="0.15">
      <c r="B979" s="22"/>
      <c r="C979" s="23"/>
      <c r="G979" s="24"/>
      <c r="H979" s="25"/>
      <c r="I979" s="23"/>
      <c r="J979" s="23"/>
      <c r="K979" s="23"/>
      <c r="N979" s="23"/>
    </row>
    <row r="980" spans="2:14" ht="13" x14ac:dyDescent="0.15">
      <c r="B980" s="22"/>
      <c r="C980" s="23"/>
      <c r="G980" s="24"/>
      <c r="H980" s="25"/>
      <c r="I980" s="23"/>
      <c r="J980" s="23"/>
      <c r="K980" s="23"/>
      <c r="N980" s="23"/>
    </row>
    <row r="981" spans="2:14" ht="13" x14ac:dyDescent="0.15">
      <c r="B981" s="22"/>
      <c r="C981" s="23"/>
      <c r="G981" s="24"/>
      <c r="H981" s="25"/>
      <c r="I981" s="23"/>
      <c r="J981" s="23"/>
      <c r="K981" s="23"/>
      <c r="N981" s="23"/>
    </row>
    <row r="982" spans="2:14" ht="13" x14ac:dyDescent="0.15">
      <c r="B982" s="22"/>
      <c r="C982" s="23"/>
      <c r="G982" s="24"/>
      <c r="H982" s="25"/>
      <c r="I982" s="23"/>
      <c r="J982" s="23"/>
      <c r="K982" s="23"/>
      <c r="N982" s="23"/>
    </row>
    <row r="983" spans="2:14" ht="13" x14ac:dyDescent="0.15">
      <c r="B983" s="22"/>
      <c r="C983" s="23"/>
      <c r="G983" s="24"/>
      <c r="H983" s="25"/>
      <c r="I983" s="23"/>
      <c r="J983" s="23"/>
      <c r="K983" s="23"/>
      <c r="N983" s="23"/>
    </row>
    <row r="984" spans="2:14" ht="13" x14ac:dyDescent="0.15">
      <c r="B984" s="22"/>
      <c r="C984" s="23"/>
      <c r="G984" s="24"/>
      <c r="H984" s="25"/>
      <c r="I984" s="23"/>
      <c r="J984" s="23"/>
      <c r="K984" s="23"/>
      <c r="N984" s="23"/>
    </row>
    <row r="985" spans="2:14" ht="13" x14ac:dyDescent="0.15">
      <c r="B985" s="22"/>
      <c r="C985" s="23"/>
      <c r="G985" s="24"/>
      <c r="H985" s="25"/>
      <c r="I985" s="23"/>
      <c r="J985" s="23"/>
      <c r="K985" s="23"/>
      <c r="N985" s="23"/>
    </row>
    <row r="986" spans="2:14" ht="13" x14ac:dyDescent="0.15">
      <c r="B986" s="22"/>
      <c r="C986" s="23"/>
      <c r="G986" s="24"/>
      <c r="H986" s="25"/>
      <c r="I986" s="23"/>
      <c r="J986" s="23"/>
      <c r="K986" s="23"/>
      <c r="N986" s="23"/>
    </row>
    <row r="987" spans="2:14" ht="13" x14ac:dyDescent="0.15">
      <c r="B987" s="22"/>
      <c r="C987" s="23"/>
      <c r="G987" s="24"/>
      <c r="H987" s="25"/>
      <c r="I987" s="23"/>
      <c r="J987" s="23"/>
      <c r="K987" s="23"/>
      <c r="N987" s="23"/>
    </row>
    <row r="988" spans="2:14" ht="13" x14ac:dyDescent="0.15">
      <c r="B988" s="22"/>
      <c r="C988" s="23"/>
      <c r="G988" s="24"/>
      <c r="H988" s="25"/>
      <c r="I988" s="23"/>
      <c r="J988" s="23"/>
      <c r="K988" s="23"/>
      <c r="N988" s="23"/>
    </row>
    <row r="989" spans="2:14" ht="13" x14ac:dyDescent="0.15">
      <c r="B989" s="22"/>
      <c r="C989" s="23"/>
      <c r="G989" s="24"/>
      <c r="H989" s="25"/>
      <c r="I989" s="23"/>
      <c r="J989" s="23"/>
      <c r="K989" s="23"/>
      <c r="N989" s="23"/>
    </row>
    <row r="990" spans="2:14" ht="13" x14ac:dyDescent="0.15">
      <c r="B990" s="22"/>
      <c r="C990" s="23"/>
      <c r="G990" s="24"/>
      <c r="H990" s="25"/>
      <c r="I990" s="23"/>
      <c r="J990" s="23"/>
      <c r="K990" s="23"/>
      <c r="N990" s="23"/>
    </row>
    <row r="991" spans="2:14" ht="13" x14ac:dyDescent="0.15">
      <c r="B991" s="22"/>
      <c r="C991" s="23"/>
      <c r="G991" s="24"/>
      <c r="H991" s="25"/>
      <c r="I991" s="23"/>
      <c r="J991" s="23"/>
      <c r="K991" s="23"/>
      <c r="N991" s="23"/>
    </row>
    <row r="992" spans="2:14" ht="13" x14ac:dyDescent="0.15">
      <c r="B992" s="22"/>
      <c r="C992" s="23"/>
      <c r="G992" s="24"/>
      <c r="H992" s="25"/>
      <c r="I992" s="23"/>
      <c r="J992" s="23"/>
      <c r="K992" s="23"/>
      <c r="N992" s="23"/>
    </row>
    <row r="993" spans="2:14" ht="13" x14ac:dyDescent="0.15">
      <c r="B993" s="22"/>
      <c r="C993" s="23"/>
      <c r="G993" s="24"/>
      <c r="H993" s="25"/>
      <c r="I993" s="23"/>
      <c r="J993" s="23"/>
      <c r="K993" s="23"/>
      <c r="N993" s="23"/>
    </row>
    <row r="994" spans="2:14" ht="13" x14ac:dyDescent="0.15">
      <c r="B994" s="22"/>
      <c r="C994" s="23"/>
      <c r="G994" s="24"/>
      <c r="H994" s="25"/>
      <c r="I994" s="23"/>
      <c r="J994" s="23"/>
      <c r="K994" s="23"/>
      <c r="N994" s="23"/>
    </row>
    <row r="995" spans="2:14" ht="13" x14ac:dyDescent="0.15">
      <c r="B995" s="22"/>
      <c r="C995" s="23"/>
      <c r="G995" s="24"/>
      <c r="H995" s="25"/>
      <c r="I995" s="23"/>
      <c r="J995" s="23"/>
      <c r="K995" s="23"/>
      <c r="N995" s="23"/>
    </row>
    <row r="996" spans="2:14" ht="13" x14ac:dyDescent="0.15">
      <c r="B996" s="22"/>
      <c r="C996" s="23"/>
      <c r="G996" s="24"/>
      <c r="H996" s="25"/>
      <c r="I996" s="23"/>
      <c r="J996" s="23"/>
      <c r="K996" s="23"/>
      <c r="N996" s="23"/>
    </row>
    <row r="997" spans="2:14" ht="13" x14ac:dyDescent="0.15">
      <c r="B997" s="22"/>
      <c r="C997" s="23"/>
      <c r="G997" s="24"/>
      <c r="H997" s="25"/>
      <c r="I997" s="23"/>
      <c r="J997" s="23"/>
      <c r="K997" s="23"/>
      <c r="N997" s="23"/>
    </row>
    <row r="998" spans="2:14" ht="13" x14ac:dyDescent="0.15">
      <c r="B998" s="22"/>
      <c r="C998" s="23"/>
      <c r="G998" s="24"/>
      <c r="H998" s="25"/>
      <c r="I998" s="23"/>
      <c r="K998" s="23"/>
      <c r="N998" s="23"/>
    </row>
  </sheetData>
  <autoFilter ref="H1:H998" xr:uid="{00000000-0009-0000-0000-000000000000}"/>
  <customSheetViews>
    <customSheetView guid="{B27989C2-E150-4617-8B2E-869924A0E35D}" filter="1" showAutoFilter="1">
      <pageMargins left="0.7" right="0.7" top="0.75" bottom="0.75" header="0.3" footer="0.3"/>
      <autoFilter ref="A1:O201" xr:uid="{2959FC31-A195-5648-B523-2044AE1AB1D4}">
        <filterColumn colId="2">
          <filters blank="1">
            <filter val="Hosteller"/>
          </filters>
        </filterColumn>
        <filterColumn colId="7">
          <filters blank="1">
            <filter val="VIII"/>
          </filters>
        </filterColumn>
      </autoFilter>
    </customSheetView>
    <customSheetView guid="{EF8C3C62-D00E-4FE2-BAEE-45D67026FC72}" filter="1" showAutoFilter="1">
      <pageMargins left="0.7" right="0.7" top="0.75" bottom="0.75" header="0.3" footer="0.3"/>
      <autoFilter ref="A1:O177" xr:uid="{6717D179-C943-704F-8588-2A37DB8CD0DF}"/>
    </customSheetView>
    <customSheetView guid="{FE09D98B-891A-424C-9085-70EDF31C78AB}" filter="1" showAutoFilter="1">
      <pageMargins left="0.7" right="0.7" top="0.75" bottom="0.75" header="0.3" footer="0.3"/>
      <autoFilter ref="A1:O201" xr:uid="{235ED858-D38D-9D40-B222-0DC52B66F3B9}"/>
    </customSheetView>
  </customSheetViews>
  <conditionalFormatting sqref="A1:AD1">
    <cfRule type="notContainsBlanks" dxfId="12" priority="2">
      <formula>LEN(TRIM(A1))&gt;0</formula>
    </cfRule>
  </conditionalFormatting>
  <conditionalFormatting sqref="C1:C998">
    <cfRule type="containsText" dxfId="11" priority="1" operator="containsText" text="hosteller">
      <formula>NOT(ISERROR(SEARCH(("hosteller"),(C1))))</formula>
    </cfRule>
  </conditionalFormatting>
  <dataValidations count="5">
    <dataValidation type="list" allowBlank="1" sqref="C2:C998" xr:uid="{00000000-0002-0000-0000-000000000000}">
      <formula1>"Day Scholar,Hosteller"</formula1>
    </dataValidation>
    <dataValidation type="list" allowBlank="1" sqref="H2:H998" xr:uid="{00000000-0002-0000-0000-000001000000}">
      <formula1>"NUR,LKG,UKG,I,II,III,IV,V,VI,VII,VIII"</formula1>
    </dataValidation>
    <dataValidation type="list" allowBlank="1" sqref="N2:N998" xr:uid="{00000000-0002-0000-0000-000002000000}">
      <formula1>"Male,Female"</formula1>
    </dataValidation>
    <dataValidation type="custom" allowBlank="1" showDropDown="1" showInputMessage="1" showErrorMessage="1" prompt="Enter 12 Digits only." sqref="I2:I119 I121:I184 I189:I998" xr:uid="{00000000-0002-0000-0000-000003000000}">
      <formula1>LEN(I2)=12</formula1>
    </dataValidation>
    <dataValidation type="custom" allowBlank="1" showDropDown="1" showInputMessage="1" showErrorMessage="1" prompt="Check the Mobile number again." sqref="J2:K184 J189:K997 K998" xr:uid="{00000000-0002-0000-0000-000004000000}">
      <formula1>LEN(J2)=10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  <pageSetUpPr fitToPage="1"/>
  </sheetPr>
  <dimension ref="A1:W1002"/>
  <sheetViews>
    <sheetView workbookViewId="0"/>
  </sheetViews>
  <sheetFormatPr baseColWidth="10" defaultColWidth="12.6640625" defaultRowHeight="15.75" customHeight="1" x14ac:dyDescent="0.15"/>
  <cols>
    <col min="1" max="1" width="14.33203125" customWidth="1"/>
    <col min="2" max="2" width="17.1640625" customWidth="1"/>
    <col min="3" max="3" width="17.6640625" customWidth="1"/>
    <col min="4" max="4" width="15.1640625" customWidth="1"/>
  </cols>
  <sheetData>
    <row r="1" spans="1:23" ht="15.75" customHeight="1" x14ac:dyDescent="0.15">
      <c r="A1" s="98" t="s">
        <v>548</v>
      </c>
      <c r="B1" s="99"/>
      <c r="C1" s="99"/>
      <c r="D1" s="53" t="s">
        <v>549</v>
      </c>
      <c r="E1" s="100" t="s">
        <v>550</v>
      </c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</row>
    <row r="2" spans="1:23" ht="15.75" customHeight="1" x14ac:dyDescent="0.15">
      <c r="A2" s="101">
        <f>COUNT(A4:A366)</f>
        <v>12</v>
      </c>
      <c r="B2" s="99"/>
      <c r="C2" s="99"/>
      <c r="D2" s="55">
        <f>SUM(E2:P2)</f>
        <v>39905</v>
      </c>
      <c r="E2" s="55">
        <f t="shared" ref="E2:P2" si="0">SUM(E4:E1002)</f>
        <v>0</v>
      </c>
      <c r="F2" s="55">
        <f t="shared" si="0"/>
        <v>0</v>
      </c>
      <c r="G2" s="55">
        <f t="shared" si="0"/>
        <v>0</v>
      </c>
      <c r="H2" s="55">
        <f t="shared" si="0"/>
        <v>9000</v>
      </c>
      <c r="I2" s="55">
        <f t="shared" si="0"/>
        <v>10800</v>
      </c>
      <c r="J2" s="55">
        <f t="shared" si="0"/>
        <v>8305</v>
      </c>
      <c r="K2" s="55">
        <f t="shared" si="0"/>
        <v>3800</v>
      </c>
      <c r="L2" s="55">
        <f t="shared" si="0"/>
        <v>2800</v>
      </c>
      <c r="M2" s="55">
        <f t="shared" si="0"/>
        <v>1800</v>
      </c>
      <c r="N2" s="55">
        <f t="shared" si="0"/>
        <v>1800</v>
      </c>
      <c r="O2" s="55">
        <f t="shared" si="0"/>
        <v>800</v>
      </c>
      <c r="P2" s="55">
        <f t="shared" si="0"/>
        <v>800</v>
      </c>
    </row>
    <row r="3" spans="1:23" ht="15.75" customHeight="1" x14ac:dyDescent="0.15">
      <c r="A3" s="56" t="s">
        <v>551</v>
      </c>
      <c r="B3" s="56" t="s">
        <v>3</v>
      </c>
      <c r="C3" s="56" t="s">
        <v>552</v>
      </c>
      <c r="D3" s="57" t="s">
        <v>553</v>
      </c>
      <c r="E3" s="56" t="s">
        <v>554</v>
      </c>
      <c r="F3" s="56" t="s">
        <v>555</v>
      </c>
      <c r="G3" s="56" t="s">
        <v>556</v>
      </c>
      <c r="H3" s="56" t="s">
        <v>557</v>
      </c>
      <c r="I3" s="56" t="s">
        <v>558</v>
      </c>
      <c r="J3" s="56" t="s">
        <v>559</v>
      </c>
      <c r="K3" s="56" t="s">
        <v>560</v>
      </c>
      <c r="L3" s="56" t="s">
        <v>561</v>
      </c>
      <c r="M3" s="56" t="s">
        <v>562</v>
      </c>
      <c r="N3" s="56" t="s">
        <v>563</v>
      </c>
      <c r="O3" s="56" t="s">
        <v>564</v>
      </c>
      <c r="P3" s="56" t="s">
        <v>565</v>
      </c>
      <c r="Q3" s="56"/>
      <c r="R3" s="56"/>
      <c r="S3" s="56"/>
      <c r="T3" s="56"/>
      <c r="U3" s="56"/>
      <c r="V3" s="56"/>
      <c r="W3" s="56"/>
    </row>
    <row r="4" spans="1:23" ht="15.75" customHeight="1" x14ac:dyDescent="0.15">
      <c r="A4" s="58">
        <v>9</v>
      </c>
      <c r="B4" s="59" t="str">
        <f>IFERROR(VLOOKUP($A4,Admission!$1:$998,4,0),"")</f>
        <v>NAGMA  TABASSUM</v>
      </c>
      <c r="C4" s="59" t="str">
        <f>IFERROR(VLOOKUP($A4,Admission!$1:$998,5,0),"")</f>
        <v>MOJIBUR RAHMAN</v>
      </c>
      <c r="D4" s="60">
        <v>1000</v>
      </c>
      <c r="E4" s="25">
        <v>0</v>
      </c>
      <c r="F4" s="25">
        <v>0</v>
      </c>
      <c r="G4" s="25">
        <v>0</v>
      </c>
      <c r="H4" s="25">
        <v>1000</v>
      </c>
      <c r="I4" s="25">
        <v>1000</v>
      </c>
      <c r="J4" s="25">
        <v>1000</v>
      </c>
      <c r="K4" s="25">
        <v>1000</v>
      </c>
      <c r="L4" s="25">
        <v>1000</v>
      </c>
      <c r="M4" s="25"/>
      <c r="N4" s="25"/>
      <c r="O4" s="25"/>
      <c r="P4" s="25"/>
    </row>
    <row r="5" spans="1:23" ht="15.75" customHeight="1" x14ac:dyDescent="0.15">
      <c r="A5" s="58">
        <v>25</v>
      </c>
      <c r="B5" s="59" t="str">
        <f>IFERROR(VLOOKUP($A5,Admission!$1:$998,4,0),"")</f>
        <v>AHRAR AHMAD</v>
      </c>
      <c r="C5" s="59" t="str">
        <f>IFERROR(VLOOKUP($A5,Admission!$1:$998,5,0),"")</f>
        <v>ABDUL HAKIM</v>
      </c>
      <c r="D5" s="60">
        <v>1000</v>
      </c>
      <c r="E5" s="25">
        <v>0</v>
      </c>
      <c r="F5" s="25">
        <v>0</v>
      </c>
      <c r="G5" s="25">
        <v>0</v>
      </c>
      <c r="H5" s="25">
        <v>1000</v>
      </c>
      <c r="I5" s="25">
        <v>1000</v>
      </c>
      <c r="J5" s="25"/>
      <c r="K5" s="25"/>
      <c r="L5" s="25"/>
      <c r="M5" s="25"/>
      <c r="N5" s="25"/>
      <c r="O5" s="25"/>
      <c r="P5" s="25"/>
    </row>
    <row r="6" spans="1:23" ht="15.75" customHeight="1" x14ac:dyDescent="0.15">
      <c r="A6" s="58">
        <v>24</v>
      </c>
      <c r="B6" s="59" t="str">
        <f>IFERROR(VLOOKUP($A6,Admission!$1:$998,4,0),"")</f>
        <v>AZIZA ASLAMI</v>
      </c>
      <c r="C6" s="59" t="str">
        <f>IFERROR(VLOOKUP($A6,Admission!$1:$998,5,0),"")</f>
        <v>ABDUL HAKIM</v>
      </c>
      <c r="D6" s="60">
        <v>1000</v>
      </c>
      <c r="E6" s="25">
        <v>0</v>
      </c>
      <c r="F6" s="25">
        <v>0</v>
      </c>
      <c r="G6" s="25">
        <v>0</v>
      </c>
      <c r="H6" s="25">
        <v>1000</v>
      </c>
      <c r="I6" s="25">
        <v>1000</v>
      </c>
      <c r="J6" s="25"/>
      <c r="K6" s="25"/>
      <c r="L6" s="25"/>
      <c r="M6" s="25"/>
      <c r="N6" s="25"/>
      <c r="O6" s="25"/>
      <c r="P6" s="25"/>
    </row>
    <row r="7" spans="1:23" ht="15.75" customHeight="1" x14ac:dyDescent="0.15">
      <c r="A7" s="58">
        <v>11</v>
      </c>
      <c r="B7" s="59" t="str">
        <f>IFERROR(VLOOKUP($A7,Admission!$1:$998,4,0),"")</f>
        <v>ABDUL QABEZ</v>
      </c>
      <c r="C7" s="59" t="str">
        <f>IFERROR(VLOOKUP($A7,Admission!$1:$998,5,0),"")</f>
        <v>ABDUL QAHAR</v>
      </c>
      <c r="D7" s="60">
        <v>1000</v>
      </c>
      <c r="E7" s="25">
        <v>0</v>
      </c>
      <c r="F7" s="25">
        <v>0</v>
      </c>
      <c r="G7" s="25">
        <v>0</v>
      </c>
      <c r="H7" s="25">
        <v>1000</v>
      </c>
      <c r="I7" s="25">
        <v>1000</v>
      </c>
      <c r="J7" s="25">
        <v>1000</v>
      </c>
      <c r="K7" s="25"/>
      <c r="L7" s="25"/>
      <c r="M7" s="25"/>
      <c r="N7" s="25"/>
      <c r="O7" s="25"/>
      <c r="P7" s="25"/>
    </row>
    <row r="8" spans="1:23" ht="15.75" customHeight="1" x14ac:dyDescent="0.15">
      <c r="A8" s="58">
        <v>18</v>
      </c>
      <c r="B8" s="59" t="str">
        <f>IFERROR(VLOOKUP($A8,Admission!$1:$998,4,0),"")</f>
        <v>MD ASIM</v>
      </c>
      <c r="C8" s="59" t="str">
        <f>IFERROR(VLOOKUP($A8,Admission!$1:$998,5,0),"")</f>
        <v>SAYEEDUR RAHMAN</v>
      </c>
      <c r="D8" s="60">
        <v>1000</v>
      </c>
      <c r="E8" s="25">
        <v>0</v>
      </c>
      <c r="F8" s="25">
        <v>0</v>
      </c>
      <c r="G8" s="25">
        <v>0</v>
      </c>
      <c r="H8" s="25">
        <v>1000</v>
      </c>
      <c r="I8" s="25">
        <v>1000</v>
      </c>
      <c r="J8" s="25">
        <v>1000</v>
      </c>
      <c r="K8" s="25">
        <v>1000</v>
      </c>
      <c r="L8" s="25">
        <v>1000</v>
      </c>
      <c r="M8" s="25">
        <v>1000</v>
      </c>
      <c r="N8" s="25">
        <v>1000</v>
      </c>
      <c r="O8" s="25"/>
      <c r="P8" s="25"/>
    </row>
    <row r="9" spans="1:23" ht="15.75" customHeight="1" x14ac:dyDescent="0.15">
      <c r="A9" s="58">
        <v>35</v>
      </c>
      <c r="B9" s="59" t="str">
        <f>IFERROR(VLOOKUP($A9,Admission!$1:$998,4,0),"")</f>
        <v>ADIL JAMIL</v>
      </c>
      <c r="C9" s="59" t="str">
        <f>IFERROR(VLOOKUP($A9,Admission!$1:$998,5,0),"")</f>
        <v>MD.SAGIRUZZAMAN</v>
      </c>
      <c r="D9" s="60">
        <v>1000</v>
      </c>
      <c r="E9" s="25">
        <v>0</v>
      </c>
      <c r="F9" s="25">
        <v>0</v>
      </c>
      <c r="G9" s="25">
        <v>0</v>
      </c>
      <c r="H9" s="25">
        <v>1000</v>
      </c>
      <c r="I9" s="25">
        <v>1000</v>
      </c>
      <c r="J9" s="25">
        <v>1000</v>
      </c>
      <c r="K9" s="25"/>
      <c r="L9" s="25"/>
      <c r="M9" s="25"/>
      <c r="N9" s="25"/>
      <c r="O9" s="25"/>
      <c r="P9" s="25"/>
    </row>
    <row r="10" spans="1:23" ht="15.75" customHeight="1" x14ac:dyDescent="0.15">
      <c r="A10" s="58">
        <v>102</v>
      </c>
      <c r="B10" s="59" t="str">
        <f>IFERROR(VLOOKUP($A10,Admission!$1:$998,4,0),"")</f>
        <v>ABYAZ ALAM</v>
      </c>
      <c r="C10" s="59" t="str">
        <f>IFERROR(VLOOKUP($A10,Admission!$1:$998,5,0),"")</f>
        <v>MD MULEUDDIN</v>
      </c>
      <c r="D10" s="60">
        <v>800</v>
      </c>
      <c r="E10" s="25">
        <v>0</v>
      </c>
      <c r="F10" s="25">
        <v>0</v>
      </c>
      <c r="G10" s="25">
        <v>0</v>
      </c>
      <c r="H10" s="25">
        <v>0</v>
      </c>
      <c r="I10" s="25">
        <v>800</v>
      </c>
      <c r="J10" s="25">
        <v>800</v>
      </c>
      <c r="K10" s="25">
        <v>800</v>
      </c>
      <c r="L10" s="25">
        <v>800</v>
      </c>
      <c r="M10" s="25">
        <v>800</v>
      </c>
      <c r="N10" s="25">
        <v>800</v>
      </c>
      <c r="O10" s="25">
        <v>800</v>
      </c>
      <c r="P10" s="25">
        <v>800</v>
      </c>
    </row>
    <row r="11" spans="1:23" ht="15.75" customHeight="1" x14ac:dyDescent="0.15">
      <c r="A11" s="58">
        <v>122</v>
      </c>
      <c r="B11" s="59" t="str">
        <f>IFERROR(VLOOKUP($A11,Admission!$1:$998,4,0),"")</f>
        <v>RIFFAT PARWEEN</v>
      </c>
      <c r="C11" s="59" t="str">
        <f>IFERROR(VLOOKUP($A11,Admission!$1:$998,5,0),"")</f>
        <v>MUNIRUZZAMAN</v>
      </c>
      <c r="D11" s="61">
        <v>1000</v>
      </c>
      <c r="E11" s="25">
        <v>0</v>
      </c>
      <c r="F11" s="25">
        <v>0</v>
      </c>
      <c r="G11" s="25">
        <v>0</v>
      </c>
      <c r="H11" s="25">
        <v>0</v>
      </c>
      <c r="I11" s="25">
        <v>1000</v>
      </c>
      <c r="J11" s="25">
        <v>1000</v>
      </c>
      <c r="K11" s="25"/>
      <c r="L11" s="25"/>
      <c r="M11" s="25"/>
      <c r="N11" s="25"/>
      <c r="O11" s="25"/>
      <c r="P11" s="25"/>
    </row>
    <row r="12" spans="1:23" ht="15.75" customHeight="1" x14ac:dyDescent="0.15">
      <c r="A12" s="58">
        <v>157</v>
      </c>
      <c r="B12" s="59" t="str">
        <f>IFERROR(VLOOKUP($A12,Admission!$1:$998,4,0),"")</f>
        <v>ARHAM ASAD</v>
      </c>
      <c r="C12" s="59" t="str">
        <f>IFERROR(VLOOKUP($A12,Admission!$1:$998,5,0),"")</f>
        <v>ASADULLAH</v>
      </c>
      <c r="D12" s="61">
        <v>1000</v>
      </c>
      <c r="E12" s="25">
        <v>0</v>
      </c>
      <c r="F12" s="25">
        <v>0</v>
      </c>
      <c r="G12" s="25">
        <v>0</v>
      </c>
      <c r="H12" s="25">
        <v>1000</v>
      </c>
      <c r="I12" s="25">
        <v>1000</v>
      </c>
      <c r="J12" s="25">
        <v>505</v>
      </c>
      <c r="K12" s="25"/>
      <c r="L12" s="25"/>
      <c r="M12" s="25"/>
      <c r="N12" s="25"/>
      <c r="O12" s="25"/>
      <c r="P12" s="25"/>
    </row>
    <row r="13" spans="1:23" ht="15.75" customHeight="1" x14ac:dyDescent="0.15">
      <c r="A13" s="58">
        <v>161</v>
      </c>
      <c r="B13" s="59" t="str">
        <f>IFERROR(VLOOKUP($A13,Admission!$1:$998,4,0),"")</f>
        <v>ASIYA PARVEEN</v>
      </c>
      <c r="C13" s="59" t="str">
        <f>IFERROR(VLOOKUP($A13,Admission!$1:$998,5,0),"")</f>
        <v>MOJIBUR RAHMAN</v>
      </c>
      <c r="D13" s="61">
        <v>1000</v>
      </c>
      <c r="E13" s="25">
        <v>0</v>
      </c>
      <c r="F13" s="25">
        <v>0</v>
      </c>
      <c r="G13" s="25">
        <v>0</v>
      </c>
      <c r="H13" s="25">
        <v>1000</v>
      </c>
      <c r="I13" s="25">
        <v>1000</v>
      </c>
      <c r="J13" s="25"/>
      <c r="K13" s="25"/>
      <c r="L13" s="25"/>
      <c r="M13" s="25"/>
      <c r="N13" s="25"/>
      <c r="O13" s="25"/>
      <c r="P13" s="25"/>
    </row>
    <row r="14" spans="1:23" ht="15.75" customHeight="1" x14ac:dyDescent="0.15">
      <c r="A14" s="58">
        <v>58</v>
      </c>
      <c r="B14" s="59" t="str">
        <f>IFERROR(VLOOKUP($A14,Admission!$1:$998,4,0),"")</f>
        <v>ATIF SAMSH</v>
      </c>
      <c r="C14" s="59" t="str">
        <f>IFERROR(VLOOKUP($A14,Admission!$1:$998,5,0),"")</f>
        <v>MD SAMSUL HAQUE</v>
      </c>
      <c r="D14" s="61">
        <v>1000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1000</v>
      </c>
      <c r="K14" s="25"/>
      <c r="L14" s="25"/>
      <c r="M14" s="25"/>
      <c r="N14" s="25"/>
      <c r="O14" s="25"/>
      <c r="P14" s="25"/>
    </row>
    <row r="15" spans="1:23" ht="15.75" customHeight="1" x14ac:dyDescent="0.15">
      <c r="A15" s="58">
        <v>171</v>
      </c>
      <c r="B15" s="59" t="str">
        <f>IFERROR(VLOOKUP($A15,Admission!$1:$998,4,0),"")</f>
        <v>MEHNAZ AKHTAR</v>
      </c>
      <c r="C15" s="59" t="str">
        <f>IFERROR(VLOOKUP($A15,Admission!$1:$998,5,0),"")</f>
        <v>SHAMIM AKHTAR</v>
      </c>
      <c r="D15" s="61">
        <v>1000</v>
      </c>
      <c r="E15" s="25">
        <v>0</v>
      </c>
      <c r="F15" s="25">
        <v>0</v>
      </c>
      <c r="G15" s="25">
        <v>0</v>
      </c>
      <c r="H15" s="25">
        <v>1000</v>
      </c>
      <c r="I15" s="25">
        <v>1000</v>
      </c>
      <c r="J15" s="25">
        <v>1000</v>
      </c>
      <c r="K15" s="25">
        <v>1000</v>
      </c>
      <c r="L15" s="25"/>
      <c r="M15" s="25"/>
      <c r="N15" s="25"/>
      <c r="O15" s="25"/>
      <c r="P15" s="25"/>
    </row>
    <row r="16" spans="1:23" ht="15.75" customHeight="1" x14ac:dyDescent="0.15">
      <c r="A16" s="58"/>
      <c r="B16" s="59" t="str">
        <f>IFERROR(VLOOKUP($A16,Admission!$1:$998,4,0),"")</f>
        <v/>
      </c>
      <c r="C16" s="59" t="str">
        <f>IFERROR(VLOOKUP($A16,Admission!$1:$998,5,0),"")</f>
        <v/>
      </c>
      <c r="D16" s="61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 ht="15.75" customHeight="1" x14ac:dyDescent="0.15">
      <c r="A17" s="58"/>
      <c r="B17" s="59" t="str">
        <f>IFERROR(VLOOKUP($A17,Admission!$1:$998,4,0),"")</f>
        <v/>
      </c>
      <c r="C17" s="59" t="str">
        <f>IFERROR(VLOOKUP($A17,Admission!$1:$998,5,0),"")</f>
        <v/>
      </c>
      <c r="D17" s="61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 ht="15.75" customHeight="1" x14ac:dyDescent="0.15">
      <c r="A18" s="58"/>
      <c r="B18" s="59" t="str">
        <f>IFERROR(VLOOKUP($A18,Admission!$1:$998,4,0),"")</f>
        <v/>
      </c>
      <c r="C18" s="59" t="str">
        <f>IFERROR(VLOOKUP($A18,Admission!$1:$998,5,0),"")</f>
        <v/>
      </c>
      <c r="D18" s="61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.75" customHeight="1" x14ac:dyDescent="0.15">
      <c r="A19" s="58"/>
      <c r="B19" s="59" t="str">
        <f>IFERROR(VLOOKUP($A19,Admission!$1:$998,4,0),"")</f>
        <v/>
      </c>
      <c r="C19" s="59" t="str">
        <f>IFERROR(VLOOKUP($A19,Admission!$1:$998,5,0),"")</f>
        <v/>
      </c>
      <c r="D19" s="61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spans="1:16" ht="15.75" customHeight="1" x14ac:dyDescent="0.15">
      <c r="A20" s="58"/>
      <c r="B20" s="59" t="str">
        <f>IFERROR(VLOOKUP($A20,Admission!$1:$998,4,0),"")</f>
        <v/>
      </c>
      <c r="C20" s="59" t="str">
        <f>IFERROR(VLOOKUP($A20,Admission!$1:$998,5,0),"")</f>
        <v/>
      </c>
      <c r="D20" s="61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 ht="15.75" customHeight="1" x14ac:dyDescent="0.15">
      <c r="A21" s="58"/>
      <c r="B21" s="59" t="str">
        <f>IFERROR(VLOOKUP($A21,Admission!$1:$998,4,0),"")</f>
        <v/>
      </c>
      <c r="C21" s="59" t="str">
        <f>IFERROR(VLOOKUP($A21,Admission!$1:$998,5,0),"")</f>
        <v/>
      </c>
      <c r="D21" s="61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 ht="15.75" customHeight="1" x14ac:dyDescent="0.15">
      <c r="A22" s="58"/>
      <c r="B22" s="59" t="str">
        <f>IFERROR(VLOOKUP($A22,Admission!$1:$998,4,0),"")</f>
        <v/>
      </c>
      <c r="C22" s="59" t="str">
        <f>IFERROR(VLOOKUP($A22,Admission!$1:$998,5,0),"")</f>
        <v/>
      </c>
      <c r="D22" s="61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.75" customHeight="1" x14ac:dyDescent="0.15">
      <c r="A23" s="58"/>
      <c r="B23" s="59" t="str">
        <f>IFERROR(VLOOKUP($A23,Admission!$1:$998,4,0),"")</f>
        <v/>
      </c>
      <c r="C23" s="59" t="str">
        <f>IFERROR(VLOOKUP($A23,Admission!$1:$998,5,0),"")</f>
        <v/>
      </c>
      <c r="D23" s="61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1:16" ht="15.75" customHeight="1" x14ac:dyDescent="0.15">
      <c r="A24" s="58"/>
      <c r="B24" s="59" t="str">
        <f>IFERROR(VLOOKUP($A24,Admission!$1:$998,4,0),"")</f>
        <v/>
      </c>
      <c r="C24" s="59" t="str">
        <f>IFERROR(VLOOKUP($A24,Admission!$1:$998,5,0),"")</f>
        <v/>
      </c>
      <c r="D24" s="61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 ht="15.75" customHeight="1" x14ac:dyDescent="0.15">
      <c r="A25" s="58"/>
      <c r="B25" s="59" t="str">
        <f>IFERROR(VLOOKUP($A25,Admission!$1:$998,4,0),"")</f>
        <v/>
      </c>
      <c r="C25" s="59" t="str">
        <f>IFERROR(VLOOKUP($A25,Admission!$1:$998,5,0),"")</f>
        <v/>
      </c>
      <c r="D25" s="61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 ht="15.75" customHeight="1" x14ac:dyDescent="0.15">
      <c r="A26" s="58"/>
      <c r="B26" s="59" t="str">
        <f>IFERROR(VLOOKUP($A26,Admission!$1:$998,4,0),"")</f>
        <v/>
      </c>
      <c r="C26" s="59" t="str">
        <f>IFERROR(VLOOKUP($A26,Admission!$1:$998,5,0),"")</f>
        <v/>
      </c>
      <c r="D26" s="61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 t="s">
        <v>566</v>
      </c>
      <c r="P26" s="25"/>
    </row>
    <row r="27" spans="1:16" ht="15.75" customHeight="1" x14ac:dyDescent="0.15">
      <c r="A27" s="58"/>
      <c r="B27" s="59" t="str">
        <f>IFERROR(VLOOKUP($A27,Admission!$1:$998,4,0),"")</f>
        <v/>
      </c>
      <c r="C27" s="59" t="str">
        <f>IFERROR(VLOOKUP($A27,Admission!$1:$998,5,0),"")</f>
        <v/>
      </c>
      <c r="D27" s="61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 ht="15.75" customHeight="1" x14ac:dyDescent="0.15">
      <c r="A28" s="58"/>
      <c r="B28" s="59" t="str">
        <f>IFERROR(VLOOKUP($A28,Admission!$1:$998,4,0),"")</f>
        <v/>
      </c>
      <c r="C28" s="59" t="str">
        <f>IFERROR(VLOOKUP($A28,Admission!$1:$998,5,0),"")</f>
        <v/>
      </c>
      <c r="D28" s="61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 ht="15.75" customHeight="1" x14ac:dyDescent="0.15">
      <c r="A29" s="58"/>
      <c r="B29" s="59" t="str">
        <f>IFERROR(VLOOKUP($A29,Admission!$1:$998,4,0),"")</f>
        <v/>
      </c>
      <c r="C29" s="59" t="str">
        <f>IFERROR(VLOOKUP($A29,Admission!$1:$998,5,0),"")</f>
        <v/>
      </c>
      <c r="D29" s="61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6" ht="15.75" customHeight="1" x14ac:dyDescent="0.15">
      <c r="A30" s="58"/>
      <c r="B30" s="59" t="str">
        <f>IFERROR(VLOOKUP($A30,Admission!$1:$998,4,0),"")</f>
        <v/>
      </c>
      <c r="C30" s="59" t="str">
        <f>IFERROR(VLOOKUP($A30,Admission!$1:$998,5,0),"")</f>
        <v/>
      </c>
      <c r="D30" s="61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 ht="15.75" customHeight="1" x14ac:dyDescent="0.15">
      <c r="A31" s="58"/>
      <c r="B31" s="59" t="str">
        <f>IFERROR(VLOOKUP($A31,Admission!$1:$998,4,0),"")</f>
        <v/>
      </c>
      <c r="C31" s="59" t="str">
        <f>IFERROR(VLOOKUP($A31,Admission!$1:$998,5,0),"")</f>
        <v/>
      </c>
      <c r="D31" s="61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spans="1:16" ht="15.75" customHeight="1" x14ac:dyDescent="0.15">
      <c r="A32" s="58"/>
      <c r="B32" s="59" t="str">
        <f>IFERROR(VLOOKUP($A32,Admission!$1:$998,4,0),"")</f>
        <v/>
      </c>
      <c r="C32" s="59" t="str">
        <f>IFERROR(VLOOKUP($A32,Admission!$1:$998,5,0),"")</f>
        <v/>
      </c>
      <c r="D32" s="61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1:16" ht="15.75" customHeight="1" x14ac:dyDescent="0.15">
      <c r="A33" s="58"/>
      <c r="B33" s="59" t="str">
        <f>IFERROR(VLOOKUP($A33,Admission!$1:$998,4,0),"")</f>
        <v/>
      </c>
      <c r="C33" s="59" t="str">
        <f>IFERROR(VLOOKUP($A33,Admission!$1:$998,5,0),"")</f>
        <v/>
      </c>
      <c r="D33" s="61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 ht="15.75" customHeight="1" x14ac:dyDescent="0.15">
      <c r="A34" s="58"/>
      <c r="B34" s="59" t="str">
        <f>IFERROR(VLOOKUP($A34,Admission!$1:$998,4,0),"")</f>
        <v/>
      </c>
      <c r="C34" s="59" t="str">
        <f>IFERROR(VLOOKUP($A34,Admission!$1:$998,5,0),"")</f>
        <v/>
      </c>
      <c r="D34" s="61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1:16" ht="15.75" customHeight="1" x14ac:dyDescent="0.15">
      <c r="A35" s="58"/>
      <c r="B35" s="59" t="str">
        <f>IFERROR(VLOOKUP($A35,Admission!$1:$998,4,0),"")</f>
        <v/>
      </c>
      <c r="C35" s="59" t="str">
        <f>IFERROR(VLOOKUP($A35,Admission!$1:$998,5,0),"")</f>
        <v/>
      </c>
      <c r="D35" s="61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1:16" ht="15.75" customHeight="1" x14ac:dyDescent="0.15">
      <c r="A36" s="58"/>
      <c r="B36" s="59" t="str">
        <f>IFERROR(VLOOKUP($A36,Admission!$1:$998,4,0),"")</f>
        <v/>
      </c>
      <c r="C36" s="59" t="str">
        <f>IFERROR(VLOOKUP($A36,Admission!$1:$998,5,0),"")</f>
        <v/>
      </c>
      <c r="D36" s="61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1:16" ht="15.75" customHeight="1" x14ac:dyDescent="0.15">
      <c r="A37" s="58"/>
      <c r="B37" s="59" t="str">
        <f>IFERROR(VLOOKUP($A37,Admission!$1:$998,4,0),"")</f>
        <v/>
      </c>
      <c r="C37" s="59" t="str">
        <f>IFERROR(VLOOKUP($A37,Admission!$1:$998,5,0),"")</f>
        <v/>
      </c>
      <c r="D37" s="61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spans="1:16" ht="15.75" customHeight="1" x14ac:dyDescent="0.15">
      <c r="A38" s="58"/>
      <c r="B38" s="59" t="str">
        <f>IFERROR(VLOOKUP($A38,Admission!$1:$998,4,0),"")</f>
        <v/>
      </c>
      <c r="C38" s="59" t="str">
        <f>IFERROR(VLOOKUP($A38,Admission!$1:$998,5,0),"")</f>
        <v/>
      </c>
      <c r="D38" s="61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1:16" ht="15.75" customHeight="1" x14ac:dyDescent="0.15">
      <c r="A39" s="58"/>
      <c r="B39" s="59" t="str">
        <f>IFERROR(VLOOKUP($A39,Admission!$1:$998,4,0),"")</f>
        <v/>
      </c>
      <c r="C39" s="59" t="str">
        <f>IFERROR(VLOOKUP($A39,Admission!$1:$998,5,0),"")</f>
        <v/>
      </c>
      <c r="D39" s="61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1:16" ht="15.75" customHeight="1" x14ac:dyDescent="0.15">
      <c r="A40" s="58"/>
      <c r="B40" s="59" t="str">
        <f>IFERROR(VLOOKUP($A40,Admission!$1:$998,4,0),"")</f>
        <v/>
      </c>
      <c r="C40" s="59" t="str">
        <f>IFERROR(VLOOKUP($A40,Admission!$1:$998,5,0),"")</f>
        <v/>
      </c>
      <c r="D40" s="61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ht="15.75" customHeight="1" x14ac:dyDescent="0.15">
      <c r="A41" s="58"/>
      <c r="B41" s="59" t="str">
        <f>IFERROR(VLOOKUP($A41,Admission!$1:$998,4,0),"")</f>
        <v/>
      </c>
      <c r="C41" s="59" t="str">
        <f>IFERROR(VLOOKUP($A41,Admission!$1:$998,5,0),"")</f>
        <v/>
      </c>
      <c r="D41" s="61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spans="1:16" ht="15.75" customHeight="1" x14ac:dyDescent="0.15">
      <c r="A42" s="58"/>
      <c r="B42" s="59" t="str">
        <f>IFERROR(VLOOKUP($A42,Admission!$1:$998,4,0),"")</f>
        <v/>
      </c>
      <c r="C42" s="59" t="str">
        <f>IFERROR(VLOOKUP($A42,Admission!$1:$998,5,0),"")</f>
        <v/>
      </c>
      <c r="D42" s="61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1:16" ht="15.75" customHeight="1" x14ac:dyDescent="0.15">
      <c r="A43" s="58"/>
      <c r="B43" s="59" t="str">
        <f>IFERROR(VLOOKUP($A43,Admission!$1:$998,4,0),"")</f>
        <v/>
      </c>
      <c r="C43" s="59" t="str">
        <f>IFERROR(VLOOKUP($A43,Admission!$1:$998,5,0),"")</f>
        <v/>
      </c>
      <c r="D43" s="61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1:16" ht="15.75" customHeight="1" x14ac:dyDescent="0.15">
      <c r="A44" s="58"/>
      <c r="B44" s="59" t="str">
        <f>IFERROR(VLOOKUP($A44,Admission!$1:$998,4,0),"")</f>
        <v/>
      </c>
      <c r="C44" s="59" t="str">
        <f>IFERROR(VLOOKUP($A44,Admission!$1:$998,5,0),"")</f>
        <v/>
      </c>
      <c r="D44" s="61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1:16" ht="15.75" customHeight="1" x14ac:dyDescent="0.15">
      <c r="A45" s="58"/>
      <c r="B45" s="59" t="str">
        <f>IFERROR(VLOOKUP($A45,Admission!$1:$998,4,0),"")</f>
        <v/>
      </c>
      <c r="C45" s="59" t="str">
        <f>IFERROR(VLOOKUP($A45,Admission!$1:$998,5,0),"")</f>
        <v/>
      </c>
      <c r="D45" s="61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ht="15.75" customHeight="1" x14ac:dyDescent="0.15">
      <c r="A46" s="58"/>
      <c r="B46" s="59" t="str">
        <f>IFERROR(VLOOKUP($A46,Admission!$1:$998,4,0),"")</f>
        <v/>
      </c>
      <c r="C46" s="59" t="str">
        <f>IFERROR(VLOOKUP($A46,Admission!$1:$998,5,0),"")</f>
        <v/>
      </c>
      <c r="D46" s="61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</row>
    <row r="47" spans="1:16" ht="15.75" customHeight="1" x14ac:dyDescent="0.15">
      <c r="A47" s="58"/>
      <c r="B47" s="59" t="str">
        <f>IFERROR(VLOOKUP($A47,Admission!$1:$998,4,0),"")</f>
        <v/>
      </c>
      <c r="C47" s="59" t="str">
        <f>IFERROR(VLOOKUP($A47,Admission!$1:$998,5,0),"")</f>
        <v/>
      </c>
      <c r="D47" s="61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spans="1:16" ht="15.75" customHeight="1" x14ac:dyDescent="0.15">
      <c r="A48" s="58"/>
      <c r="B48" s="59" t="str">
        <f>IFERROR(VLOOKUP($A48,Admission!$1:$998,4,0),"")</f>
        <v/>
      </c>
      <c r="C48" s="59" t="str">
        <f>IFERROR(VLOOKUP($A48,Admission!$1:$998,5,0),"")</f>
        <v/>
      </c>
      <c r="D48" s="61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</row>
    <row r="49" spans="1:16" ht="15.75" customHeight="1" x14ac:dyDescent="0.15">
      <c r="A49" s="58"/>
      <c r="B49" s="59" t="str">
        <f>IFERROR(VLOOKUP($A49,Admission!$1:$998,4,0),"")</f>
        <v/>
      </c>
      <c r="C49" s="59" t="str">
        <f>IFERROR(VLOOKUP($A49,Admission!$1:$998,5,0),"")</f>
        <v/>
      </c>
      <c r="D49" s="61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50" spans="1:16" ht="15.75" customHeight="1" x14ac:dyDescent="0.15">
      <c r="A50" s="58"/>
      <c r="B50" s="59" t="str">
        <f>IFERROR(VLOOKUP($A50,Admission!$1:$998,4,0),"")</f>
        <v/>
      </c>
      <c r="C50" s="59" t="str">
        <f>IFERROR(VLOOKUP($A50,Admission!$1:$998,5,0),"")</f>
        <v/>
      </c>
      <c r="D50" s="61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 spans="1:16" ht="15.75" customHeight="1" x14ac:dyDescent="0.15">
      <c r="A51" s="58"/>
      <c r="B51" s="59" t="str">
        <f>IFERROR(VLOOKUP($A51,Admission!$1:$998,4,0),"")</f>
        <v/>
      </c>
      <c r="C51" s="59" t="str">
        <f>IFERROR(VLOOKUP($A51,Admission!$1:$998,5,0),"")</f>
        <v/>
      </c>
      <c r="D51" s="61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ht="15.75" customHeight="1" x14ac:dyDescent="0.15">
      <c r="A52" s="58"/>
      <c r="B52" s="59" t="str">
        <f>IFERROR(VLOOKUP($A52,Admission!$1:$998,4,0),"")</f>
        <v/>
      </c>
      <c r="C52" s="59" t="str">
        <f>IFERROR(VLOOKUP($A52,Admission!$1:$998,5,0),"")</f>
        <v/>
      </c>
      <c r="D52" s="61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</row>
    <row r="53" spans="1:16" ht="15.75" customHeight="1" x14ac:dyDescent="0.15">
      <c r="A53" s="58"/>
      <c r="B53" s="59" t="str">
        <f>IFERROR(VLOOKUP($A53,Admission!$1:$998,4,0),"")</f>
        <v/>
      </c>
      <c r="C53" s="59" t="str">
        <f>IFERROR(VLOOKUP($A53,Admission!$1:$998,5,0),"")</f>
        <v/>
      </c>
      <c r="D53" s="61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 spans="1:16" ht="15.75" customHeight="1" x14ac:dyDescent="0.15">
      <c r="A54" s="58"/>
      <c r="B54" s="59" t="str">
        <f>IFERROR(VLOOKUP($A54,Admission!$1:$998,4,0),"")</f>
        <v/>
      </c>
      <c r="C54" s="59" t="str">
        <f>IFERROR(VLOOKUP($A54,Admission!$1:$998,5,0),"")</f>
        <v/>
      </c>
      <c r="D54" s="61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 ht="15.75" customHeight="1" x14ac:dyDescent="0.15">
      <c r="A55" s="58"/>
      <c r="B55" s="59" t="str">
        <f>IFERROR(VLOOKUP($A55,Admission!$1:$998,4,0),"")</f>
        <v/>
      </c>
      <c r="C55" s="59" t="str">
        <f>IFERROR(VLOOKUP($A55,Admission!$1:$998,5,0),"")</f>
        <v/>
      </c>
      <c r="D55" s="61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</row>
    <row r="56" spans="1:16" ht="15.75" customHeight="1" x14ac:dyDescent="0.15">
      <c r="A56" s="58"/>
      <c r="B56" s="59" t="str">
        <f>IFERROR(VLOOKUP($A56,Admission!$1:$998,4,0),"")</f>
        <v/>
      </c>
      <c r="C56" s="59" t="str">
        <f>IFERROR(VLOOKUP($A56,Admission!$1:$998,5,0),"")</f>
        <v/>
      </c>
      <c r="D56" s="61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1:16" ht="15.75" customHeight="1" x14ac:dyDescent="0.15">
      <c r="A57" s="58"/>
      <c r="B57" s="59" t="str">
        <f>IFERROR(VLOOKUP($A57,Admission!$1:$998,4,0),"")</f>
        <v/>
      </c>
      <c r="C57" s="59" t="str">
        <f>IFERROR(VLOOKUP($A57,Admission!$1:$998,5,0),"")</f>
        <v/>
      </c>
      <c r="D57" s="61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6" ht="15.75" customHeight="1" x14ac:dyDescent="0.15">
      <c r="A58" s="58"/>
      <c r="B58" s="59" t="str">
        <f>IFERROR(VLOOKUP($A58,Admission!$1:$998,4,0),"")</f>
        <v/>
      </c>
      <c r="C58" s="59" t="str">
        <f>IFERROR(VLOOKUP($A58,Admission!$1:$998,5,0),"")</f>
        <v/>
      </c>
      <c r="D58" s="61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6" ht="15.75" customHeight="1" x14ac:dyDescent="0.15">
      <c r="A59" s="58"/>
      <c r="B59" s="59" t="str">
        <f>IFERROR(VLOOKUP($A59,Admission!$1:$998,4,0),"")</f>
        <v/>
      </c>
      <c r="C59" s="59" t="str">
        <f>IFERROR(VLOOKUP($A59,Admission!$1:$998,5,0),"")</f>
        <v/>
      </c>
      <c r="D59" s="61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 spans="1:16" ht="15.75" customHeight="1" x14ac:dyDescent="0.15">
      <c r="A60" s="58"/>
      <c r="B60" s="59" t="str">
        <f>IFERROR(VLOOKUP($A60,Admission!$1:$998,4,0),"")</f>
        <v/>
      </c>
      <c r="C60" s="59" t="str">
        <f>IFERROR(VLOOKUP($A60,Admission!$1:$998,5,0),"")</f>
        <v/>
      </c>
      <c r="D60" s="61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 spans="1:16" ht="15.75" customHeight="1" x14ac:dyDescent="0.15">
      <c r="A61" s="58"/>
      <c r="B61" s="59" t="str">
        <f>IFERROR(VLOOKUP($A61,Admission!$1:$998,4,0),"")</f>
        <v/>
      </c>
      <c r="C61" s="59" t="str">
        <f>IFERROR(VLOOKUP($A61,Admission!$1:$998,5,0),"")</f>
        <v/>
      </c>
      <c r="D61" s="61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spans="1:16" ht="15.75" customHeight="1" x14ac:dyDescent="0.15">
      <c r="A62" s="58"/>
      <c r="B62" s="59" t="str">
        <f>IFERROR(VLOOKUP($A62,Admission!$1:$998,4,0),"")</f>
        <v/>
      </c>
      <c r="C62" s="59" t="str">
        <f>IFERROR(VLOOKUP($A62,Admission!$1:$998,5,0),"")</f>
        <v/>
      </c>
      <c r="D62" s="61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</row>
    <row r="63" spans="1:16" ht="15.75" customHeight="1" x14ac:dyDescent="0.15">
      <c r="A63" s="58"/>
      <c r="B63" s="59" t="str">
        <f>IFERROR(VLOOKUP($A63,Admission!$1:$998,4,0),"")</f>
        <v/>
      </c>
      <c r="C63" s="59" t="str">
        <f>IFERROR(VLOOKUP($A63,Admission!$1:$998,5,0),"")</f>
        <v/>
      </c>
      <c r="D63" s="61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spans="1:16" ht="15.75" customHeight="1" x14ac:dyDescent="0.15">
      <c r="A64" s="58"/>
      <c r="B64" s="59" t="str">
        <f>IFERROR(VLOOKUP($A64,Admission!$1:$998,4,0),"")</f>
        <v/>
      </c>
      <c r="C64" s="59" t="str">
        <f>IFERROR(VLOOKUP($A64,Admission!$1:$998,5,0),"")</f>
        <v/>
      </c>
      <c r="D64" s="61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spans="1:16" ht="15.75" customHeight="1" x14ac:dyDescent="0.15">
      <c r="A65" s="58"/>
      <c r="B65" s="59" t="str">
        <f>IFERROR(VLOOKUP($A65,Admission!$1:$998,4,0),"")</f>
        <v/>
      </c>
      <c r="C65" s="59" t="str">
        <f>IFERROR(VLOOKUP($A65,Admission!$1:$998,5,0),"")</f>
        <v/>
      </c>
      <c r="D65" s="61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ht="15.75" customHeight="1" x14ac:dyDescent="0.15">
      <c r="A66" s="58"/>
      <c r="B66" s="59" t="str">
        <f>IFERROR(VLOOKUP($A66,Admission!$1:$998,4,0),"")</f>
        <v/>
      </c>
      <c r="C66" s="59" t="str">
        <f>IFERROR(VLOOKUP($A66,Admission!$1:$998,5,0),"")</f>
        <v/>
      </c>
      <c r="D66" s="61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</row>
    <row r="67" spans="1:16" ht="15.75" customHeight="1" x14ac:dyDescent="0.15">
      <c r="A67" s="58"/>
      <c r="B67" s="59" t="str">
        <f>IFERROR(VLOOKUP($A67,Admission!$1:$998,4,0),"")</f>
        <v/>
      </c>
      <c r="C67" s="59" t="str">
        <f>IFERROR(VLOOKUP($A67,Admission!$1:$998,5,0),"")</f>
        <v/>
      </c>
      <c r="D67" s="61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</row>
    <row r="68" spans="1:16" ht="15.75" customHeight="1" x14ac:dyDescent="0.15">
      <c r="A68" s="58"/>
      <c r="B68" s="59" t="str">
        <f>IFERROR(VLOOKUP($A68,Admission!$1:$998,4,0),"")</f>
        <v/>
      </c>
      <c r="C68" s="59" t="str">
        <f>IFERROR(VLOOKUP($A68,Admission!$1:$998,5,0),"")</f>
        <v/>
      </c>
      <c r="D68" s="61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16" ht="15.75" customHeight="1" x14ac:dyDescent="0.15">
      <c r="A69" s="58"/>
      <c r="B69" s="59" t="str">
        <f>IFERROR(VLOOKUP($A69,Admission!$1:$998,4,0),"")</f>
        <v/>
      </c>
      <c r="C69" s="59" t="str">
        <f>IFERROR(VLOOKUP($A69,Admission!$1:$998,5,0),"")</f>
        <v/>
      </c>
      <c r="D69" s="61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spans="1:16" ht="15.75" customHeight="1" x14ac:dyDescent="0.15">
      <c r="A70" s="58"/>
      <c r="B70" s="59" t="str">
        <f>IFERROR(VLOOKUP($A70,Admission!$1:$998,4,0),"")</f>
        <v/>
      </c>
      <c r="C70" s="59" t="str">
        <f>IFERROR(VLOOKUP($A70,Admission!$1:$998,5,0),"")</f>
        <v/>
      </c>
      <c r="D70" s="61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ht="15.75" customHeight="1" x14ac:dyDescent="0.15">
      <c r="A71" s="58"/>
      <c r="B71" s="59" t="str">
        <f>IFERROR(VLOOKUP($A71,Admission!$1:$998,4,0),"")</f>
        <v/>
      </c>
      <c r="C71" s="59" t="str">
        <f>IFERROR(VLOOKUP($A71,Admission!$1:$998,5,0),"")</f>
        <v/>
      </c>
      <c r="D71" s="61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6" ht="15.75" customHeight="1" x14ac:dyDescent="0.15">
      <c r="A72" s="58"/>
      <c r="B72" s="59" t="str">
        <f>IFERROR(VLOOKUP($A72,Admission!$1:$998,4,0),"")</f>
        <v/>
      </c>
      <c r="C72" s="59" t="str">
        <f>IFERROR(VLOOKUP($A72,Admission!$1:$998,5,0),"")</f>
        <v/>
      </c>
      <c r="D72" s="61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</row>
    <row r="73" spans="1:16" ht="15.75" customHeight="1" x14ac:dyDescent="0.15">
      <c r="A73" s="58"/>
      <c r="B73" s="59" t="str">
        <f>IFERROR(VLOOKUP($A73,Admission!$1:$998,4,0),"")</f>
        <v/>
      </c>
      <c r="C73" s="59" t="str">
        <f>IFERROR(VLOOKUP($A73,Admission!$1:$998,5,0),"")</f>
        <v/>
      </c>
      <c r="D73" s="61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</row>
    <row r="74" spans="1:16" ht="15.75" customHeight="1" x14ac:dyDescent="0.15">
      <c r="A74" s="58"/>
      <c r="B74" s="59" t="str">
        <f>IFERROR(VLOOKUP($A74,Admission!$1:$998,4,0),"")</f>
        <v/>
      </c>
      <c r="C74" s="59" t="str">
        <f>IFERROR(VLOOKUP($A74,Admission!$1:$998,5,0),"")</f>
        <v/>
      </c>
      <c r="D74" s="61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1:16" ht="15.75" customHeight="1" x14ac:dyDescent="0.15">
      <c r="A75" s="58"/>
      <c r="B75" s="59" t="str">
        <f>IFERROR(VLOOKUP($A75,Admission!$1:$998,4,0),"")</f>
        <v/>
      </c>
      <c r="C75" s="59" t="str">
        <f>IFERROR(VLOOKUP($A75,Admission!$1:$998,5,0),"")</f>
        <v/>
      </c>
      <c r="D75" s="61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</row>
    <row r="76" spans="1:16" ht="15.75" customHeight="1" x14ac:dyDescent="0.15">
      <c r="A76" s="58"/>
      <c r="B76" s="59" t="str">
        <f>IFERROR(VLOOKUP($A76,Admission!$1:$998,4,0),"")</f>
        <v/>
      </c>
      <c r="C76" s="59" t="str">
        <f>IFERROR(VLOOKUP($A76,Admission!$1:$998,5,0),"")</f>
        <v/>
      </c>
      <c r="D76" s="61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spans="1:16" ht="15.75" customHeight="1" x14ac:dyDescent="0.15">
      <c r="A77" s="58"/>
      <c r="B77" s="59" t="str">
        <f>IFERROR(VLOOKUP($A77,Admission!$1:$998,4,0),"")</f>
        <v/>
      </c>
      <c r="C77" s="59" t="str">
        <f>IFERROR(VLOOKUP($A77,Admission!$1:$998,5,0),"")</f>
        <v/>
      </c>
      <c r="D77" s="61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spans="1:16" ht="15.75" customHeight="1" x14ac:dyDescent="0.15">
      <c r="A78" s="58"/>
      <c r="B78" s="59" t="str">
        <f>IFERROR(VLOOKUP($A78,Admission!$1:$998,4,0),"")</f>
        <v/>
      </c>
      <c r="C78" s="59" t="str">
        <f>IFERROR(VLOOKUP($A78,Admission!$1:$998,5,0),"")</f>
        <v/>
      </c>
      <c r="D78" s="61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ht="15.75" customHeight="1" x14ac:dyDescent="0.15">
      <c r="A79" s="58"/>
      <c r="B79" s="59" t="str">
        <f>IFERROR(VLOOKUP($A79,Admission!$1:$998,4,0),"")</f>
        <v/>
      </c>
      <c r="C79" s="59" t="str">
        <f>IFERROR(VLOOKUP($A79,Admission!$1:$998,5,0),"")</f>
        <v/>
      </c>
      <c r="D79" s="61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spans="1:16" ht="15.75" customHeight="1" x14ac:dyDescent="0.15">
      <c r="A80" s="58"/>
      <c r="B80" s="59" t="str">
        <f>IFERROR(VLOOKUP($A80,Admission!$1:$998,4,0),"")</f>
        <v/>
      </c>
      <c r="C80" s="59" t="str">
        <f>IFERROR(VLOOKUP($A80,Admission!$1:$998,5,0),"")</f>
        <v/>
      </c>
      <c r="D80" s="61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1:16" ht="15.75" customHeight="1" x14ac:dyDescent="0.15">
      <c r="A81" s="58"/>
      <c r="B81" s="59" t="str">
        <f>IFERROR(VLOOKUP($A81,Admission!$1:$998,4,0),"")</f>
        <v/>
      </c>
      <c r="C81" s="59" t="str">
        <f>IFERROR(VLOOKUP($A81,Admission!$1:$998,5,0),"")</f>
        <v/>
      </c>
      <c r="D81" s="61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1:16" ht="15.75" customHeight="1" x14ac:dyDescent="0.15">
      <c r="A82" s="58"/>
      <c r="B82" s="59" t="str">
        <f>IFERROR(VLOOKUP($A82,Admission!$1:$998,4,0),"")</f>
        <v/>
      </c>
      <c r="C82" s="59" t="str">
        <f>IFERROR(VLOOKUP($A82,Admission!$1:$998,5,0),"")</f>
        <v/>
      </c>
      <c r="D82" s="61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spans="1:16" ht="15.75" customHeight="1" x14ac:dyDescent="0.15">
      <c r="A83" s="58"/>
      <c r="B83" s="59" t="str">
        <f>IFERROR(VLOOKUP($A83,Admission!$1:$998,4,0),"")</f>
        <v/>
      </c>
      <c r="C83" s="59" t="str">
        <f>IFERROR(VLOOKUP($A83,Admission!$1:$998,5,0),"")</f>
        <v/>
      </c>
      <c r="D83" s="61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6" ht="15.75" customHeight="1" x14ac:dyDescent="0.15">
      <c r="A84" s="58"/>
      <c r="B84" s="59" t="str">
        <f>IFERROR(VLOOKUP($A84,Admission!$1:$998,4,0),"")</f>
        <v/>
      </c>
      <c r="C84" s="59" t="str">
        <f>IFERROR(VLOOKUP($A84,Admission!$1:$998,5,0),"")</f>
        <v/>
      </c>
      <c r="D84" s="61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spans="1:16" ht="15.75" customHeight="1" x14ac:dyDescent="0.15">
      <c r="A85" s="58"/>
      <c r="B85" s="59" t="str">
        <f>IFERROR(VLOOKUP($A85,Admission!$1:$998,4,0),"")</f>
        <v/>
      </c>
      <c r="C85" s="59" t="str">
        <f>IFERROR(VLOOKUP($A85,Admission!$1:$998,5,0),"")</f>
        <v/>
      </c>
      <c r="D85" s="61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ht="15.75" customHeight="1" x14ac:dyDescent="0.15">
      <c r="A86" s="58"/>
      <c r="B86" s="59" t="str">
        <f>IFERROR(VLOOKUP($A86,Admission!$1:$998,4,0),"")</f>
        <v/>
      </c>
      <c r="C86" s="59" t="str">
        <f>IFERROR(VLOOKUP($A86,Admission!$1:$998,5,0),"")</f>
        <v/>
      </c>
      <c r="D86" s="61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spans="1:16" ht="15.75" customHeight="1" x14ac:dyDescent="0.15">
      <c r="A87" s="58"/>
      <c r="B87" s="59" t="str">
        <f>IFERROR(VLOOKUP($A87,Admission!$1:$998,4,0),"")</f>
        <v/>
      </c>
      <c r="C87" s="59" t="str">
        <f>IFERROR(VLOOKUP($A87,Admission!$1:$998,5,0),"")</f>
        <v/>
      </c>
      <c r="D87" s="61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</row>
    <row r="88" spans="1:16" ht="15.75" customHeight="1" x14ac:dyDescent="0.15">
      <c r="A88" s="58"/>
      <c r="B88" s="59" t="str">
        <f>IFERROR(VLOOKUP($A88,Admission!$1:$998,4,0),"")</f>
        <v/>
      </c>
      <c r="C88" s="59" t="str">
        <f>IFERROR(VLOOKUP($A88,Admission!$1:$998,5,0),"")</f>
        <v/>
      </c>
      <c r="D88" s="61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spans="1:16" ht="15.75" customHeight="1" x14ac:dyDescent="0.15">
      <c r="A89" s="58"/>
      <c r="B89" s="59" t="str">
        <f>IFERROR(VLOOKUP($A89,Admission!$1:$998,4,0),"")</f>
        <v/>
      </c>
      <c r="C89" s="59" t="str">
        <f>IFERROR(VLOOKUP($A89,Admission!$1:$998,5,0),"")</f>
        <v/>
      </c>
      <c r="D89" s="61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spans="1:16" ht="15.75" customHeight="1" x14ac:dyDescent="0.15">
      <c r="A90" s="58"/>
      <c r="B90" s="59" t="str">
        <f>IFERROR(VLOOKUP($A90,Admission!$1:$998,4,0),"")</f>
        <v/>
      </c>
      <c r="C90" s="59" t="str">
        <f>IFERROR(VLOOKUP($A90,Admission!$1:$998,5,0),"")</f>
        <v/>
      </c>
      <c r="D90" s="61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</row>
    <row r="91" spans="1:16" ht="13" x14ac:dyDescent="0.15">
      <c r="A91" s="58"/>
      <c r="B91" s="59" t="str">
        <f>IFERROR(VLOOKUP($A91,Admission!$1:$998,4,0),"")</f>
        <v/>
      </c>
      <c r="C91" s="59" t="str">
        <f>IFERROR(VLOOKUP($A91,Admission!$1:$998,5,0),"")</f>
        <v/>
      </c>
      <c r="D91" s="61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</row>
    <row r="92" spans="1:16" ht="13" x14ac:dyDescent="0.15">
      <c r="A92" s="58"/>
      <c r="B92" s="59" t="str">
        <f>IFERROR(VLOOKUP($A92,Admission!$1:$998,4,0),"")</f>
        <v/>
      </c>
      <c r="C92" s="59" t="str">
        <f>IFERROR(VLOOKUP($A92,Admission!$1:$998,5,0),"")</f>
        <v/>
      </c>
      <c r="D92" s="61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1:16" ht="13" x14ac:dyDescent="0.15">
      <c r="A93" s="58"/>
      <c r="B93" s="59" t="str">
        <f>IFERROR(VLOOKUP($A93,Admission!$1:$998,4,0),"")</f>
        <v/>
      </c>
      <c r="C93" s="59" t="str">
        <f>IFERROR(VLOOKUP($A93,Admission!$1:$998,5,0),"")</f>
        <v/>
      </c>
      <c r="D93" s="61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spans="1:16" ht="13" x14ac:dyDescent="0.15">
      <c r="A94" s="58"/>
      <c r="B94" s="59" t="str">
        <f>IFERROR(VLOOKUP($A94,Admission!$1:$998,4,0),"")</f>
        <v/>
      </c>
      <c r="C94" s="59" t="str">
        <f>IFERROR(VLOOKUP($A94,Admission!$1:$998,5,0),"")</f>
        <v/>
      </c>
      <c r="D94" s="61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</row>
    <row r="95" spans="1:16" ht="13" x14ac:dyDescent="0.15">
      <c r="A95" s="58"/>
      <c r="B95" s="59" t="str">
        <f>IFERROR(VLOOKUP($A95,Admission!$1:$998,4,0),"")</f>
        <v/>
      </c>
      <c r="C95" s="59" t="str">
        <f>IFERROR(VLOOKUP($A95,Admission!$1:$998,5,0),"")</f>
        <v/>
      </c>
      <c r="D95" s="61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spans="1:16" ht="13" x14ac:dyDescent="0.15">
      <c r="A96" s="58"/>
      <c r="B96" s="59" t="str">
        <f>IFERROR(VLOOKUP($A96,Admission!$1:$998,4,0),"")</f>
        <v/>
      </c>
      <c r="C96" s="59" t="str">
        <f>IFERROR(VLOOKUP($A96,Admission!$1:$998,5,0),"")</f>
        <v/>
      </c>
      <c r="D96" s="61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1:16" ht="13" x14ac:dyDescent="0.15">
      <c r="A97" s="58"/>
      <c r="B97" s="59" t="str">
        <f>IFERROR(VLOOKUP($A97,Admission!$1:$998,4,0),"")</f>
        <v/>
      </c>
      <c r="C97" s="59" t="str">
        <f>IFERROR(VLOOKUP($A97,Admission!$1:$998,5,0),"")</f>
        <v/>
      </c>
      <c r="D97" s="61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  <row r="98" spans="1:16" ht="13" x14ac:dyDescent="0.15">
      <c r="A98" s="58"/>
      <c r="B98" s="59" t="str">
        <f>IFERROR(VLOOKUP($A98,Admission!$1:$998,4,0),"")</f>
        <v/>
      </c>
      <c r="C98" s="59" t="str">
        <f>IFERROR(VLOOKUP($A98,Admission!$1:$998,5,0),"")</f>
        <v/>
      </c>
      <c r="D98" s="61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</row>
    <row r="99" spans="1:16" ht="13" x14ac:dyDescent="0.15">
      <c r="A99" s="58"/>
      <c r="B99" s="59" t="str">
        <f>IFERROR(VLOOKUP($A99,Admission!$1:$998,4,0),"")</f>
        <v/>
      </c>
      <c r="C99" s="59" t="str">
        <f>IFERROR(VLOOKUP($A99,Admission!$1:$998,5,0),"")</f>
        <v/>
      </c>
      <c r="D99" s="61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</row>
    <row r="100" spans="1:16" ht="13" x14ac:dyDescent="0.15">
      <c r="A100" s="58"/>
      <c r="B100" s="59" t="str">
        <f>IFERROR(VLOOKUP($A100,Admission!$1:$998,4,0),"")</f>
        <v/>
      </c>
      <c r="C100" s="59" t="str">
        <f>IFERROR(VLOOKUP($A100,Admission!$1:$998,5,0),"")</f>
        <v/>
      </c>
      <c r="D100" s="61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spans="1:16" ht="13" x14ac:dyDescent="0.15">
      <c r="A101" s="58"/>
      <c r="B101" s="59" t="str">
        <f>IFERROR(VLOOKUP($A101,Admission!$1:$998,4,0),"")</f>
        <v/>
      </c>
      <c r="C101" s="59" t="str">
        <f>IFERROR(VLOOKUP($A101,Admission!$1:$998,5,0),"")</f>
        <v/>
      </c>
      <c r="D101" s="61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</row>
    <row r="102" spans="1:16" ht="13" x14ac:dyDescent="0.15">
      <c r="A102" s="58"/>
      <c r="B102" s="59" t="str">
        <f>IFERROR(VLOOKUP($A102,Admission!$1:$998,4,0),"")</f>
        <v/>
      </c>
      <c r="C102" s="59" t="str">
        <f>IFERROR(VLOOKUP($A102,Admission!$1:$998,5,0),"")</f>
        <v/>
      </c>
      <c r="D102" s="61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</row>
    <row r="103" spans="1:16" ht="13" x14ac:dyDescent="0.15">
      <c r="A103" s="58"/>
      <c r="B103" s="59" t="str">
        <f>IFERROR(VLOOKUP($A103,Admission!$1:$998,4,0),"")</f>
        <v/>
      </c>
      <c r="C103" s="59" t="str">
        <f>IFERROR(VLOOKUP($A103,Admission!$1:$998,5,0),"")</f>
        <v/>
      </c>
      <c r="D103" s="61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spans="1:16" ht="13" x14ac:dyDescent="0.15">
      <c r="A104" s="58"/>
      <c r="B104" s="59" t="str">
        <f>IFERROR(VLOOKUP($A104,Admission!$1:$998,4,0),"")</f>
        <v/>
      </c>
      <c r="C104" s="59" t="str">
        <f>IFERROR(VLOOKUP($A104,Admission!$1:$998,5,0),"")</f>
        <v/>
      </c>
      <c r="D104" s="61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spans="1:16" ht="13" x14ac:dyDescent="0.15">
      <c r="A105" s="58"/>
      <c r="B105" s="59" t="str">
        <f>IFERROR(VLOOKUP($A105,Admission!$1:$998,4,0),"")</f>
        <v/>
      </c>
      <c r="C105" s="59" t="str">
        <f>IFERROR(VLOOKUP($A105,Admission!$1:$998,5,0),"")</f>
        <v/>
      </c>
      <c r="D105" s="61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</row>
    <row r="106" spans="1:16" ht="13" x14ac:dyDescent="0.15">
      <c r="A106" s="58"/>
      <c r="B106" s="59" t="str">
        <f>IFERROR(VLOOKUP($A106,Admission!$1:$998,4,0),"")</f>
        <v/>
      </c>
      <c r="C106" s="59" t="str">
        <f>IFERROR(VLOOKUP($A106,Admission!$1:$998,5,0),"")</f>
        <v/>
      </c>
      <c r="D106" s="61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</row>
    <row r="107" spans="1:16" ht="13" x14ac:dyDescent="0.15">
      <c r="A107" s="58"/>
      <c r="B107" s="59" t="str">
        <f>IFERROR(VLOOKUP($A107,Admission!$1:$998,4,0),"")</f>
        <v/>
      </c>
      <c r="C107" s="59" t="str">
        <f>IFERROR(VLOOKUP($A107,Admission!$1:$998,5,0),"")</f>
        <v/>
      </c>
      <c r="D107" s="61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</row>
    <row r="108" spans="1:16" ht="13" x14ac:dyDescent="0.15">
      <c r="A108" s="58"/>
      <c r="B108" s="59" t="str">
        <f>IFERROR(VLOOKUP($A108,Admission!$1:$998,4,0),"")</f>
        <v/>
      </c>
      <c r="C108" s="59" t="str">
        <f>IFERROR(VLOOKUP($A108,Admission!$1:$998,5,0),"")</f>
        <v/>
      </c>
      <c r="D108" s="61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</row>
    <row r="109" spans="1:16" ht="13" x14ac:dyDescent="0.15">
      <c r="A109" s="58"/>
      <c r="B109" s="59" t="str">
        <f>IFERROR(VLOOKUP($A109,Admission!$1:$998,4,0),"")</f>
        <v/>
      </c>
      <c r="C109" s="59" t="str">
        <f>IFERROR(VLOOKUP($A109,Admission!$1:$998,5,0),"")</f>
        <v/>
      </c>
      <c r="D109" s="61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</row>
    <row r="110" spans="1:16" ht="13" x14ac:dyDescent="0.15">
      <c r="A110" s="58"/>
      <c r="B110" s="59" t="str">
        <f>IFERROR(VLOOKUP($A110,Admission!$1:$998,4,0),"")</f>
        <v/>
      </c>
      <c r="C110" s="59" t="str">
        <f>IFERROR(VLOOKUP($A110,Admission!$1:$998,5,0),"")</f>
        <v/>
      </c>
      <c r="D110" s="61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</row>
    <row r="111" spans="1:16" ht="13" x14ac:dyDescent="0.15">
      <c r="A111" s="58"/>
      <c r="B111" s="59" t="str">
        <f>IFERROR(VLOOKUP($A111,Admission!$1:$998,4,0),"")</f>
        <v/>
      </c>
      <c r="C111" s="59" t="str">
        <f>IFERROR(VLOOKUP($A111,Admission!$1:$998,5,0),"")</f>
        <v/>
      </c>
      <c r="D111" s="61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</row>
    <row r="112" spans="1:16" ht="13" x14ac:dyDescent="0.15">
      <c r="A112" s="58"/>
      <c r="B112" s="59" t="str">
        <f>IFERROR(VLOOKUP($A112,Admission!$1:$998,4,0),"")</f>
        <v/>
      </c>
      <c r="C112" s="59" t="str">
        <f>IFERROR(VLOOKUP($A112,Admission!$1:$998,5,0),"")</f>
        <v/>
      </c>
      <c r="D112" s="61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</row>
    <row r="113" spans="1:16" ht="13" x14ac:dyDescent="0.15">
      <c r="A113" s="58"/>
      <c r="B113" s="59" t="str">
        <f>IFERROR(VLOOKUP($A113,Admission!$1:$998,4,0),"")</f>
        <v/>
      </c>
      <c r="C113" s="59" t="str">
        <f>IFERROR(VLOOKUP($A113,Admission!$1:$998,5,0),"")</f>
        <v/>
      </c>
      <c r="D113" s="61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</row>
    <row r="114" spans="1:16" ht="13" x14ac:dyDescent="0.15">
      <c r="A114" s="58"/>
      <c r="B114" s="59" t="str">
        <f>IFERROR(VLOOKUP($A114,Admission!$1:$998,4,0),"")</f>
        <v/>
      </c>
      <c r="C114" s="59" t="str">
        <f>IFERROR(VLOOKUP($A114,Admission!$1:$998,5,0),"")</f>
        <v/>
      </c>
      <c r="D114" s="61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</row>
    <row r="115" spans="1:16" ht="13" x14ac:dyDescent="0.15">
      <c r="A115" s="58"/>
      <c r="B115" s="59" t="str">
        <f>IFERROR(VLOOKUP($A115,Admission!$1:$998,4,0),"")</f>
        <v/>
      </c>
      <c r="C115" s="59" t="str">
        <f>IFERROR(VLOOKUP($A115,Admission!$1:$998,5,0),"")</f>
        <v/>
      </c>
      <c r="D115" s="61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</row>
    <row r="116" spans="1:16" ht="13" x14ac:dyDescent="0.15">
      <c r="A116" s="58"/>
      <c r="B116" s="59" t="str">
        <f>IFERROR(VLOOKUP($A116,Admission!$1:$998,4,0),"")</f>
        <v/>
      </c>
      <c r="C116" s="59" t="str">
        <f>IFERROR(VLOOKUP($A116,Admission!$1:$998,5,0),"")</f>
        <v/>
      </c>
      <c r="D116" s="61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</row>
    <row r="117" spans="1:16" ht="13" x14ac:dyDescent="0.15">
      <c r="A117" s="58"/>
      <c r="B117" s="59" t="str">
        <f>IFERROR(VLOOKUP($A117,Admission!$1:$998,4,0),"")</f>
        <v/>
      </c>
      <c r="C117" s="59" t="str">
        <f>IFERROR(VLOOKUP($A117,Admission!$1:$998,5,0),"")</f>
        <v/>
      </c>
      <c r="D117" s="61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</row>
    <row r="118" spans="1:16" ht="13" x14ac:dyDescent="0.15">
      <c r="A118" s="58"/>
      <c r="B118" s="59" t="str">
        <f>IFERROR(VLOOKUP($A118,Admission!$1:$998,4,0),"")</f>
        <v/>
      </c>
      <c r="C118" s="59" t="str">
        <f>IFERROR(VLOOKUP($A118,Admission!$1:$998,5,0),"")</f>
        <v/>
      </c>
      <c r="D118" s="61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</row>
    <row r="119" spans="1:16" ht="13" x14ac:dyDescent="0.15">
      <c r="A119" s="58"/>
      <c r="B119" s="59" t="str">
        <f>IFERROR(VLOOKUP($A119,Admission!$1:$998,4,0),"")</f>
        <v/>
      </c>
      <c r="C119" s="59" t="str">
        <f>IFERROR(VLOOKUP($A119,Admission!$1:$998,5,0),"")</f>
        <v/>
      </c>
      <c r="D119" s="61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</row>
    <row r="120" spans="1:16" ht="13" x14ac:dyDescent="0.15">
      <c r="A120" s="58"/>
      <c r="B120" s="59" t="str">
        <f>IFERROR(VLOOKUP($A120,Admission!$1:$998,4,0),"")</f>
        <v/>
      </c>
      <c r="C120" s="59" t="str">
        <f>IFERROR(VLOOKUP($A120,Admission!$1:$998,5,0),"")</f>
        <v/>
      </c>
      <c r="D120" s="61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</row>
    <row r="121" spans="1:16" ht="13" x14ac:dyDescent="0.15">
      <c r="A121" s="58"/>
      <c r="B121" s="59" t="str">
        <f>IFERROR(VLOOKUP($A121,Admission!$1:$998,4,0),"")</f>
        <v/>
      </c>
      <c r="C121" s="59" t="str">
        <f>IFERROR(VLOOKUP($A121,Admission!$1:$998,5,0),"")</f>
        <v/>
      </c>
      <c r="D121" s="61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</row>
    <row r="122" spans="1:16" ht="13" x14ac:dyDescent="0.15">
      <c r="A122" s="58"/>
      <c r="B122" s="59" t="str">
        <f>IFERROR(VLOOKUP($A122,Admission!$1:$998,4,0),"")</f>
        <v/>
      </c>
      <c r="C122" s="59" t="str">
        <f>IFERROR(VLOOKUP($A122,Admission!$1:$998,5,0),"")</f>
        <v/>
      </c>
      <c r="D122" s="61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</row>
    <row r="123" spans="1:16" ht="13" x14ac:dyDescent="0.15">
      <c r="A123" s="62"/>
      <c r="B123" s="59" t="str">
        <f>IFERROR(VLOOKUP($A123,Admission!$1:$998,4,0),"")</f>
        <v/>
      </c>
      <c r="C123" s="59" t="str">
        <f>IFERROR(VLOOKUP($A123,Admission!$1:$998,5,0),"")</f>
        <v/>
      </c>
      <c r="D123" s="61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</row>
    <row r="124" spans="1:16" ht="13" x14ac:dyDescent="0.15">
      <c r="A124" s="62"/>
      <c r="B124" s="59" t="str">
        <f>IFERROR(VLOOKUP($A124,Admission!$1:$998,4,0),"")</f>
        <v/>
      </c>
      <c r="C124" s="59" t="str">
        <f>IFERROR(VLOOKUP($A124,Admission!$1:$998,5,0),"")</f>
        <v/>
      </c>
      <c r="D124" s="61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</row>
    <row r="125" spans="1:16" ht="13" x14ac:dyDescent="0.15">
      <c r="A125" s="62"/>
      <c r="B125" s="59" t="str">
        <f>IFERROR(VLOOKUP($A125,Admission!$1:$998,4,0),"")</f>
        <v/>
      </c>
      <c r="C125" s="59" t="str">
        <f>IFERROR(VLOOKUP($A125,Admission!$1:$998,5,0),"")</f>
        <v/>
      </c>
      <c r="D125" s="61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</row>
    <row r="126" spans="1:16" ht="13" x14ac:dyDescent="0.15">
      <c r="A126" s="62"/>
      <c r="B126" s="59" t="str">
        <f>IFERROR(VLOOKUP($A126,Admission!$1:$998,4,0),"")</f>
        <v/>
      </c>
      <c r="C126" s="59" t="str">
        <f>IFERROR(VLOOKUP($A126,Admission!$1:$998,5,0),"")</f>
        <v/>
      </c>
      <c r="D126" s="61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</row>
    <row r="127" spans="1:16" ht="13" x14ac:dyDescent="0.15">
      <c r="A127" s="62"/>
      <c r="B127" s="59" t="str">
        <f>IFERROR(VLOOKUP($A127,Admission!$1:$998,4,0),"")</f>
        <v/>
      </c>
      <c r="C127" s="59" t="str">
        <f>IFERROR(VLOOKUP($A127,Admission!$1:$998,5,0),"")</f>
        <v/>
      </c>
      <c r="D127" s="61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</row>
    <row r="128" spans="1:16" ht="13" x14ac:dyDescent="0.15">
      <c r="A128" s="62"/>
      <c r="B128" s="59" t="str">
        <f>IFERROR(VLOOKUP($A128,Admission!$1:$998,4,0),"")</f>
        <v/>
      </c>
      <c r="C128" s="59" t="str">
        <f>IFERROR(VLOOKUP($A128,Admission!$1:$998,5,0),"")</f>
        <v/>
      </c>
      <c r="D128" s="61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</row>
    <row r="129" spans="1:16" ht="13" x14ac:dyDescent="0.15">
      <c r="A129" s="62"/>
      <c r="B129" s="59" t="str">
        <f>IFERROR(VLOOKUP($A129,Admission!$1:$998,4,0),"")</f>
        <v/>
      </c>
      <c r="C129" s="59" t="str">
        <f>IFERROR(VLOOKUP($A129,Admission!$1:$998,5,0),"")</f>
        <v/>
      </c>
      <c r="D129" s="61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</row>
    <row r="130" spans="1:16" ht="13" x14ac:dyDescent="0.15">
      <c r="A130" s="62"/>
      <c r="B130" s="59" t="str">
        <f>IFERROR(VLOOKUP($A130,Admission!$1:$998,4,0),"")</f>
        <v/>
      </c>
      <c r="C130" s="59" t="str">
        <f>IFERROR(VLOOKUP($A130,Admission!$1:$998,5,0),"")</f>
        <v/>
      </c>
      <c r="D130" s="61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</row>
    <row r="131" spans="1:16" ht="13" x14ac:dyDescent="0.15">
      <c r="A131" s="62"/>
      <c r="B131" s="59" t="str">
        <f>IFERROR(VLOOKUP($A131,Admission!$1:$998,4,0),"")</f>
        <v/>
      </c>
      <c r="C131" s="59" t="str">
        <f>IFERROR(VLOOKUP($A131,Admission!$1:$998,5,0),"")</f>
        <v/>
      </c>
      <c r="D131" s="61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</row>
    <row r="132" spans="1:16" ht="13" x14ac:dyDescent="0.15">
      <c r="A132" s="62"/>
      <c r="B132" s="59" t="str">
        <f>IFERROR(VLOOKUP($A132,Admission!$1:$998,4,0),"")</f>
        <v/>
      </c>
      <c r="C132" s="59" t="str">
        <f>IFERROR(VLOOKUP($A132,Admission!$1:$998,5,0),"")</f>
        <v/>
      </c>
      <c r="D132" s="61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</row>
    <row r="133" spans="1:16" ht="13" x14ac:dyDescent="0.15">
      <c r="A133" s="62"/>
      <c r="B133" s="59" t="str">
        <f>IFERROR(VLOOKUP($A133,Admission!$1:$998,4,0),"")</f>
        <v/>
      </c>
      <c r="C133" s="59" t="str">
        <f>IFERROR(VLOOKUP($A133,Admission!$1:$998,5,0),"")</f>
        <v/>
      </c>
      <c r="D133" s="61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</row>
    <row r="134" spans="1:16" ht="13" x14ac:dyDescent="0.15">
      <c r="A134" s="62"/>
      <c r="B134" s="59" t="str">
        <f>IFERROR(VLOOKUP($A134,Admission!$1:$998,4,0),"")</f>
        <v/>
      </c>
      <c r="C134" s="59" t="str">
        <f>IFERROR(VLOOKUP($A134,Admission!$1:$998,5,0),"")</f>
        <v/>
      </c>
      <c r="D134" s="61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</row>
    <row r="135" spans="1:16" ht="13" x14ac:dyDescent="0.15">
      <c r="A135" s="62"/>
      <c r="B135" s="59" t="str">
        <f>IFERROR(VLOOKUP($A135,Admission!$1:$998,4,0),"")</f>
        <v/>
      </c>
      <c r="C135" s="59" t="str">
        <f>IFERROR(VLOOKUP($A135,Admission!$1:$998,5,0),"")</f>
        <v/>
      </c>
      <c r="D135" s="61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</row>
    <row r="136" spans="1:16" ht="13" x14ac:dyDescent="0.15">
      <c r="A136" s="62"/>
      <c r="B136" s="59" t="str">
        <f>IFERROR(VLOOKUP($A136,Admission!$1:$998,4,0),"")</f>
        <v/>
      </c>
      <c r="C136" s="59" t="str">
        <f>IFERROR(VLOOKUP($A136,Admission!$1:$998,5,0),"")</f>
        <v/>
      </c>
      <c r="D136" s="61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</row>
    <row r="137" spans="1:16" ht="13" x14ac:dyDescent="0.15">
      <c r="A137" s="62"/>
      <c r="B137" s="59" t="str">
        <f>IFERROR(VLOOKUP($A137,Admission!$1:$998,4,0),"")</f>
        <v/>
      </c>
      <c r="C137" s="59" t="str">
        <f>IFERROR(VLOOKUP($A137,Admission!$1:$998,5,0),"")</f>
        <v/>
      </c>
      <c r="D137" s="61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</row>
    <row r="138" spans="1:16" ht="13" x14ac:dyDescent="0.15">
      <c r="A138" s="62"/>
      <c r="B138" s="59" t="str">
        <f>IFERROR(VLOOKUP($A138,Admission!$1:$998,4,0),"")</f>
        <v/>
      </c>
      <c r="C138" s="59" t="str">
        <f>IFERROR(VLOOKUP($A138,Admission!$1:$998,5,0),"")</f>
        <v/>
      </c>
      <c r="D138" s="61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</row>
    <row r="139" spans="1:16" ht="13" x14ac:dyDescent="0.15">
      <c r="A139" s="62"/>
      <c r="B139" s="59" t="str">
        <f>IFERROR(VLOOKUP($A139,Admission!$1:$998,4,0),"")</f>
        <v/>
      </c>
      <c r="C139" s="59" t="str">
        <f>IFERROR(VLOOKUP($A139,Admission!$1:$998,5,0),"")</f>
        <v/>
      </c>
      <c r="D139" s="61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</row>
    <row r="140" spans="1:16" ht="13" x14ac:dyDescent="0.15">
      <c r="A140" s="62"/>
      <c r="B140" s="59" t="str">
        <f>IFERROR(VLOOKUP($A140,Admission!$1:$998,4,0),"")</f>
        <v/>
      </c>
      <c r="C140" s="59" t="str">
        <f>IFERROR(VLOOKUP($A140,Admission!$1:$998,5,0),"")</f>
        <v/>
      </c>
      <c r="D140" s="61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</row>
    <row r="141" spans="1:16" ht="13" x14ac:dyDescent="0.15">
      <c r="A141" s="62"/>
      <c r="B141" s="59" t="str">
        <f>IFERROR(VLOOKUP($A141,Admission!$1:$998,4,0),"")</f>
        <v/>
      </c>
      <c r="C141" s="59" t="str">
        <f>IFERROR(VLOOKUP($A141,Admission!$1:$998,5,0),"")</f>
        <v/>
      </c>
      <c r="D141" s="61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</row>
    <row r="142" spans="1:16" ht="13" x14ac:dyDescent="0.15">
      <c r="A142" s="62"/>
      <c r="B142" s="59" t="str">
        <f>IFERROR(VLOOKUP($A142,Admission!$1:$998,4,0),"")</f>
        <v/>
      </c>
      <c r="C142" s="59" t="str">
        <f>IFERROR(VLOOKUP($A142,Admission!$1:$998,5,0),"")</f>
        <v/>
      </c>
      <c r="D142" s="61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</row>
    <row r="143" spans="1:16" ht="13" x14ac:dyDescent="0.15">
      <c r="A143" s="62"/>
      <c r="B143" s="59" t="str">
        <f>IFERROR(VLOOKUP($A143,Admission!$1:$998,4,0),"")</f>
        <v/>
      </c>
      <c r="C143" s="59" t="str">
        <f>IFERROR(VLOOKUP($A143,Admission!$1:$998,5,0),"")</f>
        <v/>
      </c>
      <c r="D143" s="61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</row>
    <row r="144" spans="1:16" ht="13" x14ac:dyDescent="0.15">
      <c r="A144" s="62"/>
      <c r="B144" s="59" t="str">
        <f>IFERROR(VLOOKUP($A144,Admission!$1:$998,4,0),"")</f>
        <v/>
      </c>
      <c r="C144" s="59" t="str">
        <f>IFERROR(VLOOKUP($A144,Admission!$1:$998,5,0),"")</f>
        <v/>
      </c>
      <c r="D144" s="61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</row>
    <row r="145" spans="1:16" ht="13" x14ac:dyDescent="0.15">
      <c r="A145" s="62"/>
      <c r="B145" s="59" t="str">
        <f>IFERROR(VLOOKUP($A145,Admission!$1:$998,4,0),"")</f>
        <v/>
      </c>
      <c r="C145" s="59" t="str">
        <f>IFERROR(VLOOKUP($A145,Admission!$1:$998,5,0),"")</f>
        <v/>
      </c>
      <c r="D145" s="61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</row>
    <row r="146" spans="1:16" ht="13" x14ac:dyDescent="0.15">
      <c r="A146" s="62"/>
      <c r="B146" s="59" t="str">
        <f>IFERROR(VLOOKUP($A146,Admission!$1:$998,4,0),"")</f>
        <v/>
      </c>
      <c r="C146" s="59" t="str">
        <f>IFERROR(VLOOKUP($A146,Admission!$1:$998,5,0),"")</f>
        <v/>
      </c>
      <c r="D146" s="61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</row>
    <row r="147" spans="1:16" ht="13" x14ac:dyDescent="0.15">
      <c r="A147" s="62"/>
      <c r="B147" s="59" t="str">
        <f>IFERROR(VLOOKUP($A147,Admission!$1:$998,4,0),"")</f>
        <v/>
      </c>
      <c r="C147" s="59" t="str">
        <f>IFERROR(VLOOKUP($A147,Admission!$1:$998,5,0),"")</f>
        <v/>
      </c>
      <c r="D147" s="61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</row>
    <row r="148" spans="1:16" ht="13" x14ac:dyDescent="0.15">
      <c r="A148" s="62"/>
      <c r="B148" s="59" t="str">
        <f>IFERROR(VLOOKUP($A148,Admission!$1:$998,4,0),"")</f>
        <v/>
      </c>
      <c r="C148" s="59" t="str">
        <f>IFERROR(VLOOKUP($A148,Admission!$1:$998,5,0),"")</f>
        <v/>
      </c>
      <c r="D148" s="61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</row>
    <row r="149" spans="1:16" ht="13" x14ac:dyDescent="0.15">
      <c r="A149" s="62"/>
      <c r="B149" s="59" t="str">
        <f>IFERROR(VLOOKUP($A149,Admission!$1:$998,4,0),"")</f>
        <v/>
      </c>
      <c r="C149" s="59" t="str">
        <f>IFERROR(VLOOKUP($A149,Admission!$1:$998,5,0),"")</f>
        <v/>
      </c>
      <c r="D149" s="61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</row>
    <row r="150" spans="1:16" ht="13" x14ac:dyDescent="0.15">
      <c r="A150" s="62"/>
      <c r="B150" s="59" t="str">
        <f>IFERROR(VLOOKUP($A150,Admission!$1:$998,4,0),"")</f>
        <v/>
      </c>
      <c r="C150" s="59" t="str">
        <f>IFERROR(VLOOKUP($A150,Admission!$1:$998,5,0),"")</f>
        <v/>
      </c>
      <c r="D150" s="61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</row>
    <row r="151" spans="1:16" ht="13" x14ac:dyDescent="0.15">
      <c r="A151" s="62"/>
      <c r="D151" s="61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</row>
    <row r="152" spans="1:16" ht="13" x14ac:dyDescent="0.15">
      <c r="A152" s="62"/>
      <c r="D152" s="61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</row>
    <row r="153" spans="1:16" ht="13" x14ac:dyDescent="0.15">
      <c r="A153" s="62"/>
      <c r="D153" s="61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</row>
    <row r="154" spans="1:16" ht="13" x14ac:dyDescent="0.15">
      <c r="A154" s="62"/>
      <c r="D154" s="61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</row>
    <row r="155" spans="1:16" ht="13" x14ac:dyDescent="0.15">
      <c r="A155" s="62"/>
      <c r="D155" s="61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</row>
    <row r="156" spans="1:16" ht="13" x14ac:dyDescent="0.15">
      <c r="A156" s="62"/>
      <c r="D156" s="61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</row>
    <row r="157" spans="1:16" ht="13" x14ac:dyDescent="0.15">
      <c r="A157" s="62"/>
      <c r="D157" s="61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</row>
    <row r="158" spans="1:16" ht="13" x14ac:dyDescent="0.15">
      <c r="A158" s="62"/>
      <c r="D158" s="61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</row>
    <row r="159" spans="1:16" ht="13" x14ac:dyDescent="0.15">
      <c r="A159" s="62"/>
      <c r="D159" s="61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</row>
    <row r="160" spans="1:16" ht="13" x14ac:dyDescent="0.15">
      <c r="A160" s="62"/>
      <c r="D160" s="61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</row>
    <row r="161" spans="1:16" ht="13" x14ac:dyDescent="0.15">
      <c r="A161" s="62"/>
      <c r="D161" s="61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</row>
    <row r="162" spans="1:16" ht="13" x14ac:dyDescent="0.15">
      <c r="A162" s="62"/>
      <c r="D162" s="61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</row>
    <row r="163" spans="1:16" ht="13" x14ac:dyDescent="0.15">
      <c r="A163" s="62"/>
      <c r="D163" s="61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</row>
    <row r="164" spans="1:16" ht="13" x14ac:dyDescent="0.15">
      <c r="A164" s="62"/>
      <c r="D164" s="61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</row>
    <row r="165" spans="1:16" ht="13" x14ac:dyDescent="0.15">
      <c r="A165" s="62"/>
      <c r="D165" s="61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</row>
    <row r="166" spans="1:16" ht="13" x14ac:dyDescent="0.15">
      <c r="A166" s="62"/>
      <c r="D166" s="61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</row>
    <row r="167" spans="1:16" ht="13" x14ac:dyDescent="0.15">
      <c r="A167" s="62"/>
      <c r="D167" s="61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</row>
    <row r="168" spans="1:16" ht="13" x14ac:dyDescent="0.15">
      <c r="A168" s="62"/>
      <c r="D168" s="61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</row>
    <row r="169" spans="1:16" ht="13" x14ac:dyDescent="0.15">
      <c r="A169" s="62"/>
      <c r="D169" s="61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</row>
    <row r="170" spans="1:16" ht="13" x14ac:dyDescent="0.15">
      <c r="A170" s="62"/>
      <c r="D170" s="61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</row>
    <row r="171" spans="1:16" ht="13" x14ac:dyDescent="0.15">
      <c r="A171" s="62"/>
      <c r="D171" s="61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</row>
    <row r="172" spans="1:16" ht="13" x14ac:dyDescent="0.15">
      <c r="A172" s="62"/>
      <c r="D172" s="61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</row>
    <row r="173" spans="1:16" ht="13" x14ac:dyDescent="0.15">
      <c r="A173" s="62"/>
      <c r="D173" s="61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</row>
    <row r="174" spans="1:16" ht="13" x14ac:dyDescent="0.15">
      <c r="A174" s="62"/>
      <c r="D174" s="61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</row>
    <row r="175" spans="1:16" ht="13" x14ac:dyDescent="0.15">
      <c r="A175" s="62"/>
      <c r="D175" s="61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</row>
    <row r="176" spans="1:16" ht="13" x14ac:dyDescent="0.15">
      <c r="A176" s="62"/>
      <c r="D176" s="61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</row>
    <row r="177" spans="1:16" ht="13" x14ac:dyDescent="0.15">
      <c r="A177" s="62"/>
      <c r="D177" s="61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</row>
    <row r="178" spans="1:16" ht="13" x14ac:dyDescent="0.15">
      <c r="A178" s="62"/>
      <c r="D178" s="61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</row>
    <row r="179" spans="1:16" ht="13" x14ac:dyDescent="0.15">
      <c r="A179" s="62"/>
      <c r="D179" s="61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</row>
    <row r="180" spans="1:16" ht="13" x14ac:dyDescent="0.15">
      <c r="A180" s="62"/>
      <c r="D180" s="61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</row>
    <row r="181" spans="1:16" ht="13" x14ac:dyDescent="0.15">
      <c r="A181" s="62"/>
      <c r="D181" s="61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</row>
    <row r="182" spans="1:16" ht="13" x14ac:dyDescent="0.15">
      <c r="A182" s="62"/>
      <c r="D182" s="61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</row>
    <row r="183" spans="1:16" ht="13" x14ac:dyDescent="0.15">
      <c r="A183" s="62"/>
      <c r="D183" s="61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</row>
    <row r="184" spans="1:16" ht="13" x14ac:dyDescent="0.15">
      <c r="A184" s="62"/>
      <c r="D184" s="61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</row>
    <row r="185" spans="1:16" ht="13" x14ac:dyDescent="0.15">
      <c r="A185" s="62"/>
      <c r="D185" s="61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</row>
    <row r="186" spans="1:16" ht="13" x14ac:dyDescent="0.15">
      <c r="A186" s="62"/>
      <c r="D186" s="61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</row>
    <row r="187" spans="1:16" ht="13" x14ac:dyDescent="0.15">
      <c r="A187" s="62"/>
      <c r="D187" s="61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</row>
    <row r="188" spans="1:16" ht="13" x14ac:dyDescent="0.15">
      <c r="A188" s="62"/>
      <c r="D188" s="61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</row>
    <row r="189" spans="1:16" ht="13" x14ac:dyDescent="0.15">
      <c r="A189" s="62"/>
      <c r="D189" s="61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</row>
    <row r="190" spans="1:16" ht="13" x14ac:dyDescent="0.15">
      <c r="A190" s="62"/>
      <c r="D190" s="61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</row>
    <row r="191" spans="1:16" ht="13" x14ac:dyDescent="0.15">
      <c r="A191" s="62"/>
      <c r="D191" s="61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</row>
    <row r="192" spans="1:16" ht="13" x14ac:dyDescent="0.15">
      <c r="A192" s="62"/>
      <c r="D192" s="61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</row>
    <row r="193" spans="1:16" ht="13" x14ac:dyDescent="0.15">
      <c r="A193" s="62"/>
      <c r="D193" s="61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</row>
    <row r="194" spans="1:16" ht="13" x14ac:dyDescent="0.15">
      <c r="A194" s="62"/>
      <c r="D194" s="61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</row>
    <row r="195" spans="1:16" ht="13" x14ac:dyDescent="0.15">
      <c r="A195" s="62"/>
      <c r="D195" s="61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</row>
    <row r="196" spans="1:16" ht="13" x14ac:dyDescent="0.15">
      <c r="A196" s="62"/>
      <c r="D196" s="61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</row>
    <row r="197" spans="1:16" ht="13" x14ac:dyDescent="0.15">
      <c r="A197" s="62"/>
      <c r="D197" s="61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</row>
    <row r="198" spans="1:16" ht="13" x14ac:dyDescent="0.15">
      <c r="A198" s="62"/>
      <c r="D198" s="61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</row>
    <row r="199" spans="1:16" ht="13" x14ac:dyDescent="0.15">
      <c r="A199" s="62"/>
      <c r="D199" s="61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</row>
    <row r="200" spans="1:16" ht="13" x14ac:dyDescent="0.15">
      <c r="A200" s="62"/>
      <c r="D200" s="61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</row>
    <row r="201" spans="1:16" ht="13" x14ac:dyDescent="0.15">
      <c r="A201" s="62"/>
      <c r="D201" s="61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</row>
    <row r="202" spans="1:16" ht="13" x14ac:dyDescent="0.15">
      <c r="A202" s="62"/>
      <c r="D202" s="61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</row>
    <row r="203" spans="1:16" ht="13" x14ac:dyDescent="0.15">
      <c r="A203" s="62"/>
      <c r="D203" s="61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</row>
    <row r="204" spans="1:16" ht="13" x14ac:dyDescent="0.15">
      <c r="A204" s="62"/>
      <c r="D204" s="61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</row>
    <row r="205" spans="1:16" ht="13" x14ac:dyDescent="0.15">
      <c r="A205" s="62"/>
      <c r="D205" s="61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</row>
    <row r="206" spans="1:16" ht="13" x14ac:dyDescent="0.15">
      <c r="A206" s="62"/>
      <c r="D206" s="61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</row>
    <row r="207" spans="1:16" ht="13" x14ac:dyDescent="0.15">
      <c r="A207" s="62"/>
      <c r="D207" s="61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</row>
    <row r="208" spans="1:16" ht="13" x14ac:dyDescent="0.15">
      <c r="A208" s="62"/>
      <c r="D208" s="61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</row>
    <row r="209" spans="1:16" ht="13" x14ac:dyDescent="0.15">
      <c r="A209" s="62"/>
      <c r="D209" s="61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</row>
    <row r="210" spans="1:16" ht="13" x14ac:dyDescent="0.15">
      <c r="A210" s="62"/>
      <c r="D210" s="61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</row>
    <row r="211" spans="1:16" ht="13" x14ac:dyDescent="0.15">
      <c r="A211" s="62"/>
      <c r="D211" s="61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</row>
    <row r="212" spans="1:16" ht="13" x14ac:dyDescent="0.15">
      <c r="A212" s="62"/>
      <c r="D212" s="61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</row>
    <row r="213" spans="1:16" ht="13" x14ac:dyDescent="0.15">
      <c r="A213" s="62"/>
      <c r="D213" s="61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</row>
    <row r="214" spans="1:16" ht="13" x14ac:dyDescent="0.15">
      <c r="A214" s="62"/>
      <c r="D214" s="61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</row>
    <row r="215" spans="1:16" ht="13" x14ac:dyDescent="0.15">
      <c r="A215" s="62"/>
      <c r="D215" s="61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</row>
    <row r="216" spans="1:16" ht="13" x14ac:dyDescent="0.15">
      <c r="A216" s="62"/>
      <c r="D216" s="61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</row>
    <row r="217" spans="1:16" ht="13" x14ac:dyDescent="0.15">
      <c r="A217" s="62"/>
      <c r="D217" s="61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</row>
    <row r="218" spans="1:16" ht="13" x14ac:dyDescent="0.15">
      <c r="A218" s="62"/>
      <c r="D218" s="61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</row>
    <row r="219" spans="1:16" ht="13" x14ac:dyDescent="0.15">
      <c r="A219" s="62"/>
      <c r="D219" s="61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</row>
    <row r="220" spans="1:16" ht="13" x14ac:dyDescent="0.15">
      <c r="A220" s="62"/>
      <c r="D220" s="61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</row>
    <row r="221" spans="1:16" ht="13" x14ac:dyDescent="0.15">
      <c r="A221" s="62"/>
      <c r="D221" s="61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</row>
    <row r="222" spans="1:16" ht="13" x14ac:dyDescent="0.15">
      <c r="A222" s="62"/>
      <c r="D222" s="61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</row>
    <row r="223" spans="1:16" ht="13" x14ac:dyDescent="0.15">
      <c r="A223" s="62"/>
      <c r="D223" s="61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</row>
    <row r="224" spans="1:16" ht="13" x14ac:dyDescent="0.15">
      <c r="A224" s="62"/>
      <c r="D224" s="61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</row>
    <row r="225" spans="1:16" ht="13" x14ac:dyDescent="0.15">
      <c r="A225" s="62"/>
      <c r="D225" s="61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</row>
    <row r="226" spans="1:16" ht="13" x14ac:dyDescent="0.15">
      <c r="A226" s="62"/>
      <c r="D226" s="61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</row>
    <row r="227" spans="1:16" ht="13" x14ac:dyDescent="0.15">
      <c r="A227" s="62"/>
      <c r="D227" s="61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</row>
    <row r="228" spans="1:16" ht="13" x14ac:dyDescent="0.15">
      <c r="A228" s="62"/>
      <c r="D228" s="61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</row>
    <row r="229" spans="1:16" ht="13" x14ac:dyDescent="0.15">
      <c r="A229" s="62"/>
      <c r="D229" s="61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</row>
    <row r="230" spans="1:16" ht="13" x14ac:dyDescent="0.15">
      <c r="A230" s="62"/>
      <c r="D230" s="61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</row>
    <row r="231" spans="1:16" ht="13" x14ac:dyDescent="0.15">
      <c r="A231" s="62"/>
      <c r="D231" s="61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</row>
    <row r="232" spans="1:16" ht="13" x14ac:dyDescent="0.15">
      <c r="A232" s="62"/>
      <c r="D232" s="61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</row>
    <row r="233" spans="1:16" ht="13" x14ac:dyDescent="0.15">
      <c r="A233" s="62"/>
      <c r="D233" s="61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</row>
    <row r="234" spans="1:16" ht="13" x14ac:dyDescent="0.15">
      <c r="A234" s="62"/>
      <c r="D234" s="61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</row>
    <row r="235" spans="1:16" ht="13" x14ac:dyDescent="0.15">
      <c r="A235" s="62"/>
      <c r="D235" s="61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</row>
    <row r="236" spans="1:16" ht="13" x14ac:dyDescent="0.15">
      <c r="A236" s="62"/>
      <c r="D236" s="61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</row>
    <row r="237" spans="1:16" ht="13" x14ac:dyDescent="0.15">
      <c r="A237" s="62"/>
      <c r="D237" s="61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</row>
    <row r="238" spans="1:16" ht="13" x14ac:dyDescent="0.15">
      <c r="A238" s="62"/>
      <c r="D238" s="61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</row>
    <row r="239" spans="1:16" ht="13" x14ac:dyDescent="0.15">
      <c r="A239" s="62"/>
      <c r="D239" s="61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</row>
    <row r="240" spans="1:16" ht="13" x14ac:dyDescent="0.15">
      <c r="A240" s="62"/>
      <c r="D240" s="61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</row>
    <row r="241" spans="1:16" ht="13" x14ac:dyDescent="0.15">
      <c r="A241" s="62"/>
      <c r="D241" s="61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</row>
    <row r="242" spans="1:16" ht="13" x14ac:dyDescent="0.15">
      <c r="A242" s="62"/>
      <c r="D242" s="61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</row>
    <row r="243" spans="1:16" ht="13" x14ac:dyDescent="0.15">
      <c r="A243" s="62"/>
      <c r="D243" s="61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</row>
    <row r="244" spans="1:16" ht="13" x14ac:dyDescent="0.15">
      <c r="A244" s="62"/>
      <c r="D244" s="61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</row>
    <row r="245" spans="1:16" ht="13" x14ac:dyDescent="0.15">
      <c r="A245" s="62"/>
      <c r="D245" s="61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</row>
    <row r="246" spans="1:16" ht="13" x14ac:dyDescent="0.15">
      <c r="A246" s="62"/>
      <c r="D246" s="61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</row>
    <row r="247" spans="1:16" ht="13" x14ac:dyDescent="0.15">
      <c r="A247" s="62"/>
      <c r="D247" s="61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</row>
    <row r="248" spans="1:16" ht="13" x14ac:dyDescent="0.15">
      <c r="A248" s="62"/>
      <c r="D248" s="61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</row>
    <row r="249" spans="1:16" ht="13" x14ac:dyDescent="0.15">
      <c r="A249" s="62"/>
      <c r="D249" s="61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</row>
    <row r="250" spans="1:16" ht="13" x14ac:dyDescent="0.15">
      <c r="A250" s="62"/>
      <c r="D250" s="61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</row>
    <row r="251" spans="1:16" ht="13" x14ac:dyDescent="0.15">
      <c r="A251" s="62"/>
      <c r="D251" s="61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</row>
    <row r="252" spans="1:16" ht="13" x14ac:dyDescent="0.15">
      <c r="A252" s="62"/>
      <c r="D252" s="61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</row>
    <row r="253" spans="1:16" ht="13" x14ac:dyDescent="0.15">
      <c r="A253" s="62"/>
      <c r="D253" s="61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</row>
    <row r="254" spans="1:16" ht="13" x14ac:dyDescent="0.15">
      <c r="A254" s="62"/>
      <c r="D254" s="61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</row>
    <row r="255" spans="1:16" ht="13" x14ac:dyDescent="0.15">
      <c r="A255" s="62"/>
      <c r="D255" s="61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</row>
    <row r="256" spans="1:16" ht="13" x14ac:dyDescent="0.15">
      <c r="A256" s="62"/>
      <c r="D256" s="61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</row>
    <row r="257" spans="1:16" ht="13" x14ac:dyDescent="0.15">
      <c r="A257" s="62"/>
      <c r="D257" s="61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</row>
    <row r="258" spans="1:16" ht="13" x14ac:dyDescent="0.15">
      <c r="A258" s="62"/>
      <c r="D258" s="61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</row>
    <row r="259" spans="1:16" ht="13" x14ac:dyDescent="0.15">
      <c r="A259" s="62"/>
      <c r="D259" s="61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</row>
    <row r="260" spans="1:16" ht="13" x14ac:dyDescent="0.15">
      <c r="A260" s="62"/>
      <c r="D260" s="61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</row>
    <row r="261" spans="1:16" ht="13" x14ac:dyDescent="0.15">
      <c r="A261" s="62"/>
      <c r="D261" s="61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</row>
    <row r="262" spans="1:16" ht="13" x14ac:dyDescent="0.15">
      <c r="A262" s="62"/>
      <c r="D262" s="61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</row>
    <row r="263" spans="1:16" ht="13" x14ac:dyDescent="0.15">
      <c r="A263" s="62"/>
      <c r="D263" s="61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</row>
    <row r="264" spans="1:16" ht="13" x14ac:dyDescent="0.15">
      <c r="A264" s="62"/>
      <c r="D264" s="61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</row>
    <row r="265" spans="1:16" ht="13" x14ac:dyDescent="0.15">
      <c r="A265" s="62"/>
      <c r="D265" s="61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</row>
    <row r="266" spans="1:16" ht="13" x14ac:dyDescent="0.15">
      <c r="A266" s="62"/>
      <c r="D266" s="61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</row>
    <row r="267" spans="1:16" ht="13" x14ac:dyDescent="0.15">
      <c r="A267" s="62"/>
      <c r="D267" s="61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</row>
    <row r="268" spans="1:16" ht="13" x14ac:dyDescent="0.15">
      <c r="A268" s="62"/>
      <c r="D268" s="61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</row>
    <row r="269" spans="1:16" ht="13" x14ac:dyDescent="0.15">
      <c r="A269" s="62"/>
      <c r="D269" s="61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</row>
    <row r="270" spans="1:16" ht="13" x14ac:dyDescent="0.15">
      <c r="A270" s="62"/>
      <c r="D270" s="61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</row>
    <row r="271" spans="1:16" ht="13" x14ac:dyDescent="0.15">
      <c r="A271" s="62"/>
      <c r="D271" s="61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</row>
    <row r="272" spans="1:16" ht="13" x14ac:dyDescent="0.15">
      <c r="A272" s="62"/>
      <c r="D272" s="61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</row>
    <row r="273" spans="1:16" ht="13" x14ac:dyDescent="0.15">
      <c r="A273" s="62"/>
      <c r="D273" s="61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</row>
    <row r="274" spans="1:16" ht="13" x14ac:dyDescent="0.15">
      <c r="A274" s="62"/>
      <c r="D274" s="61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</row>
    <row r="275" spans="1:16" ht="13" x14ac:dyDescent="0.15">
      <c r="A275" s="62"/>
      <c r="D275" s="61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</row>
    <row r="276" spans="1:16" ht="13" x14ac:dyDescent="0.15">
      <c r="A276" s="62"/>
      <c r="D276" s="61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</row>
    <row r="277" spans="1:16" ht="13" x14ac:dyDescent="0.15">
      <c r="A277" s="62"/>
      <c r="D277" s="61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</row>
    <row r="278" spans="1:16" ht="13" x14ac:dyDescent="0.15">
      <c r="A278" s="62"/>
      <c r="D278" s="61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</row>
    <row r="279" spans="1:16" ht="13" x14ac:dyDescent="0.15">
      <c r="A279" s="62"/>
      <c r="D279" s="61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</row>
    <row r="280" spans="1:16" ht="13" x14ac:dyDescent="0.15">
      <c r="A280" s="62"/>
      <c r="D280" s="61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</row>
    <row r="281" spans="1:16" ht="13" x14ac:dyDescent="0.15">
      <c r="A281" s="62"/>
      <c r="D281" s="61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</row>
    <row r="282" spans="1:16" ht="13" x14ac:dyDescent="0.15">
      <c r="A282" s="62"/>
      <c r="D282" s="61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</row>
    <row r="283" spans="1:16" ht="13" x14ac:dyDescent="0.15">
      <c r="A283" s="62"/>
      <c r="D283" s="61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</row>
    <row r="284" spans="1:16" ht="13" x14ac:dyDescent="0.15">
      <c r="A284" s="62"/>
      <c r="D284" s="61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</row>
    <row r="285" spans="1:16" ht="13" x14ac:dyDescent="0.15">
      <c r="A285" s="62"/>
      <c r="D285" s="61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</row>
    <row r="286" spans="1:16" ht="13" x14ac:dyDescent="0.15">
      <c r="A286" s="62"/>
      <c r="D286" s="61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</row>
    <row r="287" spans="1:16" ht="13" x14ac:dyDescent="0.15">
      <c r="A287" s="62"/>
      <c r="D287" s="61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</row>
    <row r="288" spans="1:16" ht="13" x14ac:dyDescent="0.15">
      <c r="A288" s="62"/>
      <c r="D288" s="61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</row>
    <row r="289" spans="1:16" ht="13" x14ac:dyDescent="0.15">
      <c r="A289" s="62"/>
      <c r="D289" s="61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</row>
    <row r="290" spans="1:16" ht="13" x14ac:dyDescent="0.15">
      <c r="A290" s="62"/>
      <c r="D290" s="61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</row>
    <row r="291" spans="1:16" ht="13" x14ac:dyDescent="0.15">
      <c r="A291" s="62"/>
      <c r="D291" s="61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</row>
    <row r="292" spans="1:16" ht="13" x14ac:dyDescent="0.15">
      <c r="A292" s="62"/>
      <c r="D292" s="61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</row>
    <row r="293" spans="1:16" ht="13" x14ac:dyDescent="0.15">
      <c r="A293" s="62"/>
      <c r="D293" s="61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</row>
    <row r="294" spans="1:16" ht="13" x14ac:dyDescent="0.15">
      <c r="A294" s="62"/>
      <c r="D294" s="61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</row>
    <row r="295" spans="1:16" ht="13" x14ac:dyDescent="0.15">
      <c r="A295" s="62"/>
      <c r="D295" s="61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</row>
    <row r="296" spans="1:16" ht="13" x14ac:dyDescent="0.15">
      <c r="A296" s="62"/>
      <c r="D296" s="61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</row>
    <row r="297" spans="1:16" ht="13" x14ac:dyDescent="0.15">
      <c r="A297" s="62"/>
      <c r="D297" s="61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</row>
    <row r="298" spans="1:16" ht="13" x14ac:dyDescent="0.15">
      <c r="A298" s="62"/>
      <c r="D298" s="61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</row>
    <row r="299" spans="1:16" ht="13" x14ac:dyDescent="0.15">
      <c r="A299" s="62"/>
      <c r="D299" s="61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</row>
    <row r="300" spans="1:16" ht="13" x14ac:dyDescent="0.15">
      <c r="A300" s="62"/>
      <c r="D300" s="61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</row>
    <row r="301" spans="1:16" ht="13" x14ac:dyDescent="0.15">
      <c r="A301" s="62"/>
      <c r="D301" s="61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</row>
    <row r="302" spans="1:16" ht="13" x14ac:dyDescent="0.15">
      <c r="A302" s="62"/>
      <c r="D302" s="61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</row>
    <row r="303" spans="1:16" ht="13" x14ac:dyDescent="0.15">
      <c r="A303" s="62"/>
      <c r="D303" s="61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</row>
    <row r="304" spans="1:16" ht="13" x14ac:dyDescent="0.15">
      <c r="A304" s="62"/>
      <c r="D304" s="61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</row>
    <row r="305" spans="1:16" ht="13" x14ac:dyDescent="0.15">
      <c r="A305" s="62"/>
      <c r="D305" s="61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</row>
    <row r="306" spans="1:16" ht="13" x14ac:dyDescent="0.15">
      <c r="A306" s="62"/>
      <c r="D306" s="61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</row>
    <row r="307" spans="1:16" ht="13" x14ac:dyDescent="0.15">
      <c r="A307" s="62"/>
      <c r="D307" s="61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</row>
    <row r="308" spans="1:16" ht="13" x14ac:dyDescent="0.15">
      <c r="A308" s="62"/>
      <c r="D308" s="61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</row>
    <row r="309" spans="1:16" ht="13" x14ac:dyDescent="0.15">
      <c r="A309" s="62"/>
      <c r="D309" s="61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</row>
    <row r="310" spans="1:16" ht="13" x14ac:dyDescent="0.15">
      <c r="A310" s="62"/>
      <c r="D310" s="61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</row>
    <row r="311" spans="1:16" ht="13" x14ac:dyDescent="0.15">
      <c r="A311" s="62"/>
      <c r="D311" s="61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</row>
    <row r="312" spans="1:16" ht="13" x14ac:dyDescent="0.15">
      <c r="A312" s="62"/>
      <c r="D312" s="61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</row>
    <row r="313" spans="1:16" ht="13" x14ac:dyDescent="0.15">
      <c r="A313" s="62"/>
      <c r="D313" s="61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</row>
    <row r="314" spans="1:16" ht="13" x14ac:dyDescent="0.15">
      <c r="A314" s="62"/>
      <c r="D314" s="61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</row>
    <row r="315" spans="1:16" ht="13" x14ac:dyDescent="0.15">
      <c r="A315" s="62"/>
      <c r="D315" s="61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</row>
    <row r="316" spans="1:16" ht="13" x14ac:dyDescent="0.15">
      <c r="A316" s="62"/>
      <c r="D316" s="61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</row>
    <row r="317" spans="1:16" ht="13" x14ac:dyDescent="0.15">
      <c r="A317" s="62"/>
      <c r="D317" s="61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</row>
    <row r="318" spans="1:16" ht="13" x14ac:dyDescent="0.15">
      <c r="A318" s="62"/>
      <c r="D318" s="61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</row>
    <row r="319" spans="1:16" ht="13" x14ac:dyDescent="0.15">
      <c r="A319" s="62"/>
      <c r="D319" s="61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</row>
    <row r="320" spans="1:16" ht="13" x14ac:dyDescent="0.15">
      <c r="A320" s="62"/>
      <c r="D320" s="61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</row>
    <row r="321" spans="1:16" ht="13" x14ac:dyDescent="0.15">
      <c r="A321" s="62"/>
      <c r="D321" s="61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</row>
    <row r="322" spans="1:16" ht="13" x14ac:dyDescent="0.15">
      <c r="A322" s="62"/>
      <c r="D322" s="61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</row>
    <row r="323" spans="1:16" ht="13" x14ac:dyDescent="0.15">
      <c r="A323" s="62"/>
      <c r="D323" s="61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</row>
    <row r="324" spans="1:16" ht="13" x14ac:dyDescent="0.15">
      <c r="A324" s="62"/>
      <c r="D324" s="61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</row>
    <row r="325" spans="1:16" ht="13" x14ac:dyDescent="0.15">
      <c r="A325" s="62"/>
      <c r="D325" s="61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</row>
    <row r="326" spans="1:16" ht="13" x14ac:dyDescent="0.15">
      <c r="A326" s="62"/>
      <c r="D326" s="61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</row>
    <row r="327" spans="1:16" ht="13" x14ac:dyDescent="0.15">
      <c r="A327" s="62"/>
      <c r="D327" s="61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</row>
    <row r="328" spans="1:16" ht="13" x14ac:dyDescent="0.15">
      <c r="A328" s="62"/>
      <c r="D328" s="61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</row>
    <row r="329" spans="1:16" ht="13" x14ac:dyDescent="0.15">
      <c r="A329" s="62"/>
      <c r="D329" s="61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</row>
    <row r="330" spans="1:16" ht="13" x14ac:dyDescent="0.15">
      <c r="A330" s="62"/>
      <c r="D330" s="61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</row>
    <row r="331" spans="1:16" ht="13" x14ac:dyDescent="0.15">
      <c r="A331" s="62"/>
      <c r="D331" s="61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</row>
    <row r="332" spans="1:16" ht="13" x14ac:dyDescent="0.15">
      <c r="A332" s="62"/>
      <c r="D332" s="61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</row>
    <row r="333" spans="1:16" ht="13" x14ac:dyDescent="0.15">
      <c r="A333" s="62"/>
      <c r="D333" s="61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</row>
    <row r="334" spans="1:16" ht="13" x14ac:dyDescent="0.15">
      <c r="A334" s="62"/>
      <c r="D334" s="61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</row>
    <row r="335" spans="1:16" ht="13" x14ac:dyDescent="0.15">
      <c r="A335" s="62"/>
      <c r="D335" s="61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</row>
    <row r="336" spans="1:16" ht="13" x14ac:dyDescent="0.15">
      <c r="A336" s="62"/>
      <c r="D336" s="61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</row>
    <row r="337" spans="1:16" ht="13" x14ac:dyDescent="0.15">
      <c r="A337" s="62"/>
      <c r="D337" s="61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</row>
    <row r="338" spans="1:16" ht="13" x14ac:dyDescent="0.15">
      <c r="A338" s="62"/>
      <c r="D338" s="61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</row>
    <row r="339" spans="1:16" ht="13" x14ac:dyDescent="0.15">
      <c r="A339" s="62"/>
      <c r="D339" s="61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</row>
    <row r="340" spans="1:16" ht="13" x14ac:dyDescent="0.15">
      <c r="A340" s="62"/>
      <c r="D340" s="61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</row>
    <row r="341" spans="1:16" ht="13" x14ac:dyDescent="0.15">
      <c r="A341" s="62"/>
      <c r="D341" s="61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</row>
    <row r="342" spans="1:16" ht="13" x14ac:dyDescent="0.15">
      <c r="A342" s="62"/>
      <c r="D342" s="61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</row>
    <row r="343" spans="1:16" ht="13" x14ac:dyDescent="0.15">
      <c r="A343" s="62"/>
      <c r="D343" s="61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</row>
    <row r="344" spans="1:16" ht="13" x14ac:dyDescent="0.15">
      <c r="A344" s="62"/>
      <c r="D344" s="61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</row>
    <row r="345" spans="1:16" ht="13" x14ac:dyDescent="0.15">
      <c r="A345" s="62"/>
      <c r="D345" s="61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</row>
    <row r="346" spans="1:16" ht="13" x14ac:dyDescent="0.15">
      <c r="A346" s="62"/>
      <c r="D346" s="61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</row>
    <row r="347" spans="1:16" ht="13" x14ac:dyDescent="0.15">
      <c r="A347" s="62"/>
      <c r="D347" s="61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</row>
    <row r="348" spans="1:16" ht="13" x14ac:dyDescent="0.15">
      <c r="A348" s="62"/>
      <c r="D348" s="61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</row>
    <row r="349" spans="1:16" ht="13" x14ac:dyDescent="0.15">
      <c r="A349" s="62"/>
      <c r="D349" s="61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</row>
    <row r="350" spans="1:16" ht="13" x14ac:dyDescent="0.15">
      <c r="A350" s="62"/>
      <c r="D350" s="61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</row>
    <row r="351" spans="1:16" ht="13" x14ac:dyDescent="0.15">
      <c r="A351" s="62"/>
      <c r="D351" s="61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</row>
    <row r="352" spans="1:16" ht="13" x14ac:dyDescent="0.15">
      <c r="A352" s="62"/>
      <c r="D352" s="61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</row>
    <row r="353" spans="1:16" ht="13" x14ac:dyDescent="0.15">
      <c r="A353" s="62"/>
      <c r="D353" s="61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</row>
    <row r="354" spans="1:16" ht="13" x14ac:dyDescent="0.15">
      <c r="A354" s="62"/>
      <c r="D354" s="61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</row>
    <row r="355" spans="1:16" ht="13" x14ac:dyDescent="0.15">
      <c r="A355" s="62"/>
      <c r="D355" s="61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</row>
    <row r="356" spans="1:16" ht="13" x14ac:dyDescent="0.15">
      <c r="A356" s="62"/>
      <c r="D356" s="61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</row>
    <row r="357" spans="1:16" ht="13" x14ac:dyDescent="0.15">
      <c r="A357" s="62"/>
      <c r="D357" s="61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</row>
    <row r="358" spans="1:16" ht="13" x14ac:dyDescent="0.15">
      <c r="A358" s="62"/>
      <c r="D358" s="61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</row>
    <row r="359" spans="1:16" ht="13" x14ac:dyDescent="0.15">
      <c r="A359" s="62"/>
      <c r="D359" s="61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</row>
    <row r="360" spans="1:16" ht="13" x14ac:dyDescent="0.15">
      <c r="A360" s="62"/>
      <c r="D360" s="61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</row>
    <row r="361" spans="1:16" ht="13" x14ac:dyDescent="0.15">
      <c r="A361" s="62"/>
      <c r="D361" s="61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</row>
    <row r="362" spans="1:16" ht="13" x14ac:dyDescent="0.15">
      <c r="A362" s="62"/>
      <c r="D362" s="61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</row>
    <row r="363" spans="1:16" ht="13" x14ac:dyDescent="0.15">
      <c r="A363" s="62"/>
      <c r="D363" s="61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</row>
    <row r="364" spans="1:16" ht="13" x14ac:dyDescent="0.15">
      <c r="A364" s="62"/>
      <c r="D364" s="61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</row>
    <row r="365" spans="1:16" ht="13" x14ac:dyDescent="0.15">
      <c r="A365" s="62"/>
      <c r="D365" s="61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</row>
    <row r="366" spans="1:16" ht="13" x14ac:dyDescent="0.15">
      <c r="A366" s="62"/>
      <c r="D366" s="61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</row>
    <row r="367" spans="1:16" ht="13" x14ac:dyDescent="0.15">
      <c r="A367" s="62"/>
      <c r="D367" s="61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</row>
    <row r="368" spans="1:16" ht="13" x14ac:dyDescent="0.15">
      <c r="A368" s="62"/>
      <c r="D368" s="61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</row>
    <row r="369" spans="1:16" ht="13" x14ac:dyDescent="0.15">
      <c r="A369" s="62"/>
      <c r="D369" s="61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</row>
    <row r="370" spans="1:16" ht="13" x14ac:dyDescent="0.15">
      <c r="A370" s="62"/>
      <c r="D370" s="61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</row>
    <row r="371" spans="1:16" ht="13" x14ac:dyDescent="0.15">
      <c r="A371" s="62"/>
      <c r="D371" s="61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</row>
    <row r="372" spans="1:16" ht="13" x14ac:dyDescent="0.15">
      <c r="A372" s="62"/>
      <c r="D372" s="61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</row>
    <row r="373" spans="1:16" ht="13" x14ac:dyDescent="0.15">
      <c r="A373" s="62"/>
      <c r="D373" s="61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</row>
    <row r="374" spans="1:16" ht="13" x14ac:dyDescent="0.15">
      <c r="A374" s="62"/>
      <c r="D374" s="61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</row>
    <row r="375" spans="1:16" ht="13" x14ac:dyDescent="0.15">
      <c r="A375" s="62"/>
      <c r="D375" s="61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</row>
    <row r="376" spans="1:16" ht="13" x14ac:dyDescent="0.15">
      <c r="A376" s="62"/>
      <c r="D376" s="61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</row>
    <row r="377" spans="1:16" ht="13" x14ac:dyDescent="0.15">
      <c r="A377" s="62"/>
      <c r="D377" s="61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</row>
    <row r="378" spans="1:16" ht="13" x14ac:dyDescent="0.15">
      <c r="A378" s="62"/>
      <c r="D378" s="61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</row>
    <row r="379" spans="1:16" ht="13" x14ac:dyDescent="0.15">
      <c r="A379" s="62"/>
      <c r="D379" s="61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</row>
    <row r="380" spans="1:16" ht="13" x14ac:dyDescent="0.15">
      <c r="A380" s="62"/>
      <c r="D380" s="61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</row>
    <row r="381" spans="1:16" ht="13" x14ac:dyDescent="0.15">
      <c r="A381" s="62"/>
      <c r="D381" s="61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</row>
    <row r="382" spans="1:16" ht="13" x14ac:dyDescent="0.15">
      <c r="A382" s="62"/>
      <c r="D382" s="61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</row>
    <row r="383" spans="1:16" ht="13" x14ac:dyDescent="0.15">
      <c r="A383" s="62"/>
      <c r="D383" s="61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</row>
    <row r="384" spans="1:16" ht="13" x14ac:dyDescent="0.15">
      <c r="A384" s="62"/>
      <c r="D384" s="61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</row>
    <row r="385" spans="1:16" ht="13" x14ac:dyDescent="0.15">
      <c r="A385" s="62"/>
      <c r="D385" s="61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</row>
    <row r="386" spans="1:16" ht="13" x14ac:dyDescent="0.15">
      <c r="A386" s="62"/>
      <c r="D386" s="61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</row>
    <row r="387" spans="1:16" ht="13" x14ac:dyDescent="0.15">
      <c r="A387" s="62"/>
      <c r="D387" s="61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</row>
    <row r="388" spans="1:16" ht="13" x14ac:dyDescent="0.15">
      <c r="A388" s="62"/>
      <c r="D388" s="61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</row>
    <row r="389" spans="1:16" ht="13" x14ac:dyDescent="0.15">
      <c r="A389" s="62"/>
      <c r="D389" s="61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</row>
    <row r="390" spans="1:16" ht="13" x14ac:dyDescent="0.15">
      <c r="A390" s="62"/>
      <c r="D390" s="61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</row>
    <row r="391" spans="1:16" ht="13" x14ac:dyDescent="0.15">
      <c r="A391" s="62"/>
      <c r="D391" s="61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</row>
    <row r="392" spans="1:16" ht="13" x14ac:dyDescent="0.15">
      <c r="A392" s="62"/>
      <c r="D392" s="61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</row>
    <row r="393" spans="1:16" ht="13" x14ac:dyDescent="0.15">
      <c r="A393" s="62"/>
      <c r="D393" s="61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</row>
    <row r="394" spans="1:16" ht="13" x14ac:dyDescent="0.15">
      <c r="A394" s="62"/>
      <c r="D394" s="61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</row>
    <row r="395" spans="1:16" ht="13" x14ac:dyDescent="0.15">
      <c r="A395" s="62"/>
      <c r="D395" s="61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</row>
    <row r="396" spans="1:16" ht="13" x14ac:dyDescent="0.15">
      <c r="A396" s="62"/>
      <c r="D396" s="61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</row>
    <row r="397" spans="1:16" ht="13" x14ac:dyDescent="0.15">
      <c r="A397" s="62"/>
      <c r="D397" s="61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</row>
    <row r="398" spans="1:16" ht="13" x14ac:dyDescent="0.15">
      <c r="A398" s="62"/>
      <c r="D398" s="61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</row>
    <row r="399" spans="1:16" ht="13" x14ac:dyDescent="0.15">
      <c r="A399" s="62"/>
      <c r="D399" s="61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</row>
    <row r="400" spans="1:16" ht="13" x14ac:dyDescent="0.15">
      <c r="A400" s="62"/>
      <c r="D400" s="61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</row>
    <row r="401" spans="1:16" ht="13" x14ac:dyDescent="0.15">
      <c r="A401" s="62"/>
      <c r="D401" s="61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</row>
    <row r="402" spans="1:16" ht="13" x14ac:dyDescent="0.15">
      <c r="A402" s="62"/>
      <c r="D402" s="61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</row>
    <row r="403" spans="1:16" ht="13" x14ac:dyDescent="0.15">
      <c r="A403" s="62"/>
      <c r="D403" s="61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</row>
    <row r="404" spans="1:16" ht="13" x14ac:dyDescent="0.15">
      <c r="A404" s="62"/>
      <c r="D404" s="61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</row>
    <row r="405" spans="1:16" ht="13" x14ac:dyDescent="0.15">
      <c r="A405" s="62"/>
      <c r="D405" s="61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</row>
    <row r="406" spans="1:16" ht="13" x14ac:dyDescent="0.15">
      <c r="A406" s="62"/>
      <c r="D406" s="61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</row>
    <row r="407" spans="1:16" ht="13" x14ac:dyDescent="0.15">
      <c r="A407" s="62"/>
      <c r="D407" s="61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</row>
    <row r="408" spans="1:16" ht="13" x14ac:dyDescent="0.15">
      <c r="A408" s="62"/>
      <c r="D408" s="61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</row>
    <row r="409" spans="1:16" ht="13" x14ac:dyDescent="0.15">
      <c r="A409" s="62"/>
      <c r="D409" s="61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</row>
    <row r="410" spans="1:16" ht="13" x14ac:dyDescent="0.15">
      <c r="A410" s="62"/>
      <c r="D410" s="61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</row>
    <row r="411" spans="1:16" ht="13" x14ac:dyDescent="0.15">
      <c r="A411" s="62"/>
      <c r="D411" s="61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</row>
    <row r="412" spans="1:16" ht="13" x14ac:dyDescent="0.15">
      <c r="A412" s="62"/>
      <c r="D412" s="61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</row>
    <row r="413" spans="1:16" ht="13" x14ac:dyDescent="0.15">
      <c r="A413" s="62"/>
      <c r="D413" s="61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</row>
    <row r="414" spans="1:16" ht="13" x14ac:dyDescent="0.15">
      <c r="A414" s="62"/>
      <c r="D414" s="61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</row>
    <row r="415" spans="1:16" ht="13" x14ac:dyDescent="0.15">
      <c r="A415" s="62"/>
      <c r="D415" s="61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</row>
    <row r="416" spans="1:16" ht="13" x14ac:dyDescent="0.15">
      <c r="A416" s="62"/>
      <c r="D416" s="61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</row>
    <row r="417" spans="1:16" ht="13" x14ac:dyDescent="0.15">
      <c r="A417" s="62"/>
      <c r="D417" s="61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</row>
    <row r="418" spans="1:16" ht="13" x14ac:dyDescent="0.15">
      <c r="A418" s="62"/>
      <c r="D418" s="61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</row>
    <row r="419" spans="1:16" ht="13" x14ac:dyDescent="0.15">
      <c r="A419" s="62"/>
      <c r="D419" s="61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</row>
    <row r="420" spans="1:16" ht="13" x14ac:dyDescent="0.15">
      <c r="A420" s="62"/>
      <c r="D420" s="61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</row>
    <row r="421" spans="1:16" ht="13" x14ac:dyDescent="0.15">
      <c r="A421" s="62"/>
      <c r="D421" s="61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</row>
    <row r="422" spans="1:16" ht="13" x14ac:dyDescent="0.15">
      <c r="A422" s="62"/>
      <c r="D422" s="61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</row>
    <row r="423" spans="1:16" ht="13" x14ac:dyDescent="0.15">
      <c r="A423" s="62"/>
      <c r="D423" s="61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</row>
    <row r="424" spans="1:16" ht="13" x14ac:dyDescent="0.15">
      <c r="A424" s="62"/>
      <c r="D424" s="61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</row>
    <row r="425" spans="1:16" ht="13" x14ac:dyDescent="0.15">
      <c r="A425" s="62"/>
      <c r="D425" s="61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</row>
    <row r="426" spans="1:16" ht="13" x14ac:dyDescent="0.15">
      <c r="A426" s="62"/>
      <c r="D426" s="61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</row>
    <row r="427" spans="1:16" ht="13" x14ac:dyDescent="0.15">
      <c r="A427" s="62"/>
      <c r="D427" s="61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</row>
    <row r="428" spans="1:16" ht="13" x14ac:dyDescent="0.15">
      <c r="A428" s="62"/>
      <c r="D428" s="61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</row>
    <row r="429" spans="1:16" ht="13" x14ac:dyDescent="0.15">
      <c r="A429" s="62"/>
      <c r="D429" s="61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</row>
    <row r="430" spans="1:16" ht="13" x14ac:dyDescent="0.15">
      <c r="A430" s="62"/>
      <c r="D430" s="61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</row>
    <row r="431" spans="1:16" ht="13" x14ac:dyDescent="0.15">
      <c r="A431" s="62"/>
      <c r="D431" s="61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</row>
    <row r="432" spans="1:16" ht="13" x14ac:dyDescent="0.15">
      <c r="A432" s="62"/>
      <c r="D432" s="61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</row>
    <row r="433" spans="1:16" ht="13" x14ac:dyDescent="0.15">
      <c r="A433" s="62"/>
      <c r="D433" s="61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</row>
    <row r="434" spans="1:16" ht="13" x14ac:dyDescent="0.15">
      <c r="A434" s="62"/>
      <c r="D434" s="61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</row>
    <row r="435" spans="1:16" ht="13" x14ac:dyDescent="0.15">
      <c r="A435" s="62"/>
      <c r="D435" s="61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</row>
    <row r="436" spans="1:16" ht="13" x14ac:dyDescent="0.15">
      <c r="A436" s="62"/>
      <c r="D436" s="61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</row>
    <row r="437" spans="1:16" ht="13" x14ac:dyDescent="0.15">
      <c r="A437" s="62"/>
      <c r="D437" s="61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</row>
    <row r="438" spans="1:16" ht="13" x14ac:dyDescent="0.15">
      <c r="A438" s="62"/>
      <c r="D438" s="61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</row>
    <row r="439" spans="1:16" ht="13" x14ac:dyDescent="0.15">
      <c r="A439" s="62"/>
      <c r="D439" s="61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</row>
    <row r="440" spans="1:16" ht="13" x14ac:dyDescent="0.15">
      <c r="A440" s="62"/>
      <c r="D440" s="61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</row>
    <row r="441" spans="1:16" ht="13" x14ac:dyDescent="0.15">
      <c r="A441" s="62"/>
      <c r="D441" s="61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</row>
    <row r="442" spans="1:16" ht="13" x14ac:dyDescent="0.15">
      <c r="A442" s="62"/>
      <c r="D442" s="61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</row>
    <row r="443" spans="1:16" ht="13" x14ac:dyDescent="0.15">
      <c r="A443" s="62"/>
      <c r="D443" s="61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</row>
    <row r="444" spans="1:16" ht="13" x14ac:dyDescent="0.15">
      <c r="A444" s="62"/>
      <c r="D444" s="61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</row>
    <row r="445" spans="1:16" ht="13" x14ac:dyDescent="0.15">
      <c r="A445" s="62"/>
      <c r="D445" s="61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</row>
    <row r="446" spans="1:16" ht="13" x14ac:dyDescent="0.15">
      <c r="A446" s="62"/>
      <c r="D446" s="61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</row>
    <row r="447" spans="1:16" ht="13" x14ac:dyDescent="0.15">
      <c r="A447" s="62"/>
      <c r="D447" s="61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</row>
    <row r="448" spans="1:16" ht="13" x14ac:dyDescent="0.15">
      <c r="A448" s="62"/>
      <c r="D448" s="61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</row>
    <row r="449" spans="1:16" ht="13" x14ac:dyDescent="0.15">
      <c r="A449" s="62"/>
      <c r="D449" s="61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</row>
    <row r="450" spans="1:16" ht="13" x14ac:dyDescent="0.15">
      <c r="A450" s="62"/>
      <c r="D450" s="61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</row>
    <row r="451" spans="1:16" ht="13" x14ac:dyDescent="0.15">
      <c r="A451" s="62"/>
      <c r="D451" s="61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</row>
    <row r="452" spans="1:16" ht="13" x14ac:dyDescent="0.15">
      <c r="A452" s="62"/>
      <c r="D452" s="61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</row>
    <row r="453" spans="1:16" ht="13" x14ac:dyDescent="0.15">
      <c r="A453" s="62"/>
      <c r="D453" s="61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</row>
    <row r="454" spans="1:16" ht="13" x14ac:dyDescent="0.15">
      <c r="A454" s="62"/>
      <c r="D454" s="61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</row>
    <row r="455" spans="1:16" ht="13" x14ac:dyDescent="0.15">
      <c r="A455" s="62"/>
      <c r="D455" s="61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</row>
    <row r="456" spans="1:16" ht="13" x14ac:dyDescent="0.15">
      <c r="A456" s="62"/>
      <c r="D456" s="61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</row>
    <row r="457" spans="1:16" ht="13" x14ac:dyDescent="0.15">
      <c r="A457" s="62"/>
      <c r="D457" s="61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</row>
    <row r="458" spans="1:16" ht="13" x14ac:dyDescent="0.15">
      <c r="A458" s="62"/>
      <c r="D458" s="61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</row>
    <row r="459" spans="1:16" ht="13" x14ac:dyDescent="0.15">
      <c r="A459" s="62"/>
      <c r="D459" s="61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</row>
    <row r="460" spans="1:16" ht="13" x14ac:dyDescent="0.15">
      <c r="A460" s="62"/>
      <c r="D460" s="61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</row>
    <row r="461" spans="1:16" ht="13" x14ac:dyDescent="0.15">
      <c r="A461" s="62"/>
      <c r="D461" s="61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</row>
    <row r="462" spans="1:16" ht="13" x14ac:dyDescent="0.15">
      <c r="A462" s="62"/>
      <c r="D462" s="61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</row>
    <row r="463" spans="1:16" ht="13" x14ac:dyDescent="0.15">
      <c r="A463" s="62"/>
      <c r="D463" s="61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</row>
    <row r="464" spans="1:16" ht="13" x14ac:dyDescent="0.15">
      <c r="A464" s="62"/>
      <c r="D464" s="61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</row>
    <row r="465" spans="1:16" ht="13" x14ac:dyDescent="0.15">
      <c r="A465" s="62"/>
      <c r="D465" s="61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</row>
    <row r="466" spans="1:16" ht="13" x14ac:dyDescent="0.15">
      <c r="A466" s="62"/>
      <c r="D466" s="61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</row>
    <row r="467" spans="1:16" ht="13" x14ac:dyDescent="0.15">
      <c r="A467" s="62"/>
      <c r="D467" s="61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</row>
    <row r="468" spans="1:16" ht="13" x14ac:dyDescent="0.15">
      <c r="A468" s="62"/>
      <c r="D468" s="61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</row>
    <row r="469" spans="1:16" ht="13" x14ac:dyDescent="0.15">
      <c r="A469" s="62"/>
      <c r="D469" s="61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</row>
    <row r="470" spans="1:16" ht="13" x14ac:dyDescent="0.15">
      <c r="A470" s="62"/>
      <c r="D470" s="61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</row>
    <row r="471" spans="1:16" ht="13" x14ac:dyDescent="0.15">
      <c r="A471" s="62"/>
      <c r="D471" s="61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</row>
    <row r="472" spans="1:16" ht="13" x14ac:dyDescent="0.15">
      <c r="A472" s="62"/>
      <c r="D472" s="61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</row>
    <row r="473" spans="1:16" ht="13" x14ac:dyDescent="0.15">
      <c r="A473" s="62"/>
      <c r="D473" s="61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</row>
    <row r="474" spans="1:16" ht="13" x14ac:dyDescent="0.15">
      <c r="A474" s="62"/>
      <c r="D474" s="61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</row>
    <row r="475" spans="1:16" ht="13" x14ac:dyDescent="0.15">
      <c r="A475" s="62"/>
      <c r="D475" s="61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</row>
    <row r="476" spans="1:16" ht="13" x14ac:dyDescent="0.15">
      <c r="A476" s="62"/>
      <c r="D476" s="61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</row>
    <row r="477" spans="1:16" ht="13" x14ac:dyDescent="0.15">
      <c r="A477" s="62"/>
      <c r="D477" s="61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</row>
    <row r="478" spans="1:16" ht="13" x14ac:dyDescent="0.15">
      <c r="A478" s="62"/>
      <c r="D478" s="61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</row>
    <row r="479" spans="1:16" ht="13" x14ac:dyDescent="0.15">
      <c r="A479" s="62"/>
      <c r="D479" s="61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</row>
    <row r="480" spans="1:16" ht="13" x14ac:dyDescent="0.15">
      <c r="A480" s="62"/>
      <c r="D480" s="61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</row>
    <row r="481" spans="1:16" ht="13" x14ac:dyDescent="0.15">
      <c r="A481" s="62"/>
      <c r="D481" s="61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</row>
    <row r="482" spans="1:16" ht="13" x14ac:dyDescent="0.15">
      <c r="A482" s="62"/>
      <c r="D482" s="61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</row>
    <row r="483" spans="1:16" ht="13" x14ac:dyDescent="0.15">
      <c r="A483" s="62"/>
      <c r="D483" s="61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</row>
    <row r="484" spans="1:16" ht="13" x14ac:dyDescent="0.15">
      <c r="A484" s="62"/>
      <c r="D484" s="61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</row>
    <row r="485" spans="1:16" ht="13" x14ac:dyDescent="0.15">
      <c r="A485" s="62"/>
      <c r="D485" s="61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</row>
    <row r="486" spans="1:16" ht="13" x14ac:dyDescent="0.15">
      <c r="A486" s="62"/>
      <c r="D486" s="61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</row>
    <row r="487" spans="1:16" ht="13" x14ac:dyDescent="0.15">
      <c r="A487" s="62"/>
      <c r="D487" s="61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</row>
    <row r="488" spans="1:16" ht="13" x14ac:dyDescent="0.15">
      <c r="A488" s="62"/>
      <c r="D488" s="61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</row>
    <row r="489" spans="1:16" ht="13" x14ac:dyDescent="0.15">
      <c r="A489" s="62"/>
      <c r="D489" s="61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</row>
    <row r="490" spans="1:16" ht="13" x14ac:dyDescent="0.15">
      <c r="A490" s="62"/>
      <c r="D490" s="61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</row>
    <row r="491" spans="1:16" ht="13" x14ac:dyDescent="0.15">
      <c r="A491" s="62"/>
      <c r="D491" s="61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</row>
    <row r="492" spans="1:16" ht="13" x14ac:dyDescent="0.15">
      <c r="A492" s="62"/>
      <c r="D492" s="61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</row>
    <row r="493" spans="1:16" ht="13" x14ac:dyDescent="0.15">
      <c r="A493" s="62"/>
      <c r="D493" s="61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</row>
    <row r="494" spans="1:16" ht="13" x14ac:dyDescent="0.15">
      <c r="A494" s="62"/>
      <c r="D494" s="61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</row>
    <row r="495" spans="1:16" ht="13" x14ac:dyDescent="0.15">
      <c r="A495" s="62"/>
      <c r="D495" s="61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</row>
    <row r="496" spans="1:16" ht="13" x14ac:dyDescent="0.15">
      <c r="A496" s="62"/>
      <c r="D496" s="61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</row>
    <row r="497" spans="1:16" ht="13" x14ac:dyDescent="0.15">
      <c r="A497" s="62"/>
      <c r="D497" s="61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</row>
    <row r="498" spans="1:16" ht="13" x14ac:dyDescent="0.15">
      <c r="A498" s="62"/>
      <c r="D498" s="61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</row>
    <row r="499" spans="1:16" ht="13" x14ac:dyDescent="0.15">
      <c r="A499" s="62"/>
      <c r="D499" s="61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</row>
    <row r="500" spans="1:16" ht="13" x14ac:dyDescent="0.15">
      <c r="A500" s="62"/>
      <c r="D500" s="61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</row>
    <row r="501" spans="1:16" ht="13" x14ac:dyDescent="0.15">
      <c r="A501" s="62"/>
      <c r="D501" s="61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</row>
    <row r="502" spans="1:16" ht="13" x14ac:dyDescent="0.15">
      <c r="A502" s="62"/>
      <c r="D502" s="61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</row>
    <row r="503" spans="1:16" ht="13" x14ac:dyDescent="0.15">
      <c r="A503" s="62"/>
      <c r="D503" s="61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</row>
    <row r="504" spans="1:16" ht="13" x14ac:dyDescent="0.15">
      <c r="A504" s="62"/>
      <c r="D504" s="61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</row>
    <row r="505" spans="1:16" ht="13" x14ac:dyDescent="0.15">
      <c r="A505" s="62"/>
      <c r="D505" s="61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</row>
    <row r="506" spans="1:16" ht="13" x14ac:dyDescent="0.15">
      <c r="A506" s="62"/>
      <c r="D506" s="61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</row>
    <row r="507" spans="1:16" ht="13" x14ac:dyDescent="0.15">
      <c r="A507" s="62"/>
      <c r="D507" s="61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</row>
    <row r="508" spans="1:16" ht="13" x14ac:dyDescent="0.15">
      <c r="A508" s="62"/>
      <c r="D508" s="61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</row>
    <row r="509" spans="1:16" ht="13" x14ac:dyDescent="0.15">
      <c r="A509" s="62"/>
      <c r="D509" s="61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</row>
    <row r="510" spans="1:16" ht="13" x14ac:dyDescent="0.15">
      <c r="A510" s="62"/>
      <c r="D510" s="61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</row>
    <row r="511" spans="1:16" ht="13" x14ac:dyDescent="0.15">
      <c r="A511" s="62"/>
      <c r="D511" s="61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</row>
    <row r="512" spans="1:16" ht="13" x14ac:dyDescent="0.15">
      <c r="A512" s="62"/>
      <c r="D512" s="61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</row>
    <row r="513" spans="1:16" ht="13" x14ac:dyDescent="0.15">
      <c r="A513" s="62"/>
      <c r="D513" s="61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</row>
    <row r="514" spans="1:16" ht="13" x14ac:dyDescent="0.15">
      <c r="A514" s="62"/>
      <c r="D514" s="61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</row>
    <row r="515" spans="1:16" ht="13" x14ac:dyDescent="0.15">
      <c r="A515" s="62"/>
      <c r="D515" s="61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</row>
    <row r="516" spans="1:16" ht="13" x14ac:dyDescent="0.15">
      <c r="A516" s="62"/>
      <c r="D516" s="61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</row>
    <row r="517" spans="1:16" ht="13" x14ac:dyDescent="0.15">
      <c r="A517" s="62"/>
      <c r="D517" s="61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</row>
    <row r="518" spans="1:16" ht="13" x14ac:dyDescent="0.15">
      <c r="A518" s="62"/>
      <c r="D518" s="61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</row>
    <row r="519" spans="1:16" ht="13" x14ac:dyDescent="0.15">
      <c r="A519" s="62"/>
      <c r="D519" s="61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</row>
    <row r="520" spans="1:16" ht="13" x14ac:dyDescent="0.15">
      <c r="A520" s="62"/>
      <c r="D520" s="61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</row>
    <row r="521" spans="1:16" ht="13" x14ac:dyDescent="0.15">
      <c r="A521" s="62"/>
      <c r="D521" s="61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</row>
    <row r="522" spans="1:16" ht="13" x14ac:dyDescent="0.15">
      <c r="A522" s="62"/>
      <c r="D522" s="61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</row>
    <row r="523" spans="1:16" ht="13" x14ac:dyDescent="0.15">
      <c r="A523" s="62"/>
      <c r="D523" s="61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</row>
    <row r="524" spans="1:16" ht="13" x14ac:dyDescent="0.15">
      <c r="A524" s="62"/>
      <c r="D524" s="61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</row>
    <row r="525" spans="1:16" ht="13" x14ac:dyDescent="0.15">
      <c r="A525" s="62"/>
      <c r="D525" s="61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</row>
    <row r="526" spans="1:16" ht="13" x14ac:dyDescent="0.15">
      <c r="A526" s="62"/>
      <c r="D526" s="61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</row>
    <row r="527" spans="1:16" ht="13" x14ac:dyDescent="0.15">
      <c r="A527" s="62"/>
      <c r="D527" s="61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</row>
    <row r="528" spans="1:16" ht="13" x14ac:dyDescent="0.15">
      <c r="A528" s="62"/>
      <c r="D528" s="61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</row>
    <row r="529" spans="1:16" ht="13" x14ac:dyDescent="0.15">
      <c r="A529" s="62"/>
      <c r="D529" s="61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</row>
    <row r="530" spans="1:16" ht="13" x14ac:dyDescent="0.15">
      <c r="A530" s="62"/>
      <c r="D530" s="61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</row>
    <row r="531" spans="1:16" ht="13" x14ac:dyDescent="0.15">
      <c r="A531" s="62"/>
      <c r="D531" s="61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</row>
    <row r="532" spans="1:16" ht="13" x14ac:dyDescent="0.15">
      <c r="A532" s="62"/>
      <c r="D532" s="61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</row>
    <row r="533" spans="1:16" ht="13" x14ac:dyDescent="0.15">
      <c r="A533" s="62"/>
      <c r="D533" s="61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</row>
    <row r="534" spans="1:16" ht="13" x14ac:dyDescent="0.15">
      <c r="A534" s="62"/>
      <c r="D534" s="61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</row>
    <row r="535" spans="1:16" ht="13" x14ac:dyDescent="0.15">
      <c r="A535" s="62"/>
      <c r="D535" s="61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</row>
    <row r="536" spans="1:16" ht="13" x14ac:dyDescent="0.15">
      <c r="A536" s="62"/>
      <c r="D536" s="61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</row>
    <row r="537" spans="1:16" ht="13" x14ac:dyDescent="0.15">
      <c r="A537" s="62"/>
      <c r="D537" s="61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</row>
    <row r="538" spans="1:16" ht="13" x14ac:dyDescent="0.15">
      <c r="A538" s="62"/>
      <c r="D538" s="61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</row>
    <row r="539" spans="1:16" ht="13" x14ac:dyDescent="0.15">
      <c r="A539" s="62"/>
      <c r="D539" s="61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</row>
    <row r="540" spans="1:16" ht="13" x14ac:dyDescent="0.15">
      <c r="A540" s="62"/>
      <c r="D540" s="61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</row>
    <row r="541" spans="1:16" ht="13" x14ac:dyDescent="0.15">
      <c r="A541" s="62"/>
      <c r="D541" s="61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</row>
    <row r="542" spans="1:16" ht="13" x14ac:dyDescent="0.15">
      <c r="A542" s="62"/>
      <c r="D542" s="61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</row>
    <row r="543" spans="1:16" ht="13" x14ac:dyDescent="0.15">
      <c r="A543" s="62"/>
      <c r="D543" s="61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</row>
    <row r="544" spans="1:16" ht="13" x14ac:dyDescent="0.15">
      <c r="A544" s="62"/>
      <c r="D544" s="61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</row>
    <row r="545" spans="1:16" ht="13" x14ac:dyDescent="0.15">
      <c r="A545" s="62"/>
      <c r="D545" s="61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</row>
    <row r="546" spans="1:16" ht="13" x14ac:dyDescent="0.15">
      <c r="A546" s="62"/>
      <c r="D546" s="61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</row>
    <row r="547" spans="1:16" ht="13" x14ac:dyDescent="0.15">
      <c r="A547" s="62"/>
      <c r="D547" s="61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</row>
    <row r="548" spans="1:16" ht="13" x14ac:dyDescent="0.15">
      <c r="A548" s="62"/>
      <c r="D548" s="61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</row>
    <row r="549" spans="1:16" ht="13" x14ac:dyDescent="0.15">
      <c r="A549" s="62"/>
      <c r="D549" s="61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</row>
    <row r="550" spans="1:16" ht="13" x14ac:dyDescent="0.15">
      <c r="A550" s="62"/>
      <c r="D550" s="61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</row>
    <row r="551" spans="1:16" ht="13" x14ac:dyDescent="0.15">
      <c r="A551" s="62"/>
      <c r="D551" s="61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</row>
    <row r="552" spans="1:16" ht="13" x14ac:dyDescent="0.15">
      <c r="A552" s="62"/>
      <c r="D552" s="61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</row>
    <row r="553" spans="1:16" ht="13" x14ac:dyDescent="0.15">
      <c r="A553" s="62"/>
      <c r="D553" s="61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</row>
    <row r="554" spans="1:16" ht="13" x14ac:dyDescent="0.15">
      <c r="A554" s="62"/>
      <c r="D554" s="61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</row>
    <row r="555" spans="1:16" ht="13" x14ac:dyDescent="0.15">
      <c r="A555" s="62"/>
      <c r="D555" s="61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</row>
    <row r="556" spans="1:16" ht="13" x14ac:dyDescent="0.15">
      <c r="A556" s="62"/>
      <c r="D556" s="61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</row>
    <row r="557" spans="1:16" ht="13" x14ac:dyDescent="0.15">
      <c r="A557" s="62"/>
      <c r="D557" s="61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</row>
    <row r="558" spans="1:16" ht="13" x14ac:dyDescent="0.15">
      <c r="A558" s="62"/>
      <c r="D558" s="61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</row>
    <row r="559" spans="1:16" ht="13" x14ac:dyDescent="0.15">
      <c r="A559" s="62"/>
      <c r="D559" s="61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</row>
    <row r="560" spans="1:16" ht="13" x14ac:dyDescent="0.15">
      <c r="A560" s="62"/>
      <c r="D560" s="61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</row>
    <row r="561" spans="1:16" ht="13" x14ac:dyDescent="0.15">
      <c r="A561" s="62"/>
      <c r="D561" s="61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</row>
    <row r="562" spans="1:16" ht="13" x14ac:dyDescent="0.15">
      <c r="A562" s="62"/>
      <c r="D562" s="61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</row>
    <row r="563" spans="1:16" ht="13" x14ac:dyDescent="0.15">
      <c r="A563" s="62"/>
      <c r="D563" s="61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</row>
    <row r="564" spans="1:16" ht="13" x14ac:dyDescent="0.15">
      <c r="A564" s="62"/>
      <c r="D564" s="61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</row>
    <row r="565" spans="1:16" ht="13" x14ac:dyDescent="0.15">
      <c r="A565" s="62"/>
      <c r="D565" s="61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</row>
    <row r="566" spans="1:16" ht="13" x14ac:dyDescent="0.15">
      <c r="A566" s="62"/>
      <c r="D566" s="61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</row>
    <row r="567" spans="1:16" ht="13" x14ac:dyDescent="0.15">
      <c r="A567" s="62"/>
      <c r="D567" s="61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</row>
    <row r="568" spans="1:16" ht="13" x14ac:dyDescent="0.15">
      <c r="A568" s="62"/>
      <c r="D568" s="61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</row>
    <row r="569" spans="1:16" ht="13" x14ac:dyDescent="0.15">
      <c r="A569" s="62"/>
      <c r="D569" s="61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</row>
    <row r="570" spans="1:16" ht="13" x14ac:dyDescent="0.15">
      <c r="A570" s="62"/>
      <c r="D570" s="61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</row>
    <row r="571" spans="1:16" ht="13" x14ac:dyDescent="0.15">
      <c r="A571" s="62"/>
      <c r="D571" s="61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</row>
    <row r="572" spans="1:16" ht="13" x14ac:dyDescent="0.15">
      <c r="A572" s="62"/>
      <c r="D572" s="61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</row>
    <row r="573" spans="1:16" ht="13" x14ac:dyDescent="0.15">
      <c r="A573" s="62"/>
      <c r="D573" s="61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</row>
    <row r="574" spans="1:16" ht="13" x14ac:dyDescent="0.15">
      <c r="A574" s="62"/>
      <c r="D574" s="61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</row>
    <row r="575" spans="1:16" ht="13" x14ac:dyDescent="0.15">
      <c r="A575" s="62"/>
      <c r="D575" s="61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</row>
    <row r="576" spans="1:16" ht="13" x14ac:dyDescent="0.15">
      <c r="A576" s="62"/>
      <c r="D576" s="61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</row>
    <row r="577" spans="1:16" ht="13" x14ac:dyDescent="0.15">
      <c r="A577" s="62"/>
      <c r="D577" s="61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</row>
    <row r="578" spans="1:16" ht="13" x14ac:dyDescent="0.15">
      <c r="A578" s="62"/>
      <c r="D578" s="61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</row>
    <row r="579" spans="1:16" ht="13" x14ac:dyDescent="0.15">
      <c r="A579" s="62"/>
      <c r="D579" s="61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</row>
    <row r="580" spans="1:16" ht="13" x14ac:dyDescent="0.15">
      <c r="A580" s="62"/>
      <c r="D580" s="61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</row>
    <row r="581" spans="1:16" ht="13" x14ac:dyDescent="0.15">
      <c r="A581" s="62"/>
      <c r="D581" s="61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</row>
    <row r="582" spans="1:16" ht="13" x14ac:dyDescent="0.15">
      <c r="A582" s="62"/>
      <c r="D582" s="61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</row>
    <row r="583" spans="1:16" ht="13" x14ac:dyDescent="0.15">
      <c r="A583" s="62"/>
      <c r="D583" s="61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</row>
    <row r="584" spans="1:16" ht="13" x14ac:dyDescent="0.15">
      <c r="A584" s="62"/>
      <c r="D584" s="61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</row>
    <row r="585" spans="1:16" ht="13" x14ac:dyDescent="0.15">
      <c r="A585" s="62"/>
      <c r="D585" s="61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</row>
    <row r="586" spans="1:16" ht="13" x14ac:dyDescent="0.15">
      <c r="A586" s="62"/>
      <c r="D586" s="61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</row>
    <row r="587" spans="1:16" ht="13" x14ac:dyDescent="0.15">
      <c r="A587" s="62"/>
      <c r="D587" s="61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</row>
    <row r="588" spans="1:16" ht="13" x14ac:dyDescent="0.15">
      <c r="A588" s="62"/>
      <c r="D588" s="61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</row>
    <row r="589" spans="1:16" ht="13" x14ac:dyDescent="0.15">
      <c r="A589" s="62"/>
      <c r="D589" s="61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</row>
    <row r="590" spans="1:16" ht="13" x14ac:dyDescent="0.15">
      <c r="A590" s="62"/>
      <c r="D590" s="61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</row>
    <row r="591" spans="1:16" ht="13" x14ac:dyDescent="0.15">
      <c r="A591" s="62"/>
      <c r="D591" s="61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</row>
    <row r="592" spans="1:16" ht="13" x14ac:dyDescent="0.15">
      <c r="A592" s="62"/>
      <c r="D592" s="61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</row>
    <row r="593" spans="1:16" ht="13" x14ac:dyDescent="0.15">
      <c r="A593" s="62"/>
      <c r="D593" s="61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</row>
    <row r="594" spans="1:16" ht="13" x14ac:dyDescent="0.15">
      <c r="A594" s="62"/>
      <c r="D594" s="61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</row>
    <row r="595" spans="1:16" ht="13" x14ac:dyDescent="0.15">
      <c r="A595" s="62"/>
      <c r="D595" s="61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</row>
    <row r="596" spans="1:16" ht="13" x14ac:dyDescent="0.15">
      <c r="A596" s="62"/>
      <c r="D596" s="61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</row>
    <row r="597" spans="1:16" ht="13" x14ac:dyDescent="0.15">
      <c r="A597" s="62"/>
      <c r="D597" s="61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</row>
    <row r="598" spans="1:16" ht="13" x14ac:dyDescent="0.15">
      <c r="A598" s="62"/>
      <c r="D598" s="61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</row>
    <row r="599" spans="1:16" ht="13" x14ac:dyDescent="0.15">
      <c r="A599" s="62"/>
      <c r="D599" s="61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</row>
    <row r="600" spans="1:16" ht="13" x14ac:dyDescent="0.15">
      <c r="A600" s="62"/>
      <c r="D600" s="61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</row>
    <row r="601" spans="1:16" ht="13" x14ac:dyDescent="0.15">
      <c r="A601" s="62"/>
      <c r="D601" s="61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</row>
    <row r="602" spans="1:16" ht="13" x14ac:dyDescent="0.15">
      <c r="A602" s="62"/>
      <c r="D602" s="61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</row>
    <row r="603" spans="1:16" ht="13" x14ac:dyDescent="0.15">
      <c r="A603" s="62"/>
      <c r="D603" s="61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</row>
    <row r="604" spans="1:16" ht="13" x14ac:dyDescent="0.15">
      <c r="A604" s="62"/>
      <c r="D604" s="61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</row>
    <row r="605" spans="1:16" ht="13" x14ac:dyDescent="0.15">
      <c r="A605" s="62"/>
      <c r="D605" s="61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</row>
    <row r="606" spans="1:16" ht="13" x14ac:dyDescent="0.15">
      <c r="A606" s="62"/>
      <c r="D606" s="61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</row>
    <row r="607" spans="1:16" ht="13" x14ac:dyDescent="0.15">
      <c r="A607" s="62"/>
      <c r="D607" s="61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</row>
    <row r="608" spans="1:16" ht="13" x14ac:dyDescent="0.15">
      <c r="A608" s="62"/>
      <c r="D608" s="61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</row>
    <row r="609" spans="1:16" ht="13" x14ac:dyDescent="0.15">
      <c r="A609" s="62"/>
      <c r="D609" s="61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</row>
    <row r="610" spans="1:16" ht="13" x14ac:dyDescent="0.15">
      <c r="A610" s="62"/>
      <c r="D610" s="61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</row>
    <row r="611" spans="1:16" ht="13" x14ac:dyDescent="0.15">
      <c r="A611" s="62"/>
      <c r="D611" s="61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</row>
    <row r="612" spans="1:16" ht="13" x14ac:dyDescent="0.15">
      <c r="A612" s="62"/>
      <c r="D612" s="61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</row>
    <row r="613" spans="1:16" ht="13" x14ac:dyDescent="0.15">
      <c r="A613" s="62"/>
      <c r="D613" s="61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</row>
    <row r="614" spans="1:16" ht="13" x14ac:dyDescent="0.15">
      <c r="A614" s="62"/>
      <c r="D614" s="61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</row>
    <row r="615" spans="1:16" ht="13" x14ac:dyDescent="0.15">
      <c r="A615" s="62"/>
      <c r="D615" s="61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</row>
    <row r="616" spans="1:16" ht="13" x14ac:dyDescent="0.15">
      <c r="A616" s="62"/>
      <c r="D616" s="61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</row>
    <row r="617" spans="1:16" ht="13" x14ac:dyDescent="0.15">
      <c r="A617" s="62"/>
      <c r="D617" s="61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</row>
    <row r="618" spans="1:16" ht="13" x14ac:dyDescent="0.15">
      <c r="A618" s="62"/>
      <c r="D618" s="61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</row>
    <row r="619" spans="1:16" ht="13" x14ac:dyDescent="0.15">
      <c r="A619" s="62"/>
      <c r="D619" s="61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</row>
    <row r="620" spans="1:16" ht="13" x14ac:dyDescent="0.15">
      <c r="A620" s="62"/>
      <c r="D620" s="61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</row>
    <row r="621" spans="1:16" ht="13" x14ac:dyDescent="0.15">
      <c r="A621" s="62"/>
      <c r="D621" s="61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</row>
    <row r="622" spans="1:16" ht="13" x14ac:dyDescent="0.15">
      <c r="A622" s="62"/>
      <c r="D622" s="61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</row>
    <row r="623" spans="1:16" ht="13" x14ac:dyDescent="0.15">
      <c r="A623" s="62"/>
      <c r="D623" s="61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</row>
    <row r="624" spans="1:16" ht="13" x14ac:dyDescent="0.15">
      <c r="A624" s="62"/>
      <c r="D624" s="61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</row>
    <row r="625" spans="1:16" ht="13" x14ac:dyDescent="0.15">
      <c r="A625" s="62"/>
      <c r="D625" s="61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</row>
    <row r="626" spans="1:16" ht="13" x14ac:dyDescent="0.15">
      <c r="A626" s="62"/>
      <c r="D626" s="61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</row>
    <row r="627" spans="1:16" ht="13" x14ac:dyDescent="0.15">
      <c r="A627" s="62"/>
      <c r="D627" s="61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</row>
    <row r="628" spans="1:16" ht="13" x14ac:dyDescent="0.15">
      <c r="A628" s="62"/>
      <c r="D628" s="61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</row>
    <row r="629" spans="1:16" ht="13" x14ac:dyDescent="0.15">
      <c r="A629" s="62"/>
      <c r="D629" s="61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</row>
    <row r="630" spans="1:16" ht="13" x14ac:dyDescent="0.15">
      <c r="A630" s="62"/>
      <c r="D630" s="61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</row>
    <row r="631" spans="1:16" ht="13" x14ac:dyDescent="0.15">
      <c r="A631" s="62"/>
      <c r="D631" s="61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</row>
    <row r="632" spans="1:16" ht="13" x14ac:dyDescent="0.15">
      <c r="A632" s="62"/>
      <c r="D632" s="61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</row>
    <row r="633" spans="1:16" ht="13" x14ac:dyDescent="0.15">
      <c r="A633" s="62"/>
      <c r="D633" s="61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</row>
    <row r="634" spans="1:16" ht="13" x14ac:dyDescent="0.15">
      <c r="A634" s="62"/>
      <c r="D634" s="61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</row>
    <row r="635" spans="1:16" ht="13" x14ac:dyDescent="0.15">
      <c r="A635" s="62"/>
      <c r="D635" s="61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</row>
    <row r="636" spans="1:16" ht="13" x14ac:dyDescent="0.15">
      <c r="A636" s="62"/>
      <c r="D636" s="61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</row>
    <row r="637" spans="1:16" ht="13" x14ac:dyDescent="0.15">
      <c r="A637" s="62"/>
      <c r="D637" s="61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</row>
    <row r="638" spans="1:16" ht="13" x14ac:dyDescent="0.15">
      <c r="A638" s="62"/>
      <c r="D638" s="61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</row>
    <row r="639" spans="1:16" ht="13" x14ac:dyDescent="0.15">
      <c r="A639" s="62"/>
      <c r="D639" s="61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</row>
    <row r="640" spans="1:16" ht="13" x14ac:dyDescent="0.15">
      <c r="A640" s="62"/>
      <c r="D640" s="61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</row>
    <row r="641" spans="1:16" ht="13" x14ac:dyDescent="0.15">
      <c r="A641" s="62"/>
      <c r="D641" s="61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</row>
    <row r="642" spans="1:16" ht="13" x14ac:dyDescent="0.15">
      <c r="A642" s="62"/>
      <c r="D642" s="61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</row>
    <row r="643" spans="1:16" ht="13" x14ac:dyDescent="0.15">
      <c r="A643" s="62"/>
      <c r="D643" s="61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</row>
    <row r="644" spans="1:16" ht="13" x14ac:dyDescent="0.15">
      <c r="A644" s="62"/>
      <c r="D644" s="61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</row>
    <row r="645" spans="1:16" ht="13" x14ac:dyDescent="0.15">
      <c r="A645" s="62"/>
      <c r="D645" s="61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</row>
    <row r="646" spans="1:16" ht="13" x14ac:dyDescent="0.15">
      <c r="A646" s="62"/>
      <c r="D646" s="61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</row>
    <row r="647" spans="1:16" ht="13" x14ac:dyDescent="0.15">
      <c r="A647" s="62"/>
      <c r="D647" s="61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</row>
    <row r="648" spans="1:16" ht="13" x14ac:dyDescent="0.15">
      <c r="A648" s="62"/>
      <c r="D648" s="61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</row>
    <row r="649" spans="1:16" ht="13" x14ac:dyDescent="0.15">
      <c r="A649" s="62"/>
      <c r="D649" s="61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</row>
    <row r="650" spans="1:16" ht="13" x14ac:dyDescent="0.15">
      <c r="A650" s="62"/>
      <c r="D650" s="61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</row>
    <row r="651" spans="1:16" ht="13" x14ac:dyDescent="0.15">
      <c r="A651" s="62"/>
      <c r="D651" s="61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</row>
    <row r="652" spans="1:16" ht="13" x14ac:dyDescent="0.15">
      <c r="A652" s="62"/>
      <c r="D652" s="61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</row>
    <row r="653" spans="1:16" ht="13" x14ac:dyDescent="0.15">
      <c r="A653" s="62"/>
      <c r="D653" s="61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</row>
    <row r="654" spans="1:16" ht="13" x14ac:dyDescent="0.15">
      <c r="A654" s="62"/>
      <c r="D654" s="61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</row>
    <row r="655" spans="1:16" ht="13" x14ac:dyDescent="0.15">
      <c r="A655" s="62"/>
      <c r="D655" s="61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</row>
    <row r="656" spans="1:16" ht="13" x14ac:dyDescent="0.15">
      <c r="A656" s="62"/>
      <c r="D656" s="61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</row>
    <row r="657" spans="1:16" ht="13" x14ac:dyDescent="0.15">
      <c r="A657" s="62"/>
      <c r="D657" s="61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</row>
    <row r="658" spans="1:16" ht="13" x14ac:dyDescent="0.15">
      <c r="A658" s="62"/>
      <c r="D658" s="61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</row>
    <row r="659" spans="1:16" ht="13" x14ac:dyDescent="0.15">
      <c r="A659" s="62"/>
      <c r="D659" s="61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</row>
    <row r="660" spans="1:16" ht="13" x14ac:dyDescent="0.15">
      <c r="A660" s="62"/>
      <c r="D660" s="61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</row>
    <row r="661" spans="1:16" ht="13" x14ac:dyDescent="0.15">
      <c r="A661" s="62"/>
      <c r="D661" s="61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</row>
    <row r="662" spans="1:16" ht="13" x14ac:dyDescent="0.15">
      <c r="A662" s="62"/>
      <c r="D662" s="61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</row>
    <row r="663" spans="1:16" ht="13" x14ac:dyDescent="0.15">
      <c r="A663" s="62"/>
      <c r="D663" s="61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</row>
    <row r="664" spans="1:16" ht="13" x14ac:dyDescent="0.15">
      <c r="A664" s="62"/>
      <c r="D664" s="61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</row>
    <row r="665" spans="1:16" ht="13" x14ac:dyDescent="0.15">
      <c r="A665" s="62"/>
      <c r="D665" s="61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</row>
    <row r="666" spans="1:16" ht="13" x14ac:dyDescent="0.15">
      <c r="A666" s="62"/>
      <c r="D666" s="61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</row>
    <row r="667" spans="1:16" ht="13" x14ac:dyDescent="0.15">
      <c r="A667" s="62"/>
      <c r="D667" s="61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</row>
    <row r="668" spans="1:16" ht="13" x14ac:dyDescent="0.15">
      <c r="A668" s="62"/>
      <c r="D668" s="61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</row>
    <row r="669" spans="1:16" ht="13" x14ac:dyDescent="0.15">
      <c r="A669" s="62"/>
      <c r="D669" s="61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</row>
    <row r="670" spans="1:16" ht="13" x14ac:dyDescent="0.15">
      <c r="A670" s="62"/>
      <c r="D670" s="61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</row>
    <row r="671" spans="1:16" ht="13" x14ac:dyDescent="0.15">
      <c r="A671" s="62"/>
      <c r="D671" s="61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</row>
    <row r="672" spans="1:16" ht="13" x14ac:dyDescent="0.15">
      <c r="A672" s="62"/>
      <c r="D672" s="61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</row>
    <row r="673" spans="1:16" ht="13" x14ac:dyDescent="0.15">
      <c r="A673" s="62"/>
      <c r="D673" s="61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</row>
    <row r="674" spans="1:16" ht="13" x14ac:dyDescent="0.15">
      <c r="A674" s="62"/>
      <c r="D674" s="61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</row>
    <row r="675" spans="1:16" ht="13" x14ac:dyDescent="0.15">
      <c r="A675" s="62"/>
      <c r="D675" s="61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</row>
    <row r="676" spans="1:16" ht="13" x14ac:dyDescent="0.15">
      <c r="A676" s="62"/>
      <c r="D676" s="61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</row>
    <row r="677" spans="1:16" ht="13" x14ac:dyDescent="0.15">
      <c r="A677" s="62"/>
      <c r="D677" s="61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</row>
    <row r="678" spans="1:16" ht="13" x14ac:dyDescent="0.15">
      <c r="A678" s="62"/>
      <c r="D678" s="61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</row>
    <row r="679" spans="1:16" ht="13" x14ac:dyDescent="0.15">
      <c r="A679" s="62"/>
      <c r="D679" s="61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</row>
    <row r="680" spans="1:16" ht="13" x14ac:dyDescent="0.15">
      <c r="A680" s="62"/>
      <c r="D680" s="61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</row>
    <row r="681" spans="1:16" ht="13" x14ac:dyDescent="0.15">
      <c r="A681" s="62"/>
      <c r="D681" s="61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</row>
    <row r="682" spans="1:16" ht="13" x14ac:dyDescent="0.15">
      <c r="A682" s="62"/>
      <c r="D682" s="61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</row>
    <row r="683" spans="1:16" ht="13" x14ac:dyDescent="0.15">
      <c r="A683" s="62"/>
      <c r="D683" s="61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</row>
    <row r="684" spans="1:16" ht="13" x14ac:dyDescent="0.15">
      <c r="A684" s="62"/>
      <c r="D684" s="61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</row>
    <row r="685" spans="1:16" ht="13" x14ac:dyDescent="0.15">
      <c r="A685" s="62"/>
      <c r="D685" s="61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</row>
    <row r="686" spans="1:16" ht="13" x14ac:dyDescent="0.15">
      <c r="A686" s="62"/>
      <c r="D686" s="61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</row>
    <row r="687" spans="1:16" ht="13" x14ac:dyDescent="0.15">
      <c r="A687" s="62"/>
      <c r="D687" s="61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</row>
    <row r="688" spans="1:16" ht="13" x14ac:dyDescent="0.15">
      <c r="A688" s="62"/>
      <c r="D688" s="61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</row>
    <row r="689" spans="1:16" ht="13" x14ac:dyDescent="0.15">
      <c r="A689" s="62"/>
      <c r="D689" s="61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</row>
    <row r="690" spans="1:16" ht="13" x14ac:dyDescent="0.15">
      <c r="A690" s="62"/>
      <c r="D690" s="61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</row>
    <row r="691" spans="1:16" ht="13" x14ac:dyDescent="0.15">
      <c r="A691" s="62"/>
      <c r="D691" s="61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</row>
    <row r="692" spans="1:16" ht="13" x14ac:dyDescent="0.15">
      <c r="A692" s="62"/>
      <c r="D692" s="61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</row>
    <row r="693" spans="1:16" ht="13" x14ac:dyDescent="0.15">
      <c r="A693" s="62"/>
      <c r="D693" s="61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</row>
    <row r="694" spans="1:16" ht="13" x14ac:dyDescent="0.15">
      <c r="A694" s="62"/>
      <c r="D694" s="61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</row>
    <row r="695" spans="1:16" ht="13" x14ac:dyDescent="0.15">
      <c r="A695" s="62"/>
      <c r="D695" s="61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</row>
    <row r="696" spans="1:16" ht="13" x14ac:dyDescent="0.15">
      <c r="A696" s="62"/>
      <c r="D696" s="61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</row>
    <row r="697" spans="1:16" ht="13" x14ac:dyDescent="0.15">
      <c r="A697" s="62"/>
      <c r="D697" s="61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</row>
    <row r="698" spans="1:16" ht="13" x14ac:dyDescent="0.15">
      <c r="A698" s="62"/>
      <c r="D698" s="61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</row>
    <row r="699" spans="1:16" ht="13" x14ac:dyDescent="0.15">
      <c r="A699" s="62"/>
      <c r="D699" s="61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</row>
    <row r="700" spans="1:16" ht="13" x14ac:dyDescent="0.15">
      <c r="A700" s="62"/>
      <c r="D700" s="61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</row>
    <row r="701" spans="1:16" ht="13" x14ac:dyDescent="0.15">
      <c r="A701" s="62"/>
      <c r="D701" s="61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</row>
    <row r="702" spans="1:16" ht="13" x14ac:dyDescent="0.15">
      <c r="A702" s="62"/>
      <c r="D702" s="61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</row>
    <row r="703" spans="1:16" ht="13" x14ac:dyDescent="0.15">
      <c r="A703" s="62"/>
      <c r="D703" s="61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</row>
    <row r="704" spans="1:16" ht="13" x14ac:dyDescent="0.15">
      <c r="A704" s="62"/>
      <c r="D704" s="61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</row>
    <row r="705" spans="1:16" ht="13" x14ac:dyDescent="0.15">
      <c r="A705" s="62"/>
      <c r="D705" s="61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</row>
    <row r="706" spans="1:16" ht="13" x14ac:dyDescent="0.15">
      <c r="A706" s="62"/>
      <c r="D706" s="61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</row>
    <row r="707" spans="1:16" ht="13" x14ac:dyDescent="0.15">
      <c r="A707" s="62"/>
      <c r="D707" s="61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</row>
    <row r="708" spans="1:16" ht="13" x14ac:dyDescent="0.15">
      <c r="A708" s="62"/>
      <c r="D708" s="61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</row>
    <row r="709" spans="1:16" ht="13" x14ac:dyDescent="0.15">
      <c r="A709" s="62"/>
      <c r="D709" s="61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</row>
    <row r="710" spans="1:16" ht="13" x14ac:dyDescent="0.15">
      <c r="A710" s="62"/>
      <c r="D710" s="61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</row>
    <row r="711" spans="1:16" ht="13" x14ac:dyDescent="0.15">
      <c r="A711" s="62"/>
      <c r="D711" s="61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</row>
    <row r="712" spans="1:16" ht="13" x14ac:dyDescent="0.15">
      <c r="A712" s="62"/>
      <c r="D712" s="61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</row>
    <row r="713" spans="1:16" ht="13" x14ac:dyDescent="0.15">
      <c r="A713" s="62"/>
      <c r="D713" s="61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</row>
    <row r="714" spans="1:16" ht="13" x14ac:dyDescent="0.15">
      <c r="A714" s="62"/>
      <c r="D714" s="61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</row>
    <row r="715" spans="1:16" ht="13" x14ac:dyDescent="0.15">
      <c r="A715" s="62"/>
      <c r="D715" s="61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</row>
    <row r="716" spans="1:16" ht="13" x14ac:dyDescent="0.15">
      <c r="A716" s="62"/>
      <c r="D716" s="61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</row>
    <row r="717" spans="1:16" ht="13" x14ac:dyDescent="0.15">
      <c r="A717" s="62"/>
      <c r="D717" s="61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</row>
    <row r="718" spans="1:16" ht="13" x14ac:dyDescent="0.15">
      <c r="A718" s="62"/>
      <c r="D718" s="61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</row>
    <row r="719" spans="1:16" ht="13" x14ac:dyDescent="0.15">
      <c r="A719" s="62"/>
      <c r="D719" s="61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</row>
    <row r="720" spans="1:16" ht="13" x14ac:dyDescent="0.15">
      <c r="A720" s="62"/>
      <c r="D720" s="61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</row>
    <row r="721" spans="1:16" ht="13" x14ac:dyDescent="0.15">
      <c r="A721" s="62"/>
      <c r="D721" s="61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</row>
    <row r="722" spans="1:16" ht="13" x14ac:dyDescent="0.15">
      <c r="A722" s="62"/>
      <c r="D722" s="61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</row>
    <row r="723" spans="1:16" ht="13" x14ac:dyDescent="0.15">
      <c r="A723" s="62"/>
      <c r="D723" s="61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</row>
    <row r="724" spans="1:16" ht="13" x14ac:dyDescent="0.15">
      <c r="A724" s="62"/>
      <c r="D724" s="61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</row>
    <row r="725" spans="1:16" ht="13" x14ac:dyDescent="0.15">
      <c r="A725" s="62"/>
      <c r="D725" s="61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</row>
    <row r="726" spans="1:16" ht="13" x14ac:dyDescent="0.15">
      <c r="A726" s="62"/>
      <c r="D726" s="61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</row>
    <row r="727" spans="1:16" ht="13" x14ac:dyDescent="0.15">
      <c r="A727" s="62"/>
      <c r="D727" s="61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</row>
    <row r="728" spans="1:16" ht="13" x14ac:dyDescent="0.15">
      <c r="A728" s="62"/>
      <c r="D728" s="61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</row>
    <row r="729" spans="1:16" ht="13" x14ac:dyDescent="0.15">
      <c r="A729" s="62"/>
      <c r="D729" s="61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</row>
    <row r="730" spans="1:16" ht="13" x14ac:dyDescent="0.15">
      <c r="A730" s="62"/>
      <c r="D730" s="61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</row>
    <row r="731" spans="1:16" ht="13" x14ac:dyDescent="0.15">
      <c r="A731" s="62"/>
      <c r="D731" s="61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</row>
    <row r="732" spans="1:16" ht="13" x14ac:dyDescent="0.15">
      <c r="A732" s="62"/>
      <c r="D732" s="61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</row>
    <row r="733" spans="1:16" ht="13" x14ac:dyDescent="0.15">
      <c r="A733" s="62"/>
      <c r="D733" s="61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</row>
    <row r="734" spans="1:16" ht="13" x14ac:dyDescent="0.15">
      <c r="A734" s="62"/>
      <c r="D734" s="61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</row>
    <row r="735" spans="1:16" ht="13" x14ac:dyDescent="0.15">
      <c r="A735" s="62"/>
      <c r="D735" s="61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</row>
    <row r="736" spans="1:16" ht="13" x14ac:dyDescent="0.15">
      <c r="A736" s="62"/>
      <c r="D736" s="61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</row>
    <row r="737" spans="1:16" ht="13" x14ac:dyDescent="0.15">
      <c r="A737" s="62"/>
      <c r="D737" s="61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</row>
    <row r="738" spans="1:16" ht="13" x14ac:dyDescent="0.15">
      <c r="A738" s="62"/>
      <c r="D738" s="61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</row>
    <row r="739" spans="1:16" ht="13" x14ac:dyDescent="0.15">
      <c r="A739" s="62"/>
      <c r="D739" s="61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</row>
    <row r="740" spans="1:16" ht="13" x14ac:dyDescent="0.15">
      <c r="A740" s="62"/>
      <c r="D740" s="61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</row>
    <row r="741" spans="1:16" ht="13" x14ac:dyDescent="0.15">
      <c r="A741" s="62"/>
      <c r="D741" s="61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</row>
    <row r="742" spans="1:16" ht="13" x14ac:dyDescent="0.15">
      <c r="A742" s="62"/>
      <c r="D742" s="61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</row>
    <row r="743" spans="1:16" ht="13" x14ac:dyDescent="0.15">
      <c r="A743" s="62"/>
      <c r="D743" s="61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</row>
    <row r="744" spans="1:16" ht="13" x14ac:dyDescent="0.15">
      <c r="A744" s="62"/>
      <c r="D744" s="61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</row>
    <row r="745" spans="1:16" ht="13" x14ac:dyDescent="0.15">
      <c r="A745" s="62"/>
      <c r="D745" s="61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</row>
    <row r="746" spans="1:16" ht="13" x14ac:dyDescent="0.15">
      <c r="A746" s="62"/>
      <c r="D746" s="61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</row>
    <row r="747" spans="1:16" ht="13" x14ac:dyDescent="0.15">
      <c r="A747" s="62"/>
      <c r="D747" s="61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</row>
    <row r="748" spans="1:16" ht="13" x14ac:dyDescent="0.15">
      <c r="A748" s="62"/>
      <c r="D748" s="61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</row>
    <row r="749" spans="1:16" ht="13" x14ac:dyDescent="0.15">
      <c r="A749" s="62"/>
      <c r="D749" s="61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</row>
    <row r="750" spans="1:16" ht="13" x14ac:dyDescent="0.15">
      <c r="A750" s="62"/>
      <c r="D750" s="61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</row>
    <row r="751" spans="1:16" ht="13" x14ac:dyDescent="0.15">
      <c r="A751" s="62"/>
      <c r="D751" s="61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</row>
    <row r="752" spans="1:16" ht="13" x14ac:dyDescent="0.15">
      <c r="A752" s="62"/>
      <c r="D752" s="61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</row>
    <row r="753" spans="1:16" ht="13" x14ac:dyDescent="0.15">
      <c r="A753" s="62"/>
      <c r="D753" s="61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</row>
    <row r="754" spans="1:16" ht="13" x14ac:dyDescent="0.15">
      <c r="A754" s="62"/>
      <c r="D754" s="61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</row>
    <row r="755" spans="1:16" ht="13" x14ac:dyDescent="0.15">
      <c r="A755" s="62"/>
      <c r="D755" s="61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</row>
    <row r="756" spans="1:16" ht="13" x14ac:dyDescent="0.15">
      <c r="A756" s="62"/>
      <c r="D756" s="61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</row>
    <row r="757" spans="1:16" ht="13" x14ac:dyDescent="0.15">
      <c r="A757" s="62"/>
      <c r="D757" s="61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</row>
    <row r="758" spans="1:16" ht="13" x14ac:dyDescent="0.15">
      <c r="A758" s="62"/>
      <c r="D758" s="61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</row>
    <row r="759" spans="1:16" ht="13" x14ac:dyDescent="0.15">
      <c r="A759" s="62"/>
      <c r="D759" s="61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</row>
    <row r="760" spans="1:16" ht="13" x14ac:dyDescent="0.15">
      <c r="A760" s="62"/>
      <c r="D760" s="61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</row>
    <row r="761" spans="1:16" ht="13" x14ac:dyDescent="0.15">
      <c r="A761" s="62"/>
      <c r="D761" s="61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</row>
    <row r="762" spans="1:16" ht="13" x14ac:dyDescent="0.15">
      <c r="A762" s="62"/>
      <c r="D762" s="61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</row>
    <row r="763" spans="1:16" ht="13" x14ac:dyDescent="0.15">
      <c r="A763" s="62"/>
      <c r="D763" s="61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</row>
    <row r="764" spans="1:16" ht="13" x14ac:dyDescent="0.15">
      <c r="A764" s="62"/>
      <c r="D764" s="61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</row>
    <row r="765" spans="1:16" ht="13" x14ac:dyDescent="0.15">
      <c r="A765" s="62"/>
      <c r="D765" s="61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</row>
    <row r="766" spans="1:16" ht="13" x14ac:dyDescent="0.15">
      <c r="A766" s="62"/>
      <c r="D766" s="61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</row>
    <row r="767" spans="1:16" ht="13" x14ac:dyDescent="0.15">
      <c r="A767" s="62"/>
      <c r="D767" s="61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</row>
    <row r="768" spans="1:16" ht="13" x14ac:dyDescent="0.15">
      <c r="A768" s="62"/>
      <c r="D768" s="61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</row>
    <row r="769" spans="1:16" ht="13" x14ac:dyDescent="0.15">
      <c r="A769" s="62"/>
      <c r="D769" s="61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</row>
    <row r="770" spans="1:16" ht="13" x14ac:dyDescent="0.15">
      <c r="A770" s="62"/>
      <c r="D770" s="61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</row>
    <row r="771" spans="1:16" ht="13" x14ac:dyDescent="0.15">
      <c r="A771" s="62"/>
      <c r="D771" s="61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</row>
    <row r="772" spans="1:16" ht="13" x14ac:dyDescent="0.15">
      <c r="A772" s="62"/>
      <c r="D772" s="61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</row>
    <row r="773" spans="1:16" ht="13" x14ac:dyDescent="0.15">
      <c r="A773" s="62"/>
      <c r="D773" s="61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</row>
    <row r="774" spans="1:16" ht="13" x14ac:dyDescent="0.15">
      <c r="A774" s="62"/>
      <c r="D774" s="61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</row>
    <row r="775" spans="1:16" ht="13" x14ac:dyDescent="0.15">
      <c r="A775" s="62"/>
      <c r="D775" s="61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</row>
    <row r="776" spans="1:16" ht="13" x14ac:dyDescent="0.15">
      <c r="A776" s="62"/>
      <c r="D776" s="61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</row>
    <row r="777" spans="1:16" ht="13" x14ac:dyDescent="0.15">
      <c r="A777" s="62"/>
      <c r="D777" s="61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</row>
    <row r="778" spans="1:16" ht="13" x14ac:dyDescent="0.15">
      <c r="A778" s="62"/>
      <c r="D778" s="61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</row>
    <row r="779" spans="1:16" ht="13" x14ac:dyDescent="0.15">
      <c r="A779" s="62"/>
      <c r="D779" s="61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</row>
    <row r="780" spans="1:16" ht="13" x14ac:dyDescent="0.15">
      <c r="A780" s="62"/>
      <c r="D780" s="61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</row>
    <row r="781" spans="1:16" ht="13" x14ac:dyDescent="0.15">
      <c r="A781" s="62"/>
      <c r="D781" s="61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</row>
    <row r="782" spans="1:16" ht="13" x14ac:dyDescent="0.15">
      <c r="A782" s="62"/>
      <c r="D782" s="61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</row>
    <row r="783" spans="1:16" ht="13" x14ac:dyDescent="0.15">
      <c r="A783" s="62"/>
      <c r="D783" s="61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</row>
    <row r="784" spans="1:16" ht="13" x14ac:dyDescent="0.15">
      <c r="A784" s="62"/>
      <c r="D784" s="61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</row>
    <row r="785" spans="1:16" ht="13" x14ac:dyDescent="0.15">
      <c r="A785" s="62"/>
      <c r="D785" s="61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</row>
    <row r="786" spans="1:16" ht="13" x14ac:dyDescent="0.15">
      <c r="A786" s="62"/>
      <c r="D786" s="61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</row>
    <row r="787" spans="1:16" ht="13" x14ac:dyDescent="0.15">
      <c r="A787" s="62"/>
      <c r="D787" s="61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</row>
    <row r="788" spans="1:16" ht="13" x14ac:dyDescent="0.15">
      <c r="A788" s="62"/>
      <c r="D788" s="61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</row>
    <row r="789" spans="1:16" ht="13" x14ac:dyDescent="0.15">
      <c r="A789" s="62"/>
      <c r="D789" s="61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</row>
    <row r="790" spans="1:16" ht="13" x14ac:dyDescent="0.15">
      <c r="A790" s="62"/>
      <c r="D790" s="61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</row>
    <row r="791" spans="1:16" ht="13" x14ac:dyDescent="0.15">
      <c r="A791" s="62"/>
      <c r="D791" s="61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</row>
    <row r="792" spans="1:16" ht="13" x14ac:dyDescent="0.15">
      <c r="A792" s="62"/>
      <c r="D792" s="61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</row>
    <row r="793" spans="1:16" ht="13" x14ac:dyDescent="0.15">
      <c r="A793" s="62"/>
      <c r="D793" s="61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</row>
    <row r="794" spans="1:16" ht="13" x14ac:dyDescent="0.15">
      <c r="A794" s="62"/>
      <c r="D794" s="61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</row>
    <row r="795" spans="1:16" ht="13" x14ac:dyDescent="0.15">
      <c r="A795" s="62"/>
      <c r="D795" s="61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</row>
    <row r="796" spans="1:16" ht="13" x14ac:dyDescent="0.15">
      <c r="A796" s="62"/>
      <c r="D796" s="61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</row>
    <row r="797" spans="1:16" ht="13" x14ac:dyDescent="0.15">
      <c r="A797" s="62"/>
      <c r="D797" s="61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</row>
    <row r="798" spans="1:16" ht="13" x14ac:dyDescent="0.15">
      <c r="A798" s="62"/>
      <c r="D798" s="61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</row>
    <row r="799" spans="1:16" ht="13" x14ac:dyDescent="0.15">
      <c r="A799" s="62"/>
      <c r="D799" s="61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</row>
    <row r="800" spans="1:16" ht="13" x14ac:dyDescent="0.15">
      <c r="A800" s="62"/>
      <c r="D800" s="61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</row>
    <row r="801" spans="1:16" ht="13" x14ac:dyDescent="0.15">
      <c r="A801" s="62"/>
      <c r="D801" s="61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</row>
    <row r="802" spans="1:16" ht="13" x14ac:dyDescent="0.15">
      <c r="A802" s="62"/>
      <c r="D802" s="61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</row>
    <row r="803" spans="1:16" ht="13" x14ac:dyDescent="0.15">
      <c r="A803" s="62"/>
      <c r="D803" s="61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</row>
    <row r="804" spans="1:16" ht="13" x14ac:dyDescent="0.15">
      <c r="A804" s="62"/>
      <c r="D804" s="61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</row>
    <row r="805" spans="1:16" ht="13" x14ac:dyDescent="0.15">
      <c r="A805" s="62"/>
      <c r="D805" s="61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</row>
    <row r="806" spans="1:16" ht="13" x14ac:dyDescent="0.15">
      <c r="A806" s="62"/>
      <c r="D806" s="61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</row>
    <row r="807" spans="1:16" ht="13" x14ac:dyDescent="0.15">
      <c r="A807" s="62"/>
      <c r="D807" s="61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</row>
    <row r="808" spans="1:16" ht="13" x14ac:dyDescent="0.15">
      <c r="A808" s="62"/>
      <c r="D808" s="61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</row>
    <row r="809" spans="1:16" ht="13" x14ac:dyDescent="0.15">
      <c r="A809" s="62"/>
      <c r="D809" s="61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</row>
    <row r="810" spans="1:16" ht="13" x14ac:dyDescent="0.15">
      <c r="A810" s="62"/>
      <c r="D810" s="61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</row>
    <row r="811" spans="1:16" ht="13" x14ac:dyDescent="0.15">
      <c r="A811" s="62"/>
      <c r="D811" s="61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</row>
    <row r="812" spans="1:16" ht="13" x14ac:dyDescent="0.15">
      <c r="A812" s="62"/>
      <c r="D812" s="61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</row>
    <row r="813" spans="1:16" ht="13" x14ac:dyDescent="0.15">
      <c r="A813" s="62"/>
      <c r="D813" s="61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</row>
    <row r="814" spans="1:16" ht="13" x14ac:dyDescent="0.15">
      <c r="A814" s="62"/>
      <c r="D814" s="61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</row>
    <row r="815" spans="1:16" ht="13" x14ac:dyDescent="0.15">
      <c r="A815" s="62"/>
      <c r="D815" s="61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</row>
    <row r="816" spans="1:16" ht="13" x14ac:dyDescent="0.15">
      <c r="A816" s="62"/>
      <c r="D816" s="61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</row>
    <row r="817" spans="1:16" ht="13" x14ac:dyDescent="0.15">
      <c r="A817" s="62"/>
      <c r="D817" s="61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</row>
    <row r="818" spans="1:16" ht="13" x14ac:dyDescent="0.15">
      <c r="A818" s="62"/>
      <c r="D818" s="61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</row>
    <row r="819" spans="1:16" ht="13" x14ac:dyDescent="0.15">
      <c r="A819" s="62"/>
      <c r="D819" s="61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</row>
    <row r="820" spans="1:16" ht="13" x14ac:dyDescent="0.15">
      <c r="A820" s="62"/>
      <c r="D820" s="61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</row>
    <row r="821" spans="1:16" ht="13" x14ac:dyDescent="0.15">
      <c r="A821" s="62"/>
      <c r="D821" s="61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</row>
    <row r="822" spans="1:16" ht="13" x14ac:dyDescent="0.15">
      <c r="A822" s="62"/>
      <c r="D822" s="61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</row>
    <row r="823" spans="1:16" ht="13" x14ac:dyDescent="0.15">
      <c r="A823" s="62"/>
      <c r="D823" s="61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</row>
    <row r="824" spans="1:16" ht="13" x14ac:dyDescent="0.15">
      <c r="A824" s="62"/>
      <c r="D824" s="61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</row>
    <row r="825" spans="1:16" ht="13" x14ac:dyDescent="0.15">
      <c r="A825" s="62"/>
      <c r="D825" s="61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</row>
    <row r="826" spans="1:16" ht="13" x14ac:dyDescent="0.15">
      <c r="A826" s="62"/>
      <c r="D826" s="61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</row>
    <row r="827" spans="1:16" ht="13" x14ac:dyDescent="0.15">
      <c r="A827" s="62"/>
      <c r="D827" s="61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</row>
    <row r="828" spans="1:16" ht="13" x14ac:dyDescent="0.15">
      <c r="A828" s="62"/>
      <c r="D828" s="61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</row>
    <row r="829" spans="1:16" ht="13" x14ac:dyDescent="0.15">
      <c r="A829" s="62"/>
      <c r="D829" s="61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</row>
    <row r="830" spans="1:16" ht="13" x14ac:dyDescent="0.15">
      <c r="A830" s="62"/>
      <c r="D830" s="61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</row>
    <row r="831" spans="1:16" ht="13" x14ac:dyDescent="0.15">
      <c r="A831" s="62"/>
      <c r="D831" s="61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</row>
    <row r="832" spans="1:16" ht="13" x14ac:dyDescent="0.15">
      <c r="A832" s="62"/>
      <c r="D832" s="61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</row>
    <row r="833" spans="1:16" ht="13" x14ac:dyDescent="0.15">
      <c r="A833" s="62"/>
      <c r="D833" s="61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</row>
    <row r="834" spans="1:16" ht="13" x14ac:dyDescent="0.15">
      <c r="A834" s="62"/>
      <c r="D834" s="61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</row>
    <row r="835" spans="1:16" ht="13" x14ac:dyDescent="0.15">
      <c r="A835" s="62"/>
      <c r="D835" s="61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</row>
    <row r="836" spans="1:16" ht="13" x14ac:dyDescent="0.15">
      <c r="A836" s="62"/>
      <c r="D836" s="61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</row>
    <row r="837" spans="1:16" ht="13" x14ac:dyDescent="0.15">
      <c r="A837" s="62"/>
      <c r="D837" s="61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</row>
    <row r="838" spans="1:16" ht="13" x14ac:dyDescent="0.15">
      <c r="A838" s="62"/>
      <c r="D838" s="61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</row>
    <row r="839" spans="1:16" ht="13" x14ac:dyDescent="0.15">
      <c r="A839" s="62"/>
      <c r="D839" s="61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</row>
    <row r="840" spans="1:16" ht="13" x14ac:dyDescent="0.15">
      <c r="A840" s="62"/>
      <c r="D840" s="61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</row>
    <row r="841" spans="1:16" ht="13" x14ac:dyDescent="0.15">
      <c r="A841" s="62"/>
      <c r="D841" s="61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</row>
    <row r="842" spans="1:16" ht="13" x14ac:dyDescent="0.15">
      <c r="A842" s="62"/>
      <c r="D842" s="61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</row>
    <row r="843" spans="1:16" ht="13" x14ac:dyDescent="0.15">
      <c r="A843" s="62"/>
      <c r="D843" s="61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</row>
    <row r="844" spans="1:16" ht="13" x14ac:dyDescent="0.15">
      <c r="A844" s="62"/>
      <c r="D844" s="61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</row>
    <row r="845" spans="1:16" ht="13" x14ac:dyDescent="0.15">
      <c r="A845" s="62"/>
      <c r="D845" s="61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</row>
    <row r="846" spans="1:16" ht="13" x14ac:dyDescent="0.15">
      <c r="A846" s="62"/>
      <c r="D846" s="61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</row>
    <row r="847" spans="1:16" ht="13" x14ac:dyDescent="0.15">
      <c r="A847" s="62"/>
      <c r="D847" s="61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</row>
    <row r="848" spans="1:16" ht="13" x14ac:dyDescent="0.15">
      <c r="A848" s="62"/>
      <c r="D848" s="61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</row>
    <row r="849" spans="1:16" ht="13" x14ac:dyDescent="0.15">
      <c r="A849" s="62"/>
      <c r="D849" s="61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</row>
    <row r="850" spans="1:16" ht="13" x14ac:dyDescent="0.15">
      <c r="A850" s="62"/>
      <c r="D850" s="61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</row>
    <row r="851" spans="1:16" ht="13" x14ac:dyDescent="0.15">
      <c r="A851" s="62"/>
      <c r="D851" s="61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</row>
    <row r="852" spans="1:16" ht="13" x14ac:dyDescent="0.15">
      <c r="A852" s="62"/>
      <c r="D852" s="61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</row>
    <row r="853" spans="1:16" ht="13" x14ac:dyDescent="0.15">
      <c r="A853" s="62"/>
      <c r="D853" s="61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</row>
    <row r="854" spans="1:16" ht="13" x14ac:dyDescent="0.15">
      <c r="A854" s="62"/>
      <c r="D854" s="61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</row>
    <row r="855" spans="1:16" ht="13" x14ac:dyDescent="0.15">
      <c r="A855" s="62"/>
      <c r="D855" s="61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</row>
    <row r="856" spans="1:16" ht="13" x14ac:dyDescent="0.15">
      <c r="A856" s="62"/>
      <c r="D856" s="61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</row>
    <row r="857" spans="1:16" ht="13" x14ac:dyDescent="0.15">
      <c r="A857" s="62"/>
      <c r="D857" s="61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</row>
    <row r="858" spans="1:16" ht="13" x14ac:dyDescent="0.15">
      <c r="A858" s="62"/>
      <c r="D858" s="61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</row>
    <row r="859" spans="1:16" ht="13" x14ac:dyDescent="0.15">
      <c r="A859" s="62"/>
      <c r="D859" s="61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</row>
    <row r="860" spans="1:16" ht="13" x14ac:dyDescent="0.15">
      <c r="A860" s="62"/>
      <c r="D860" s="61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</row>
    <row r="861" spans="1:16" ht="13" x14ac:dyDescent="0.15">
      <c r="A861" s="62"/>
      <c r="D861" s="61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</row>
    <row r="862" spans="1:16" ht="13" x14ac:dyDescent="0.15">
      <c r="A862" s="62"/>
      <c r="D862" s="61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</row>
    <row r="863" spans="1:16" ht="13" x14ac:dyDescent="0.15">
      <c r="A863" s="62"/>
      <c r="D863" s="61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</row>
    <row r="864" spans="1:16" ht="13" x14ac:dyDescent="0.15">
      <c r="A864" s="62"/>
      <c r="D864" s="61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</row>
    <row r="865" spans="1:16" ht="13" x14ac:dyDescent="0.15">
      <c r="A865" s="62"/>
      <c r="D865" s="61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</row>
    <row r="866" spans="1:16" ht="13" x14ac:dyDescent="0.15">
      <c r="A866" s="62"/>
      <c r="D866" s="61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</row>
    <row r="867" spans="1:16" ht="13" x14ac:dyDescent="0.15">
      <c r="A867" s="62"/>
      <c r="D867" s="61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</row>
    <row r="868" spans="1:16" ht="13" x14ac:dyDescent="0.15">
      <c r="A868" s="62"/>
      <c r="D868" s="61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</row>
    <row r="869" spans="1:16" ht="13" x14ac:dyDescent="0.15">
      <c r="A869" s="62"/>
      <c r="D869" s="61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</row>
    <row r="870" spans="1:16" ht="13" x14ac:dyDescent="0.15">
      <c r="A870" s="62"/>
      <c r="D870" s="61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</row>
    <row r="871" spans="1:16" ht="13" x14ac:dyDescent="0.15">
      <c r="A871" s="62"/>
      <c r="D871" s="61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</row>
    <row r="872" spans="1:16" ht="13" x14ac:dyDescent="0.15">
      <c r="A872" s="62"/>
      <c r="D872" s="61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</row>
    <row r="873" spans="1:16" ht="13" x14ac:dyDescent="0.15">
      <c r="A873" s="62"/>
      <c r="D873" s="61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</row>
    <row r="874" spans="1:16" ht="13" x14ac:dyDescent="0.15">
      <c r="A874" s="62"/>
      <c r="D874" s="61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</row>
    <row r="875" spans="1:16" ht="13" x14ac:dyDescent="0.15">
      <c r="A875" s="62"/>
      <c r="D875" s="61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</row>
    <row r="876" spans="1:16" ht="13" x14ac:dyDescent="0.15">
      <c r="A876" s="62"/>
      <c r="D876" s="61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</row>
    <row r="877" spans="1:16" ht="13" x14ac:dyDescent="0.15">
      <c r="A877" s="62"/>
      <c r="D877" s="61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</row>
    <row r="878" spans="1:16" ht="13" x14ac:dyDescent="0.15">
      <c r="A878" s="62"/>
      <c r="D878" s="61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</row>
    <row r="879" spans="1:16" ht="13" x14ac:dyDescent="0.15">
      <c r="A879" s="62"/>
      <c r="D879" s="61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</row>
    <row r="880" spans="1:16" ht="13" x14ac:dyDescent="0.15">
      <c r="A880" s="62"/>
      <c r="D880" s="61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</row>
    <row r="881" spans="1:16" ht="13" x14ac:dyDescent="0.15">
      <c r="A881" s="62"/>
      <c r="D881" s="61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</row>
    <row r="882" spans="1:16" ht="13" x14ac:dyDescent="0.15">
      <c r="A882" s="62"/>
      <c r="D882" s="61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</row>
    <row r="883" spans="1:16" ht="13" x14ac:dyDescent="0.15">
      <c r="A883" s="62"/>
      <c r="D883" s="61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</row>
    <row r="884" spans="1:16" ht="13" x14ac:dyDescent="0.15">
      <c r="A884" s="62"/>
      <c r="D884" s="61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</row>
    <row r="885" spans="1:16" ht="13" x14ac:dyDescent="0.15">
      <c r="A885" s="62"/>
      <c r="D885" s="61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</row>
    <row r="886" spans="1:16" ht="13" x14ac:dyDescent="0.15">
      <c r="A886" s="62"/>
      <c r="D886" s="61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</row>
    <row r="887" spans="1:16" ht="13" x14ac:dyDescent="0.15">
      <c r="A887" s="62"/>
      <c r="D887" s="61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</row>
    <row r="888" spans="1:16" ht="13" x14ac:dyDescent="0.15">
      <c r="A888" s="62"/>
      <c r="D888" s="61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</row>
    <row r="889" spans="1:16" ht="13" x14ac:dyDescent="0.15">
      <c r="A889" s="62"/>
      <c r="D889" s="61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</row>
    <row r="890" spans="1:16" ht="13" x14ac:dyDescent="0.15">
      <c r="A890" s="62"/>
      <c r="D890" s="61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</row>
    <row r="891" spans="1:16" ht="13" x14ac:dyDescent="0.15">
      <c r="A891" s="62"/>
      <c r="D891" s="61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</row>
    <row r="892" spans="1:16" ht="13" x14ac:dyDescent="0.15">
      <c r="A892" s="62"/>
      <c r="D892" s="61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</row>
    <row r="893" spans="1:16" ht="13" x14ac:dyDescent="0.15">
      <c r="A893" s="62"/>
      <c r="D893" s="61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</row>
    <row r="894" spans="1:16" ht="13" x14ac:dyDescent="0.15">
      <c r="A894" s="62"/>
      <c r="D894" s="61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</row>
    <row r="895" spans="1:16" ht="13" x14ac:dyDescent="0.15">
      <c r="A895" s="62"/>
      <c r="D895" s="61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</row>
    <row r="896" spans="1:16" ht="13" x14ac:dyDescent="0.15">
      <c r="A896" s="62"/>
      <c r="D896" s="61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</row>
    <row r="897" spans="1:16" ht="13" x14ac:dyDescent="0.15">
      <c r="A897" s="62"/>
      <c r="D897" s="61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</row>
    <row r="898" spans="1:16" ht="13" x14ac:dyDescent="0.15">
      <c r="A898" s="62"/>
      <c r="D898" s="61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</row>
    <row r="899" spans="1:16" ht="13" x14ac:dyDescent="0.15">
      <c r="A899" s="62"/>
      <c r="D899" s="61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</row>
    <row r="900" spans="1:16" ht="13" x14ac:dyDescent="0.15">
      <c r="A900" s="62"/>
      <c r="D900" s="61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</row>
    <row r="901" spans="1:16" ht="13" x14ac:dyDescent="0.15">
      <c r="A901" s="62"/>
      <c r="D901" s="61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</row>
    <row r="902" spans="1:16" ht="13" x14ac:dyDescent="0.15">
      <c r="A902" s="62"/>
      <c r="D902" s="61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</row>
    <row r="903" spans="1:16" ht="13" x14ac:dyDescent="0.15">
      <c r="A903" s="62"/>
      <c r="D903" s="61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</row>
    <row r="904" spans="1:16" ht="13" x14ac:dyDescent="0.15">
      <c r="A904" s="62"/>
      <c r="D904" s="61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</row>
    <row r="905" spans="1:16" ht="13" x14ac:dyDescent="0.15">
      <c r="A905" s="62"/>
      <c r="D905" s="61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</row>
    <row r="906" spans="1:16" ht="13" x14ac:dyDescent="0.15">
      <c r="A906" s="62"/>
      <c r="D906" s="61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</row>
    <row r="907" spans="1:16" ht="13" x14ac:dyDescent="0.15">
      <c r="A907" s="62"/>
      <c r="D907" s="61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</row>
    <row r="908" spans="1:16" ht="13" x14ac:dyDescent="0.15">
      <c r="A908" s="62"/>
      <c r="D908" s="61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</row>
    <row r="909" spans="1:16" ht="13" x14ac:dyDescent="0.15">
      <c r="A909" s="62"/>
      <c r="D909" s="61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</row>
    <row r="910" spans="1:16" ht="13" x14ac:dyDescent="0.15">
      <c r="A910" s="62"/>
      <c r="D910" s="61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</row>
    <row r="911" spans="1:16" ht="13" x14ac:dyDescent="0.15">
      <c r="A911" s="62"/>
      <c r="D911" s="61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</row>
    <row r="912" spans="1:16" ht="13" x14ac:dyDescent="0.15">
      <c r="A912" s="62"/>
      <c r="D912" s="61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</row>
    <row r="913" spans="1:16" ht="13" x14ac:dyDescent="0.15">
      <c r="A913" s="62"/>
      <c r="D913" s="61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</row>
    <row r="914" spans="1:16" ht="13" x14ac:dyDescent="0.15">
      <c r="A914" s="62"/>
      <c r="D914" s="61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</row>
    <row r="915" spans="1:16" ht="13" x14ac:dyDescent="0.15">
      <c r="A915" s="62"/>
      <c r="D915" s="61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</row>
    <row r="916" spans="1:16" ht="13" x14ac:dyDescent="0.15">
      <c r="A916" s="62"/>
      <c r="D916" s="61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</row>
    <row r="917" spans="1:16" ht="13" x14ac:dyDescent="0.15">
      <c r="A917" s="62"/>
      <c r="D917" s="61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</row>
    <row r="918" spans="1:16" ht="13" x14ac:dyDescent="0.15">
      <c r="A918" s="62"/>
      <c r="D918" s="61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</row>
    <row r="919" spans="1:16" ht="13" x14ac:dyDescent="0.15">
      <c r="A919" s="62"/>
      <c r="D919" s="61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</row>
    <row r="920" spans="1:16" ht="13" x14ac:dyDescent="0.15">
      <c r="A920" s="62"/>
      <c r="D920" s="61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</row>
    <row r="921" spans="1:16" ht="13" x14ac:dyDescent="0.15">
      <c r="A921" s="62"/>
      <c r="D921" s="61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</row>
    <row r="922" spans="1:16" ht="13" x14ac:dyDescent="0.15">
      <c r="A922" s="62"/>
      <c r="D922" s="61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</row>
    <row r="923" spans="1:16" ht="13" x14ac:dyDescent="0.15">
      <c r="A923" s="62"/>
      <c r="D923" s="61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</row>
    <row r="924" spans="1:16" ht="13" x14ac:dyDescent="0.15">
      <c r="A924" s="62"/>
      <c r="D924" s="61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</row>
    <row r="925" spans="1:16" ht="13" x14ac:dyDescent="0.15">
      <c r="A925" s="62"/>
      <c r="D925" s="61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</row>
    <row r="926" spans="1:16" ht="13" x14ac:dyDescent="0.15">
      <c r="A926" s="62"/>
      <c r="D926" s="61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</row>
    <row r="927" spans="1:16" ht="13" x14ac:dyDescent="0.15">
      <c r="A927" s="62"/>
      <c r="D927" s="61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</row>
    <row r="928" spans="1:16" ht="13" x14ac:dyDescent="0.15">
      <c r="A928" s="62"/>
      <c r="D928" s="61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</row>
    <row r="929" spans="1:16" ht="13" x14ac:dyDescent="0.15">
      <c r="A929" s="62"/>
      <c r="D929" s="61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</row>
    <row r="930" spans="1:16" ht="13" x14ac:dyDescent="0.15">
      <c r="A930" s="62"/>
      <c r="D930" s="61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</row>
    <row r="931" spans="1:16" ht="13" x14ac:dyDescent="0.15">
      <c r="A931" s="62"/>
      <c r="D931" s="61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</row>
    <row r="932" spans="1:16" ht="13" x14ac:dyDescent="0.15">
      <c r="A932" s="62"/>
      <c r="D932" s="61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</row>
    <row r="933" spans="1:16" ht="13" x14ac:dyDescent="0.15">
      <c r="A933" s="62"/>
      <c r="D933" s="61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</row>
    <row r="934" spans="1:16" ht="13" x14ac:dyDescent="0.15">
      <c r="A934" s="62"/>
      <c r="D934" s="61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</row>
    <row r="935" spans="1:16" ht="13" x14ac:dyDescent="0.15">
      <c r="A935" s="62"/>
      <c r="D935" s="61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</row>
    <row r="936" spans="1:16" ht="13" x14ac:dyDescent="0.15">
      <c r="A936" s="62"/>
      <c r="D936" s="61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</row>
    <row r="937" spans="1:16" ht="13" x14ac:dyDescent="0.15">
      <c r="A937" s="62"/>
      <c r="D937" s="61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</row>
    <row r="938" spans="1:16" ht="13" x14ac:dyDescent="0.15">
      <c r="A938" s="62"/>
      <c r="D938" s="61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</row>
    <row r="939" spans="1:16" ht="13" x14ac:dyDescent="0.15">
      <c r="A939" s="62"/>
      <c r="D939" s="61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</row>
    <row r="940" spans="1:16" ht="13" x14ac:dyDescent="0.15">
      <c r="A940" s="62"/>
      <c r="D940" s="61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</row>
    <row r="941" spans="1:16" ht="13" x14ac:dyDescent="0.15">
      <c r="A941" s="62"/>
      <c r="D941" s="61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</row>
    <row r="942" spans="1:16" ht="13" x14ac:dyDescent="0.15">
      <c r="A942" s="62"/>
      <c r="D942" s="61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</row>
    <row r="943" spans="1:16" ht="13" x14ac:dyDescent="0.15">
      <c r="A943" s="62"/>
      <c r="D943" s="61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</row>
    <row r="944" spans="1:16" ht="13" x14ac:dyDescent="0.15">
      <c r="A944" s="62"/>
      <c r="D944" s="61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</row>
    <row r="945" spans="1:16" ht="13" x14ac:dyDescent="0.15">
      <c r="A945" s="62"/>
      <c r="D945" s="61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</row>
    <row r="946" spans="1:16" ht="13" x14ac:dyDescent="0.15">
      <c r="A946" s="62"/>
      <c r="D946" s="61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</row>
    <row r="947" spans="1:16" ht="13" x14ac:dyDescent="0.15">
      <c r="A947" s="62"/>
      <c r="D947" s="61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</row>
    <row r="948" spans="1:16" ht="13" x14ac:dyDescent="0.15">
      <c r="A948" s="62"/>
      <c r="D948" s="61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</row>
    <row r="949" spans="1:16" ht="13" x14ac:dyDescent="0.15">
      <c r="A949" s="62"/>
      <c r="D949" s="61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</row>
    <row r="950" spans="1:16" ht="13" x14ac:dyDescent="0.15">
      <c r="A950" s="62"/>
      <c r="D950" s="61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</row>
    <row r="951" spans="1:16" ht="13" x14ac:dyDescent="0.15">
      <c r="A951" s="62"/>
      <c r="D951" s="61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</row>
    <row r="952" spans="1:16" ht="13" x14ac:dyDescent="0.15">
      <c r="A952" s="62"/>
      <c r="D952" s="61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</row>
    <row r="953" spans="1:16" ht="13" x14ac:dyDescent="0.15">
      <c r="A953" s="62"/>
      <c r="D953" s="61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</row>
    <row r="954" spans="1:16" ht="13" x14ac:dyDescent="0.15">
      <c r="A954" s="62"/>
      <c r="D954" s="61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</row>
    <row r="955" spans="1:16" ht="13" x14ac:dyDescent="0.15">
      <c r="A955" s="62"/>
      <c r="D955" s="61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</row>
    <row r="956" spans="1:16" ht="13" x14ac:dyDescent="0.15">
      <c r="A956" s="62"/>
      <c r="D956" s="61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</row>
    <row r="957" spans="1:16" ht="13" x14ac:dyDescent="0.15">
      <c r="A957" s="62"/>
      <c r="D957" s="61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</row>
    <row r="958" spans="1:16" ht="13" x14ac:dyDescent="0.15">
      <c r="A958" s="62"/>
      <c r="D958" s="61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</row>
    <row r="959" spans="1:16" ht="13" x14ac:dyDescent="0.15">
      <c r="A959" s="62"/>
      <c r="D959" s="61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</row>
    <row r="960" spans="1:16" ht="13" x14ac:dyDescent="0.15">
      <c r="A960" s="62"/>
      <c r="D960" s="61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</row>
    <row r="961" spans="1:16" ht="13" x14ac:dyDescent="0.15">
      <c r="A961" s="62"/>
      <c r="D961" s="61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</row>
    <row r="962" spans="1:16" ht="13" x14ac:dyDescent="0.15">
      <c r="A962" s="62"/>
      <c r="D962" s="61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</row>
    <row r="963" spans="1:16" ht="13" x14ac:dyDescent="0.15">
      <c r="A963" s="62"/>
      <c r="D963" s="61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</row>
    <row r="964" spans="1:16" ht="13" x14ac:dyDescent="0.15">
      <c r="A964" s="62"/>
      <c r="D964" s="61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</row>
    <row r="965" spans="1:16" ht="13" x14ac:dyDescent="0.15">
      <c r="A965" s="62"/>
      <c r="D965" s="61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</row>
    <row r="966" spans="1:16" ht="13" x14ac:dyDescent="0.15">
      <c r="A966" s="62"/>
      <c r="D966" s="61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</row>
    <row r="967" spans="1:16" ht="13" x14ac:dyDescent="0.15">
      <c r="A967" s="62"/>
      <c r="D967" s="61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</row>
    <row r="968" spans="1:16" ht="13" x14ac:dyDescent="0.15">
      <c r="A968" s="62"/>
      <c r="D968" s="61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</row>
    <row r="969" spans="1:16" ht="13" x14ac:dyDescent="0.15">
      <c r="A969" s="62"/>
      <c r="D969" s="61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</row>
    <row r="970" spans="1:16" ht="13" x14ac:dyDescent="0.15">
      <c r="A970" s="62"/>
      <c r="D970" s="61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</row>
    <row r="971" spans="1:16" ht="13" x14ac:dyDescent="0.15">
      <c r="A971" s="62"/>
      <c r="D971" s="61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</row>
    <row r="972" spans="1:16" ht="13" x14ac:dyDescent="0.15">
      <c r="A972" s="62"/>
      <c r="D972" s="61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</row>
    <row r="973" spans="1:16" ht="13" x14ac:dyDescent="0.15">
      <c r="A973" s="62"/>
      <c r="D973" s="61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</row>
    <row r="974" spans="1:16" ht="13" x14ac:dyDescent="0.15">
      <c r="A974" s="62"/>
      <c r="D974" s="61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</row>
    <row r="975" spans="1:16" ht="13" x14ac:dyDescent="0.15">
      <c r="A975" s="62"/>
      <c r="D975" s="61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</row>
    <row r="976" spans="1:16" ht="13" x14ac:dyDescent="0.15">
      <c r="A976" s="62"/>
      <c r="D976" s="61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</row>
    <row r="977" spans="1:16" ht="13" x14ac:dyDescent="0.15">
      <c r="A977" s="62"/>
      <c r="D977" s="61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</row>
    <row r="978" spans="1:16" ht="13" x14ac:dyDescent="0.15">
      <c r="A978" s="62"/>
      <c r="D978" s="61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</row>
    <row r="979" spans="1:16" ht="13" x14ac:dyDescent="0.15">
      <c r="A979" s="62"/>
      <c r="D979" s="61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</row>
    <row r="980" spans="1:16" ht="13" x14ac:dyDescent="0.15">
      <c r="A980" s="62"/>
      <c r="D980" s="61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</row>
    <row r="981" spans="1:16" ht="13" x14ac:dyDescent="0.15">
      <c r="A981" s="62"/>
      <c r="D981" s="61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</row>
    <row r="982" spans="1:16" ht="13" x14ac:dyDescent="0.15">
      <c r="A982" s="62"/>
      <c r="D982" s="61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</row>
    <row r="983" spans="1:16" ht="13" x14ac:dyDescent="0.15">
      <c r="A983" s="62"/>
      <c r="D983" s="61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</row>
    <row r="984" spans="1:16" ht="13" x14ac:dyDescent="0.15">
      <c r="A984" s="62"/>
      <c r="D984" s="61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</row>
    <row r="985" spans="1:16" ht="13" x14ac:dyDescent="0.15">
      <c r="A985" s="62"/>
      <c r="D985" s="61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</row>
    <row r="986" spans="1:16" ht="13" x14ac:dyDescent="0.15">
      <c r="A986" s="62"/>
      <c r="D986" s="61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</row>
    <row r="987" spans="1:16" ht="13" x14ac:dyDescent="0.15">
      <c r="A987" s="62"/>
      <c r="D987" s="61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</row>
    <row r="988" spans="1:16" ht="13" x14ac:dyDescent="0.15">
      <c r="A988" s="62"/>
      <c r="D988" s="61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</row>
    <row r="989" spans="1:16" ht="13" x14ac:dyDescent="0.15">
      <c r="A989" s="62"/>
      <c r="D989" s="61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</row>
    <row r="990" spans="1:16" ht="13" x14ac:dyDescent="0.15">
      <c r="A990" s="62"/>
      <c r="D990" s="61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</row>
    <row r="991" spans="1:16" ht="13" x14ac:dyDescent="0.15">
      <c r="A991" s="62"/>
      <c r="D991" s="61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</row>
    <row r="992" spans="1:16" ht="13" x14ac:dyDescent="0.15">
      <c r="A992" s="62"/>
      <c r="D992" s="61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</row>
    <row r="993" spans="1:16" ht="13" x14ac:dyDescent="0.15">
      <c r="A993" s="62"/>
      <c r="D993" s="61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</row>
    <row r="994" spans="1:16" ht="13" x14ac:dyDescent="0.15">
      <c r="A994" s="62"/>
      <c r="D994" s="61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</row>
    <row r="995" spans="1:16" ht="13" x14ac:dyDescent="0.15">
      <c r="A995" s="62"/>
      <c r="D995" s="61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</row>
    <row r="996" spans="1:16" ht="13" x14ac:dyDescent="0.15">
      <c r="A996" s="62"/>
      <c r="D996" s="61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</row>
    <row r="997" spans="1:16" ht="13" x14ac:dyDescent="0.15">
      <c r="A997" s="62"/>
      <c r="D997" s="61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</row>
    <row r="998" spans="1:16" ht="13" x14ac:dyDescent="0.15">
      <c r="A998" s="62"/>
      <c r="D998" s="61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</row>
    <row r="999" spans="1:16" ht="13" x14ac:dyDescent="0.15">
      <c r="A999" s="62"/>
      <c r="D999" s="61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</row>
    <row r="1000" spans="1:16" ht="13" x14ac:dyDescent="0.15">
      <c r="A1000" s="62"/>
      <c r="D1000" s="61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</row>
    <row r="1001" spans="1:16" ht="13" x14ac:dyDescent="0.15">
      <c r="A1001" s="62"/>
      <c r="D1001" s="61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</row>
    <row r="1002" spans="1:16" ht="13" x14ac:dyDescent="0.15">
      <c r="A1002" s="62"/>
      <c r="D1002" s="61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</row>
  </sheetData>
  <mergeCells count="3">
    <mergeCell ref="A1:C1"/>
    <mergeCell ref="E1:P1"/>
    <mergeCell ref="A2:C2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002"/>
  <sheetViews>
    <sheetView workbookViewId="0"/>
  </sheetViews>
  <sheetFormatPr baseColWidth="10" defaultColWidth="12.6640625" defaultRowHeight="15.75" customHeight="1" x14ac:dyDescent="0.15"/>
  <cols>
    <col min="1" max="1" width="14.33203125" customWidth="1"/>
    <col min="2" max="2" width="15.1640625" customWidth="1"/>
    <col min="3" max="3" width="20.33203125" customWidth="1"/>
    <col min="4" max="4" width="10.1640625" customWidth="1"/>
    <col min="5" max="5" width="15.1640625" customWidth="1"/>
    <col min="6" max="6" width="5.6640625" customWidth="1"/>
    <col min="7" max="7" width="5" customWidth="1"/>
    <col min="8" max="8" width="5.1640625" customWidth="1"/>
    <col min="9" max="11" width="5.6640625" customWidth="1"/>
    <col min="12" max="12" width="6.6640625" customWidth="1"/>
    <col min="13" max="15" width="5.6640625" customWidth="1"/>
    <col min="16" max="16" width="5.5" customWidth="1"/>
    <col min="17" max="17" width="5.6640625" customWidth="1"/>
    <col min="18" max="18" width="5.5" customWidth="1"/>
    <col min="19" max="19" width="5.6640625" customWidth="1"/>
    <col min="20" max="20" width="5.1640625" customWidth="1"/>
    <col min="21" max="21" width="4.6640625" customWidth="1"/>
  </cols>
  <sheetData>
    <row r="1" spans="1:21" ht="15.75" customHeight="1" x14ac:dyDescent="0.15">
      <c r="A1" s="52" t="s">
        <v>548</v>
      </c>
      <c r="B1" s="52" t="s">
        <v>15</v>
      </c>
      <c r="C1" s="52" t="s">
        <v>22</v>
      </c>
      <c r="D1" s="63"/>
      <c r="E1" s="63" t="s">
        <v>567</v>
      </c>
      <c r="F1" s="100" t="s">
        <v>550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21" ht="15.75" customHeight="1" x14ac:dyDescent="0.15">
      <c r="A2" s="54">
        <f>COUNT(A4:A366)</f>
        <v>11</v>
      </c>
      <c r="B2" s="2">
        <f t="shared" ref="B2:C2" si="0">COUNTIF($E$4:$E$192,B1)</f>
        <v>2</v>
      </c>
      <c r="C2" s="2">
        <f t="shared" si="0"/>
        <v>9</v>
      </c>
      <c r="D2" s="64"/>
      <c r="E2" s="64">
        <f>SUM(F2:U2)</f>
        <v>125000</v>
      </c>
      <c r="F2" s="55">
        <f t="shared" ref="F2:H2" si="1">SUM(F$4:F$1002)</f>
        <v>4900</v>
      </c>
      <c r="G2" s="55">
        <f t="shared" si="1"/>
        <v>6100</v>
      </c>
      <c r="H2" s="55">
        <f t="shared" si="1"/>
        <v>6700</v>
      </c>
      <c r="I2" s="55">
        <f>SUM(I4:I10)</f>
        <v>1000</v>
      </c>
      <c r="J2" s="55">
        <f t="shared" ref="J2:U2" si="2">SUM(J$4:J$1002)</f>
        <v>6700</v>
      </c>
      <c r="K2" s="55">
        <f t="shared" si="2"/>
        <v>11600</v>
      </c>
      <c r="L2" s="55">
        <f t="shared" si="2"/>
        <v>12800</v>
      </c>
      <c r="M2" s="55">
        <f t="shared" si="2"/>
        <v>1800</v>
      </c>
      <c r="N2" s="55">
        <f t="shared" si="2"/>
        <v>12200</v>
      </c>
      <c r="O2" s="55">
        <f t="shared" si="2"/>
        <v>12200</v>
      </c>
      <c r="P2" s="55">
        <f t="shared" si="2"/>
        <v>12200</v>
      </c>
      <c r="Q2" s="55">
        <f t="shared" si="2"/>
        <v>1600</v>
      </c>
      <c r="R2" s="55">
        <f t="shared" si="2"/>
        <v>11600</v>
      </c>
      <c r="S2" s="55">
        <f t="shared" si="2"/>
        <v>11000</v>
      </c>
      <c r="T2" s="55">
        <f t="shared" si="2"/>
        <v>1600</v>
      </c>
      <c r="U2" s="55">
        <f t="shared" si="2"/>
        <v>11000</v>
      </c>
    </row>
    <row r="3" spans="1:21" ht="15.75" customHeight="1" x14ac:dyDescent="0.15">
      <c r="A3" s="56" t="s">
        <v>551</v>
      </c>
      <c r="B3" s="56" t="s">
        <v>3</v>
      </c>
      <c r="C3" s="57" t="s">
        <v>552</v>
      </c>
      <c r="D3" s="57" t="s">
        <v>568</v>
      </c>
      <c r="E3" s="56" t="s">
        <v>2</v>
      </c>
      <c r="F3" s="56" t="s">
        <v>557</v>
      </c>
      <c r="G3" s="56" t="s">
        <v>558</v>
      </c>
      <c r="H3" s="56" t="s">
        <v>559</v>
      </c>
      <c r="I3" s="57" t="s">
        <v>569</v>
      </c>
      <c r="J3" s="56" t="s">
        <v>560</v>
      </c>
      <c r="K3" s="56" t="s">
        <v>561</v>
      </c>
      <c r="L3" s="56" t="s">
        <v>562</v>
      </c>
      <c r="M3" s="57" t="s">
        <v>570</v>
      </c>
      <c r="N3" s="56" t="s">
        <v>563</v>
      </c>
      <c r="O3" s="56" t="s">
        <v>564</v>
      </c>
      <c r="P3" s="56" t="s">
        <v>565</v>
      </c>
      <c r="Q3" s="57" t="s">
        <v>570</v>
      </c>
      <c r="R3" s="56" t="s">
        <v>554</v>
      </c>
      <c r="S3" s="56" t="s">
        <v>555</v>
      </c>
      <c r="T3" s="57" t="s">
        <v>570</v>
      </c>
      <c r="U3" s="56" t="s">
        <v>556</v>
      </c>
    </row>
    <row r="4" spans="1:21" ht="15.75" customHeight="1" x14ac:dyDescent="0.15">
      <c r="A4" s="58">
        <v>78</v>
      </c>
      <c r="B4" s="59" t="str">
        <f>IFERROR(VLOOKUP($A4,Admission!$1:$998,4,0),"")</f>
        <v>DARAKSHA PARVIN</v>
      </c>
      <c r="C4" s="59" t="str">
        <f>IFERROR(VLOOKUP($A4,Admission!$1:$998,5,0),"")</f>
        <v>TASKIL AHMAD</v>
      </c>
      <c r="D4" s="59">
        <f>IFERROR(VLOOKUP($A4,Admission!$1:$998,10,0),"")</f>
        <v>7033666624</v>
      </c>
      <c r="E4" s="59" t="str">
        <f>IFERROR(VLOOKUP($A4,Admission!$1:$998,3,0),"")</f>
        <v>Day Scholar</v>
      </c>
      <c r="F4" s="25">
        <v>600</v>
      </c>
      <c r="G4" s="25">
        <v>600</v>
      </c>
      <c r="H4" s="25">
        <v>600</v>
      </c>
      <c r="I4" s="25">
        <v>200</v>
      </c>
      <c r="J4" s="25">
        <v>600</v>
      </c>
      <c r="K4" s="25">
        <v>600</v>
      </c>
      <c r="L4" s="25">
        <v>600</v>
      </c>
      <c r="M4" s="25">
        <v>200</v>
      </c>
      <c r="N4" s="25">
        <v>600</v>
      </c>
      <c r="O4" s="25">
        <v>600</v>
      </c>
      <c r="P4" s="25">
        <v>600</v>
      </c>
      <c r="Q4" s="25">
        <v>200</v>
      </c>
      <c r="R4" s="25">
        <v>600</v>
      </c>
      <c r="S4" s="25">
        <v>600</v>
      </c>
      <c r="T4" s="25">
        <v>200</v>
      </c>
      <c r="U4" s="25">
        <v>600</v>
      </c>
    </row>
    <row r="5" spans="1:21" ht="15.75" customHeight="1" x14ac:dyDescent="0.15">
      <c r="A5" s="58">
        <v>82</v>
      </c>
      <c r="B5" s="59" t="str">
        <f>IFERROR(VLOOKUP($A5,Admission!$1:$998,4,0),"")</f>
        <v>ASIF AHMAD</v>
      </c>
      <c r="C5" s="59" t="str">
        <f>IFERROR(VLOOKUP($A5,Admission!$1:$998,5,0),"")</f>
        <v>MD MUKHTAR ANSARI</v>
      </c>
      <c r="D5" s="59">
        <f>IFERROR(VLOOKUP($A5,Admission!$1:$998,10,0),"")</f>
        <v>8809878555</v>
      </c>
      <c r="E5" s="59" t="str">
        <f>IFERROR(VLOOKUP($A5,Admission!$1:$998,3,0),"")</f>
        <v>Hosteller</v>
      </c>
      <c r="F5" s="25">
        <v>3700</v>
      </c>
      <c r="G5" s="25">
        <v>3700</v>
      </c>
      <c r="H5" s="25">
        <v>3700</v>
      </c>
      <c r="I5" s="25">
        <v>200</v>
      </c>
      <c r="J5" s="25">
        <v>3700</v>
      </c>
      <c r="K5" s="25">
        <v>3700</v>
      </c>
      <c r="L5" s="25">
        <v>3700</v>
      </c>
      <c r="M5" s="25">
        <v>200</v>
      </c>
      <c r="N5" s="25">
        <v>3700</v>
      </c>
      <c r="O5" s="25">
        <v>3700</v>
      </c>
      <c r="P5" s="25">
        <v>3700</v>
      </c>
      <c r="Q5" s="25">
        <v>200</v>
      </c>
      <c r="R5" s="25">
        <v>3700</v>
      </c>
      <c r="S5" s="25">
        <v>3700</v>
      </c>
      <c r="T5" s="25">
        <v>200</v>
      </c>
      <c r="U5" s="25">
        <v>3700</v>
      </c>
    </row>
    <row r="6" spans="1:21" ht="15.75" customHeight="1" x14ac:dyDescent="0.15">
      <c r="A6" s="58">
        <v>84</v>
      </c>
      <c r="B6" s="59" t="str">
        <f>IFERROR(VLOOKUP($A6,Admission!$1:$998,4,0),"")</f>
        <v>ESMA NAAJ</v>
      </c>
      <c r="C6" s="59" t="str">
        <f>IFERROR(VLOOKUP($A6,Admission!$1:$998,5,0),"")</f>
        <v>ANIKUL ISLAM</v>
      </c>
      <c r="D6" s="59">
        <f>IFERROR(VLOOKUP($A6,Admission!$1:$998,10,0),"")</f>
        <v>9064803071</v>
      </c>
      <c r="E6" s="59" t="str">
        <f>IFERROR(VLOOKUP($A6,Admission!$1:$998,3,0),"")</f>
        <v>Day Scholar</v>
      </c>
      <c r="F6" s="25">
        <v>600</v>
      </c>
      <c r="G6" s="25">
        <v>600</v>
      </c>
      <c r="H6" s="25">
        <v>600</v>
      </c>
      <c r="I6" s="25">
        <v>200</v>
      </c>
      <c r="J6" s="25">
        <v>600</v>
      </c>
      <c r="K6" s="25">
        <v>600</v>
      </c>
      <c r="L6" s="25">
        <v>600</v>
      </c>
      <c r="M6" s="25">
        <v>200</v>
      </c>
      <c r="N6" s="25">
        <v>600</v>
      </c>
      <c r="O6" s="25">
        <v>600</v>
      </c>
      <c r="P6" s="25">
        <v>600</v>
      </c>
      <c r="Q6" s="25">
        <v>200</v>
      </c>
      <c r="R6" s="25">
        <v>600</v>
      </c>
      <c r="S6" s="25">
        <v>600</v>
      </c>
      <c r="T6" s="25">
        <v>200</v>
      </c>
      <c r="U6" s="25">
        <v>600</v>
      </c>
    </row>
    <row r="7" spans="1:21" ht="15.75" customHeight="1" x14ac:dyDescent="0.15">
      <c r="A7" s="58">
        <v>105</v>
      </c>
      <c r="B7" s="59" t="str">
        <f>IFERROR(VLOOKUP($A7,Admission!$1:$998,4,0),"")</f>
        <v>IMRANA HASAN</v>
      </c>
      <c r="C7" s="59" t="str">
        <f>IFERROR(VLOOKUP($A7,Admission!$1:$998,5,0),"")</f>
        <v>MD RELIM SHEKH</v>
      </c>
      <c r="D7" s="59">
        <f>IFERROR(VLOOKUP($A7,Admission!$1:$998,10,0),"")</f>
        <v>7070636161</v>
      </c>
      <c r="E7" s="59" t="str">
        <f>IFERROR(VLOOKUP($A7,Admission!$1:$998,3,0),"")</f>
        <v>Day Scholar</v>
      </c>
      <c r="F7" s="25">
        <v>0</v>
      </c>
      <c r="G7" s="25">
        <v>600</v>
      </c>
      <c r="H7" s="25">
        <v>600</v>
      </c>
      <c r="I7" s="25">
        <v>200</v>
      </c>
      <c r="J7" s="25">
        <v>600</v>
      </c>
      <c r="K7" s="25">
        <v>600</v>
      </c>
      <c r="L7" s="25">
        <v>600</v>
      </c>
      <c r="M7" s="25">
        <v>200</v>
      </c>
      <c r="N7" s="25"/>
      <c r="O7" s="25"/>
      <c r="P7" s="25"/>
      <c r="Q7" s="25"/>
      <c r="R7" s="25"/>
      <c r="S7" s="25"/>
      <c r="T7" s="25"/>
      <c r="U7" s="25"/>
    </row>
    <row r="8" spans="1:21" ht="15.75" customHeight="1" x14ac:dyDescent="0.15">
      <c r="A8" s="58">
        <v>137</v>
      </c>
      <c r="B8" s="59" t="str">
        <f>IFERROR(VLOOKUP($A8,Admission!$1:$998,4,0),"")</f>
        <v>ADEEB IMTIYAZ</v>
      </c>
      <c r="C8" s="59" t="str">
        <f>IFERROR(VLOOKUP($A8,Admission!$1:$998,5,0),"")</f>
        <v>IMTIYAZ ALAM</v>
      </c>
      <c r="D8" s="59">
        <f>IFERROR(VLOOKUP($A8,Admission!$1:$998,10,0),"")</f>
        <v>9567188032</v>
      </c>
      <c r="E8" s="59" t="str">
        <f>IFERROR(VLOOKUP($A8,Admission!$1:$998,3,0),"")</f>
        <v>Day Scholar</v>
      </c>
      <c r="F8" s="25">
        <v>0</v>
      </c>
      <c r="G8" s="25">
        <v>600</v>
      </c>
      <c r="H8" s="25">
        <v>600</v>
      </c>
      <c r="I8" s="25"/>
      <c r="J8" s="25">
        <v>600</v>
      </c>
      <c r="K8" s="25">
        <v>600</v>
      </c>
      <c r="L8" s="25">
        <v>600</v>
      </c>
      <c r="M8" s="25"/>
      <c r="N8" s="25">
        <v>600</v>
      </c>
      <c r="O8" s="25">
        <v>600</v>
      </c>
      <c r="P8" s="25">
        <v>600</v>
      </c>
      <c r="Q8" s="25"/>
      <c r="R8" s="25"/>
      <c r="S8" s="25"/>
      <c r="T8" s="25"/>
      <c r="U8" s="25"/>
    </row>
    <row r="9" spans="1:21" ht="15.75" customHeight="1" x14ac:dyDescent="0.15">
      <c r="A9" s="58">
        <v>143</v>
      </c>
      <c r="B9" s="59" t="str">
        <f>IFERROR(VLOOKUP($A9,Admission!$1:$998,4,0),"")</f>
        <v>SAHA ALAM</v>
      </c>
      <c r="C9" s="59" t="str">
        <f>IFERROR(VLOOKUP($A9,Admission!$1:$998,5,0),"")</f>
        <v>MD SAMIR SHEKH</v>
      </c>
      <c r="D9" s="59">
        <f>IFERROR(VLOOKUP($A9,Admission!$1:$998,10,0),"")</f>
        <v>6260898588</v>
      </c>
      <c r="E9" s="59" t="str">
        <f>IFERROR(VLOOKUP($A9,Admission!$1:$998,3,0),"")</f>
        <v>Day Scholar</v>
      </c>
      <c r="F9" s="25">
        <v>0</v>
      </c>
      <c r="G9" s="25">
        <v>0</v>
      </c>
      <c r="H9" s="25">
        <v>600</v>
      </c>
      <c r="I9" s="25">
        <v>200</v>
      </c>
      <c r="J9" s="25">
        <v>600</v>
      </c>
      <c r="K9" s="25">
        <v>600</v>
      </c>
      <c r="L9" s="25">
        <v>600</v>
      </c>
      <c r="M9" s="25">
        <v>200</v>
      </c>
      <c r="N9" s="25">
        <v>600</v>
      </c>
      <c r="O9" s="25">
        <v>600</v>
      </c>
      <c r="P9" s="25">
        <v>600</v>
      </c>
      <c r="Q9" s="25">
        <v>200</v>
      </c>
      <c r="R9" s="25">
        <v>600</v>
      </c>
      <c r="S9" s="25">
        <v>600</v>
      </c>
      <c r="T9" s="25">
        <v>200</v>
      </c>
      <c r="U9" s="25">
        <v>600</v>
      </c>
    </row>
    <row r="10" spans="1:21" ht="15.75" customHeight="1" x14ac:dyDescent="0.15">
      <c r="A10" s="58"/>
      <c r="B10" s="59" t="str">
        <f>IFERROR(VLOOKUP($A10,Admission!$1:$998,4,0),"")</f>
        <v/>
      </c>
      <c r="C10" s="59" t="str">
        <f>IFERROR(VLOOKUP($A10,Admission!$1:$998,5,0),"")</f>
        <v/>
      </c>
      <c r="D10" s="59" t="str">
        <f>IFERROR(VLOOKUP($A10,Admission!$1:$998,10,0),"")</f>
        <v/>
      </c>
      <c r="E10" s="59" t="str">
        <f>IFERROR(VLOOKUP($A10,Admission!$1:$998,3,0),"")</f>
        <v/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spans="1:21" ht="15.75" customHeight="1" x14ac:dyDescent="0.15">
      <c r="A11" s="58"/>
      <c r="B11" s="59" t="str">
        <f>IFERROR(VLOOKUP($A11,Admission!$1:$998,4,0),"")</f>
        <v/>
      </c>
      <c r="C11" s="59" t="str">
        <f>IFERROR(VLOOKUP($A11,Admission!$1:$998,5,0),"")</f>
        <v/>
      </c>
      <c r="D11" s="59" t="str">
        <f>IFERROR(VLOOKUP($A11,Admission!$1:$998,10,0),"")</f>
        <v/>
      </c>
      <c r="E11" s="59" t="str">
        <f>IFERROR(VLOOKUP($A11,Admission!$1:$998,3,0),"")</f>
        <v/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</row>
    <row r="12" spans="1:21" ht="15.75" customHeight="1" x14ac:dyDescent="0.15">
      <c r="A12" s="58">
        <v>178</v>
      </c>
      <c r="B12" s="59" t="str">
        <f>IFERROR(VLOOKUP($A12,Admission!$1:$998,4,0),"")</f>
        <v>IZHAAN ADEEB</v>
      </c>
      <c r="C12" s="59" t="str">
        <f>IFERROR(VLOOKUP($A12,Admission!$1:$998,5,0),"")</f>
        <v>KAIFUL ISLAM</v>
      </c>
      <c r="D12" s="59">
        <f>IFERROR(VLOOKUP($A12,Admission!$1:$998,10,0),"")</f>
        <v>7033873731</v>
      </c>
      <c r="E12" s="59" t="str">
        <f>IFERROR(VLOOKUP($A12,Admission!$1:$998,3,0),"")</f>
        <v>Day Scholar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600</v>
      </c>
      <c r="L12" s="25">
        <v>600</v>
      </c>
      <c r="M12" s="25"/>
      <c r="N12" s="25">
        <v>600</v>
      </c>
      <c r="O12" s="25">
        <v>600</v>
      </c>
      <c r="P12" s="25">
        <v>600</v>
      </c>
      <c r="Q12" s="25"/>
      <c r="R12" s="25">
        <v>600</v>
      </c>
      <c r="S12" s="25"/>
      <c r="T12" s="25"/>
      <c r="U12" s="25"/>
    </row>
    <row r="13" spans="1:21" ht="15.75" customHeight="1" x14ac:dyDescent="0.15">
      <c r="A13" s="58">
        <v>179</v>
      </c>
      <c r="B13" s="59" t="str">
        <f>IFERROR(VLOOKUP($A13,Admission!$1:$998,4,0),"")</f>
        <v>FARHAN HAIDER</v>
      </c>
      <c r="C13" s="59" t="str">
        <f>IFERROR(VLOOKUP($A13,Admission!$1:$998,5,0),"")</f>
        <v>GULAM HAIDER MANSUNI</v>
      </c>
      <c r="D13" s="59">
        <f>IFERROR(VLOOKUP($A13,Admission!$1:$998,10,0),"")</f>
        <v>9661404057</v>
      </c>
      <c r="E13" s="59" t="str">
        <f>IFERROR(VLOOKUP($A13,Admission!$1:$998,3,0),"")</f>
        <v>Day Scholar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600</v>
      </c>
      <c r="L13" s="25">
        <v>600</v>
      </c>
      <c r="M13" s="25">
        <v>200</v>
      </c>
      <c r="N13" s="25">
        <v>600</v>
      </c>
      <c r="O13" s="25">
        <v>600</v>
      </c>
      <c r="P13" s="25">
        <v>600</v>
      </c>
      <c r="Q13" s="25">
        <v>200</v>
      </c>
      <c r="R13" s="25">
        <v>600</v>
      </c>
      <c r="S13" s="25">
        <v>600</v>
      </c>
      <c r="T13" s="25">
        <v>200</v>
      </c>
      <c r="U13" s="25">
        <v>600</v>
      </c>
    </row>
    <row r="14" spans="1:21" ht="15.75" customHeight="1" x14ac:dyDescent="0.15">
      <c r="A14" s="58">
        <v>181</v>
      </c>
      <c r="B14" s="59" t="str">
        <f>IFERROR(VLOOKUP($A14,Admission!$1:$998,4,0),"")</f>
        <v>MUSARAAF ANSARI</v>
      </c>
      <c r="C14" s="59" t="str">
        <f>IFERROR(VLOOKUP($A14,Admission!$1:$998,5,0),"")</f>
        <v>MANIRUL ANSARI</v>
      </c>
      <c r="D14" s="59">
        <f>IFERROR(VLOOKUP($A14,Admission!$1:$998,10,0),"")</f>
        <v>6200383504</v>
      </c>
      <c r="E14" s="59" t="str">
        <f>IFERROR(VLOOKUP($A14,Admission!$1:$998,3,0),"")</f>
        <v>Hosteller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3700</v>
      </c>
      <c r="L14" s="25">
        <v>3700</v>
      </c>
      <c r="M14" s="25">
        <v>200</v>
      </c>
      <c r="N14" s="25">
        <v>3700</v>
      </c>
      <c r="O14" s="25">
        <v>3700</v>
      </c>
      <c r="P14" s="25">
        <v>3700</v>
      </c>
      <c r="Q14" s="25">
        <v>200</v>
      </c>
      <c r="R14" s="25">
        <v>3700</v>
      </c>
      <c r="S14" s="25">
        <v>3700</v>
      </c>
      <c r="T14" s="25">
        <v>200</v>
      </c>
      <c r="U14" s="25">
        <v>3700</v>
      </c>
    </row>
    <row r="15" spans="1:21" ht="15.75" customHeight="1" x14ac:dyDescent="0.15">
      <c r="A15" s="58">
        <v>182</v>
      </c>
      <c r="B15" s="59" t="str">
        <f>IFERROR(VLOOKUP($A15,Admission!$1:$998,4,0),"")</f>
        <v>RAHNUMA TANJIR</v>
      </c>
      <c r="C15" s="59" t="str">
        <f>IFERROR(VLOOKUP($A15,Admission!$1:$998,5,0),"")</f>
        <v>MD TANJIRUL SHAIKH</v>
      </c>
      <c r="D15" s="59">
        <f>IFERROR(VLOOKUP($A15,Admission!$1:$998,10,0),"")</f>
        <v>8569061769</v>
      </c>
      <c r="E15" s="59" t="str">
        <f>IFERROR(VLOOKUP($A15,Admission!$1:$998,3,0),"")</f>
        <v>Day Scholar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600</v>
      </c>
      <c r="M15" s="25">
        <v>200</v>
      </c>
      <c r="N15" s="25">
        <v>600</v>
      </c>
      <c r="O15" s="25">
        <v>600</v>
      </c>
      <c r="P15" s="25">
        <v>600</v>
      </c>
      <c r="Q15" s="25">
        <v>200</v>
      </c>
      <c r="R15" s="25">
        <v>600</v>
      </c>
      <c r="S15" s="25">
        <v>600</v>
      </c>
      <c r="T15" s="25">
        <v>200</v>
      </c>
      <c r="U15" s="25">
        <v>600</v>
      </c>
    </row>
    <row r="16" spans="1:21" ht="15.75" customHeight="1" x14ac:dyDescent="0.15">
      <c r="A16" s="58">
        <v>183</v>
      </c>
      <c r="B16" s="59" t="str">
        <f>IFERROR(VLOOKUP($A16,Admission!$1:$998,4,0),"")</f>
        <v>MINSHA PARVEEN</v>
      </c>
      <c r="C16" s="59" t="str">
        <f>IFERROR(VLOOKUP($A16,Admission!$1:$998,5,0),"")</f>
        <v>ASHRUDDIN ALAM</v>
      </c>
      <c r="D16" s="59">
        <f>IFERROR(VLOOKUP($A16,Admission!$1:$998,10,0),"")</f>
        <v>6207575260</v>
      </c>
      <c r="E16" s="59" t="str">
        <f>IFERROR(VLOOKUP($A16,Admission!$1:$998,3,0),"")</f>
        <v>Day Scholar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600</v>
      </c>
      <c r="M16" s="25">
        <v>200</v>
      </c>
      <c r="N16" s="25">
        <v>600</v>
      </c>
      <c r="O16" s="25">
        <v>600</v>
      </c>
      <c r="P16" s="25">
        <v>600</v>
      </c>
      <c r="Q16" s="25">
        <v>200</v>
      </c>
      <c r="R16" s="25">
        <v>600</v>
      </c>
      <c r="S16" s="25">
        <v>600</v>
      </c>
      <c r="T16" s="25">
        <v>200</v>
      </c>
      <c r="U16" s="25">
        <v>600</v>
      </c>
    </row>
    <row r="17" spans="1:21" ht="15.75" customHeight="1" x14ac:dyDescent="0.15">
      <c r="A17" s="58"/>
      <c r="B17" s="59" t="str">
        <f>IFERROR(VLOOKUP($A17,Admission!$1:$998,4,0),"")</f>
        <v/>
      </c>
      <c r="C17" s="59" t="str">
        <f>IFERROR(VLOOKUP($A17,Admission!$1:$998,5,0),"")</f>
        <v/>
      </c>
      <c r="D17" s="59" t="str">
        <f>IFERROR(VLOOKUP($A17,Admission!$1:$998,10,0),"")</f>
        <v/>
      </c>
      <c r="E17" s="59" t="str">
        <f>IFERROR(VLOOKUP($A17,Admission!$1:$998,3,0),"")</f>
        <v/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spans="1:21" ht="15.75" customHeight="1" x14ac:dyDescent="0.15">
      <c r="A18" s="58"/>
      <c r="B18" s="59" t="str">
        <f>IFERROR(VLOOKUP($A18,Admission!$1:$998,4,0),"")</f>
        <v/>
      </c>
      <c r="C18" s="59" t="str">
        <f>IFERROR(VLOOKUP($A18,Admission!$1:$998,5,0),"")</f>
        <v/>
      </c>
      <c r="D18" s="59" t="str">
        <f>IFERROR(VLOOKUP($A18,Admission!$1:$998,10,0),"")</f>
        <v/>
      </c>
      <c r="E18" s="59" t="str">
        <f>IFERROR(VLOOKUP($A18,Admission!$1:$998,3,0),"")</f>
        <v/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1:21" ht="15.75" customHeight="1" x14ac:dyDescent="0.15">
      <c r="A19" s="58"/>
      <c r="B19" s="59" t="str">
        <f>IFERROR(VLOOKUP($A19,Admission!$1:$998,4,0),"")</f>
        <v/>
      </c>
      <c r="C19" s="59" t="str">
        <f>IFERROR(VLOOKUP($A19,Admission!$1:$998,5,0),"")</f>
        <v/>
      </c>
      <c r="D19" s="59" t="str">
        <f>IFERROR(VLOOKUP($A19,Admission!$1:$998,10,0),"")</f>
        <v/>
      </c>
      <c r="E19" s="59" t="str">
        <f>IFERROR(VLOOKUP($A19,Admission!$1:$998,3,0),"")</f>
        <v/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1:21" ht="15.75" customHeight="1" x14ac:dyDescent="0.15">
      <c r="A20" s="58"/>
      <c r="B20" s="59" t="str">
        <f>IFERROR(VLOOKUP($A20,Admission!$1:$998,4,0),"")</f>
        <v/>
      </c>
      <c r="C20" s="59" t="str">
        <f>IFERROR(VLOOKUP($A20,Admission!$1:$998,5,0),"")</f>
        <v/>
      </c>
      <c r="D20" s="59" t="str">
        <f>IFERROR(VLOOKUP($A20,Admission!$1:$998,10,0),"")</f>
        <v/>
      </c>
      <c r="E20" s="59" t="str">
        <f>IFERROR(VLOOKUP($A20,Admission!$1:$998,3,0),"")</f>
        <v/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r="21" spans="1:21" ht="15.75" customHeight="1" x14ac:dyDescent="0.15">
      <c r="A21" s="58"/>
      <c r="B21" s="59" t="str">
        <f>IFERROR(VLOOKUP($A21,Admission!$1:$998,4,0),"")</f>
        <v/>
      </c>
      <c r="C21" s="59" t="str">
        <f>IFERROR(VLOOKUP($A21,Admission!$1:$998,5,0),"")</f>
        <v/>
      </c>
      <c r="D21" s="59" t="str">
        <f>IFERROR(VLOOKUP($A21,Admission!$1:$998,10,0),"")</f>
        <v/>
      </c>
      <c r="E21" s="59" t="str">
        <f>IFERROR(VLOOKUP($A21,Admission!$1:$998,3,0),"")</f>
        <v/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</row>
    <row r="22" spans="1:21" ht="15.75" customHeight="1" x14ac:dyDescent="0.15">
      <c r="A22" s="58"/>
      <c r="B22" s="59" t="str">
        <f>IFERROR(VLOOKUP($A22,Admission!$1:$998,4,0),"")</f>
        <v/>
      </c>
      <c r="C22" s="59" t="str">
        <f>IFERROR(VLOOKUP($A22,Admission!$1:$998,5,0),"")</f>
        <v/>
      </c>
      <c r="D22" s="59" t="str">
        <f>IFERROR(VLOOKUP($A22,Admission!$1:$998,10,0),"")</f>
        <v/>
      </c>
      <c r="E22" s="59" t="str">
        <f>IFERROR(VLOOKUP($A22,Admission!$1:$998,3,0),"")</f>
        <v/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1" ht="15.75" customHeight="1" x14ac:dyDescent="0.15">
      <c r="A23" s="58"/>
      <c r="B23" s="59" t="str">
        <f>IFERROR(VLOOKUP($A23,Admission!$1:$998,4,0),"")</f>
        <v/>
      </c>
      <c r="C23" s="59" t="str">
        <f>IFERROR(VLOOKUP($A23,Admission!$1:$998,5,0),"")</f>
        <v/>
      </c>
      <c r="D23" s="59" t="str">
        <f>IFERROR(VLOOKUP($A23,Admission!$1:$998,10,0),"")</f>
        <v/>
      </c>
      <c r="E23" s="59" t="str">
        <f>IFERROR(VLOOKUP($A23,Admission!$1:$998,3,0),"")</f>
        <v/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1" ht="15.75" customHeight="1" x14ac:dyDescent="0.15">
      <c r="A24" s="58"/>
      <c r="B24" s="59" t="str">
        <f>IFERROR(VLOOKUP($A24,Admission!$1:$998,4,0),"")</f>
        <v/>
      </c>
      <c r="C24" s="59" t="str">
        <f>IFERROR(VLOOKUP($A24,Admission!$1:$998,5,0),"")</f>
        <v/>
      </c>
      <c r="D24" s="59" t="str">
        <f>IFERROR(VLOOKUP($A24,Admission!$1:$998,10,0),"")</f>
        <v/>
      </c>
      <c r="E24" s="59" t="str">
        <f>IFERROR(VLOOKUP($A24,Admission!$1:$998,3,0),"")</f>
        <v/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1" ht="15.75" customHeight="1" x14ac:dyDescent="0.15">
      <c r="A25" s="58"/>
      <c r="B25" s="59" t="str">
        <f>IFERROR(VLOOKUP($A25,Admission!$1:$998,4,0),"")</f>
        <v/>
      </c>
      <c r="C25" s="59" t="str">
        <f>IFERROR(VLOOKUP($A25,Admission!$1:$998,5,0),"")</f>
        <v/>
      </c>
      <c r="D25" s="59" t="str">
        <f>IFERROR(VLOOKUP($A25,Admission!$1:$998,10,0),"")</f>
        <v/>
      </c>
      <c r="E25" s="59" t="str">
        <f>IFERROR(VLOOKUP($A25,Admission!$1:$998,3,0),"")</f>
        <v/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1:21" ht="15.75" customHeight="1" x14ac:dyDescent="0.15">
      <c r="A26" s="58"/>
      <c r="B26" s="59" t="str">
        <f>IFERROR(VLOOKUP($A26,Admission!$1:$998,4,0),"")</f>
        <v/>
      </c>
      <c r="C26" s="59" t="str">
        <f>IFERROR(VLOOKUP($A26,Admission!$1:$998,5,0),"")</f>
        <v/>
      </c>
      <c r="D26" s="59" t="str">
        <f>IFERROR(VLOOKUP($A26,Admission!$1:$998,10,0),"")</f>
        <v/>
      </c>
      <c r="E26" s="59" t="str">
        <f>IFERROR(VLOOKUP($A26,Admission!$1:$998,3,0),"")</f>
        <v/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ht="15.75" customHeight="1" x14ac:dyDescent="0.15">
      <c r="A27" s="58"/>
      <c r="B27" s="59" t="str">
        <f>IFERROR(VLOOKUP($A27,Admission!$1:$998,4,0),"")</f>
        <v/>
      </c>
      <c r="C27" s="59" t="str">
        <f>IFERROR(VLOOKUP($A27,Admission!$1:$998,5,0),"")</f>
        <v/>
      </c>
      <c r="D27" s="59" t="str">
        <f>IFERROR(VLOOKUP($A27,Admission!$1:$998,10,0),"")</f>
        <v/>
      </c>
      <c r="E27" s="59" t="str">
        <f>IFERROR(VLOOKUP($A27,Admission!$1:$998,3,0),"")</f>
        <v/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1" ht="15.75" customHeight="1" x14ac:dyDescent="0.15">
      <c r="A28" s="58"/>
      <c r="B28" s="59" t="str">
        <f>IFERROR(VLOOKUP($A28,Admission!$1:$998,4,0),"")</f>
        <v/>
      </c>
      <c r="C28" s="59" t="str">
        <f>IFERROR(VLOOKUP($A28,Admission!$1:$998,5,0),"")</f>
        <v/>
      </c>
      <c r="D28" s="59" t="str">
        <f>IFERROR(VLOOKUP($A28,Admission!$1:$998,10,0),"")</f>
        <v/>
      </c>
      <c r="E28" s="59" t="str">
        <f>IFERROR(VLOOKUP($A28,Admission!$1:$998,3,0),"")</f>
        <v/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ht="15.75" customHeight="1" x14ac:dyDescent="0.15">
      <c r="A29" s="58"/>
      <c r="B29" s="59" t="str">
        <f>IFERROR(VLOOKUP($A29,Admission!$1:$998,4,0),"")</f>
        <v/>
      </c>
      <c r="C29" s="59" t="str">
        <f>IFERROR(VLOOKUP($A29,Admission!$1:$998,5,0),"")</f>
        <v/>
      </c>
      <c r="D29" s="59" t="str">
        <f>IFERROR(VLOOKUP($A29,Admission!$1:$998,10,0),"")</f>
        <v/>
      </c>
      <c r="E29" s="59" t="str">
        <f>IFERROR(VLOOKUP($A29,Admission!$1:$998,3,0),"")</f>
        <v/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ht="15.75" customHeight="1" x14ac:dyDescent="0.15">
      <c r="A30" s="58"/>
      <c r="B30" s="59" t="str">
        <f>IFERROR(VLOOKUP($A30,Admission!$1:$998,4,0),"")</f>
        <v/>
      </c>
      <c r="C30" s="59" t="str">
        <f>IFERROR(VLOOKUP($A30,Admission!$1:$998,5,0),"")</f>
        <v/>
      </c>
      <c r="D30" s="59" t="str">
        <f>IFERROR(VLOOKUP($A30,Admission!$1:$998,10,0),"")</f>
        <v/>
      </c>
      <c r="E30" s="59" t="str">
        <f>IFERROR(VLOOKUP($A30,Admission!$1:$998,3,0),"")</f>
        <v/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 ht="15.75" customHeight="1" x14ac:dyDescent="0.15">
      <c r="A31" s="58"/>
      <c r="B31" s="59" t="str">
        <f>IFERROR(VLOOKUP($A31,Admission!$1:$998,4,0),"")</f>
        <v/>
      </c>
      <c r="C31" s="59" t="str">
        <f>IFERROR(VLOOKUP($A31,Admission!$1:$998,5,0),"")</f>
        <v/>
      </c>
      <c r="D31" s="59" t="str">
        <f>IFERROR(VLOOKUP($A31,Admission!$1:$998,10,0),"")</f>
        <v/>
      </c>
      <c r="E31" s="59" t="str">
        <f>IFERROR(VLOOKUP($A31,Admission!$1:$998,3,0),"")</f>
        <v/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1:21" ht="15.75" customHeight="1" x14ac:dyDescent="0.15">
      <c r="A32" s="58"/>
      <c r="B32" s="59" t="str">
        <f>IFERROR(VLOOKUP($A32,Admission!$1:$998,4,0),"")</f>
        <v/>
      </c>
      <c r="C32" s="59" t="str">
        <f>IFERROR(VLOOKUP($A32,Admission!$1:$998,5,0),"")</f>
        <v/>
      </c>
      <c r="D32" s="59" t="str">
        <f>IFERROR(VLOOKUP($A32,Admission!$1:$998,10,0),"")</f>
        <v/>
      </c>
      <c r="E32" s="59" t="str">
        <f>IFERROR(VLOOKUP($A32,Admission!$1:$998,3,0),"")</f>
        <v/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1:21" ht="15.75" customHeight="1" x14ac:dyDescent="0.15">
      <c r="A33" s="58"/>
      <c r="B33" s="59" t="str">
        <f>IFERROR(VLOOKUP($A33,Admission!$1:$998,4,0),"")</f>
        <v/>
      </c>
      <c r="C33" s="59" t="str">
        <f>IFERROR(VLOOKUP($A33,Admission!$1:$998,5,0),"")</f>
        <v/>
      </c>
      <c r="D33" s="59" t="str">
        <f>IFERROR(VLOOKUP($A33,Admission!$1:$998,10,0),"")</f>
        <v/>
      </c>
      <c r="E33" s="59" t="str">
        <f>IFERROR(VLOOKUP($A33,Admission!$1:$998,3,0),"")</f>
        <v/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1:21" ht="15.75" customHeight="1" x14ac:dyDescent="0.15">
      <c r="A34" s="58"/>
      <c r="B34" s="59" t="str">
        <f>IFERROR(VLOOKUP($A34,Admission!$1:$998,4,0),"")</f>
        <v/>
      </c>
      <c r="C34" s="59" t="str">
        <f>IFERROR(VLOOKUP($A34,Admission!$1:$998,5,0),"")</f>
        <v/>
      </c>
      <c r="D34" s="59" t="str">
        <f>IFERROR(VLOOKUP($A34,Admission!$1:$998,10,0),"")</f>
        <v/>
      </c>
      <c r="E34" s="59" t="str">
        <f>IFERROR(VLOOKUP($A34,Admission!$1:$998,3,0),"")</f>
        <v/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1:21" ht="15.75" customHeight="1" x14ac:dyDescent="0.15">
      <c r="A35" s="58"/>
      <c r="B35" s="59" t="str">
        <f>IFERROR(VLOOKUP($A35,Admission!$1:$998,4,0),"")</f>
        <v/>
      </c>
      <c r="C35" s="59" t="str">
        <f>IFERROR(VLOOKUP($A35,Admission!$1:$998,5,0),"")</f>
        <v/>
      </c>
      <c r="D35" s="59" t="str">
        <f>IFERROR(VLOOKUP($A35,Admission!$1:$998,10,0),"")</f>
        <v/>
      </c>
      <c r="E35" s="59" t="str">
        <f>IFERROR(VLOOKUP($A35,Admission!$1:$998,3,0),"")</f>
        <v/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1:21" ht="15.75" customHeight="1" x14ac:dyDescent="0.15">
      <c r="A36" s="58"/>
      <c r="B36" s="59" t="str">
        <f>IFERROR(VLOOKUP($A36,Admission!$1:$998,4,0),"")</f>
        <v/>
      </c>
      <c r="C36" s="59" t="str">
        <f>IFERROR(VLOOKUP($A36,Admission!$1:$998,5,0),"")</f>
        <v/>
      </c>
      <c r="D36" s="59" t="str">
        <f>IFERROR(VLOOKUP($A36,Admission!$1:$998,10,0),"")</f>
        <v/>
      </c>
      <c r="E36" s="59" t="str">
        <f>IFERROR(VLOOKUP($A36,Admission!$1:$998,3,0),"")</f>
        <v/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1:21" ht="15.75" customHeight="1" x14ac:dyDescent="0.15">
      <c r="A37" s="58"/>
      <c r="B37" s="59" t="str">
        <f>IFERROR(VLOOKUP($A37,Admission!$1:$998,4,0),"")</f>
        <v/>
      </c>
      <c r="C37" s="59" t="str">
        <f>IFERROR(VLOOKUP($A37,Admission!$1:$998,5,0),"")</f>
        <v/>
      </c>
      <c r="D37" s="59" t="str">
        <f>IFERROR(VLOOKUP($A37,Admission!$1:$998,10,0),"")</f>
        <v/>
      </c>
      <c r="E37" s="59" t="str">
        <f>IFERROR(VLOOKUP($A37,Admission!$1:$998,3,0),"")</f>
        <v/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1:21" ht="15.75" customHeight="1" x14ac:dyDescent="0.15">
      <c r="A38" s="58"/>
      <c r="B38" s="59" t="str">
        <f>IFERROR(VLOOKUP($A38,Admission!$1:$998,4,0),"")</f>
        <v/>
      </c>
      <c r="C38" s="59" t="str">
        <f>IFERROR(VLOOKUP($A38,Admission!$1:$998,5,0),"")</f>
        <v/>
      </c>
      <c r="D38" s="59" t="str">
        <f>IFERROR(VLOOKUP($A38,Admission!$1:$998,10,0),"")</f>
        <v/>
      </c>
      <c r="E38" s="59" t="str">
        <f>IFERROR(VLOOKUP($A38,Admission!$1:$998,3,0),"")</f>
        <v/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1:21" ht="15.75" customHeight="1" x14ac:dyDescent="0.15">
      <c r="A39" s="58"/>
      <c r="B39" s="59" t="str">
        <f>IFERROR(VLOOKUP($A39,Admission!$1:$998,4,0),"")</f>
        <v/>
      </c>
      <c r="C39" s="59" t="str">
        <f>IFERROR(VLOOKUP($A39,Admission!$1:$998,5,0),"")</f>
        <v/>
      </c>
      <c r="D39" s="59" t="str">
        <f>IFERROR(VLOOKUP($A39,Admission!$1:$998,10,0),"")</f>
        <v/>
      </c>
      <c r="E39" s="59" t="str">
        <f>IFERROR(VLOOKUP($A39,Admission!$1:$998,3,0),"")</f>
        <v/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ht="15.75" customHeight="1" x14ac:dyDescent="0.15">
      <c r="A40" s="58"/>
      <c r="B40" s="59" t="str">
        <f>IFERROR(VLOOKUP($A40,Admission!$1:$998,4,0),"")</f>
        <v/>
      </c>
      <c r="C40" s="59" t="str">
        <f>IFERROR(VLOOKUP($A40,Admission!$1:$998,5,0),"")</f>
        <v/>
      </c>
      <c r="D40" s="59" t="str">
        <f>IFERROR(VLOOKUP($A40,Admission!$1:$998,10,0),"")</f>
        <v/>
      </c>
      <c r="E40" s="59" t="str">
        <f>IFERROR(VLOOKUP($A40,Admission!$1:$998,3,0),"")</f>
        <v/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1:21" ht="15.75" customHeight="1" x14ac:dyDescent="0.15">
      <c r="A41" s="58"/>
      <c r="B41" s="59" t="str">
        <f>IFERROR(VLOOKUP($A41,Admission!$1:$998,4,0),"")</f>
        <v/>
      </c>
      <c r="C41" s="59" t="str">
        <f>IFERROR(VLOOKUP($A41,Admission!$1:$998,5,0),"")</f>
        <v/>
      </c>
      <c r="D41" s="59" t="str">
        <f>IFERROR(VLOOKUP($A41,Admission!$1:$998,10,0),"")</f>
        <v/>
      </c>
      <c r="E41" s="59" t="str">
        <f>IFERROR(VLOOKUP($A41,Admission!$1:$998,3,0),"")</f>
        <v/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1:21" ht="15.75" customHeight="1" x14ac:dyDescent="0.15">
      <c r="A42" s="58"/>
      <c r="B42" s="59" t="str">
        <f>IFERROR(VLOOKUP($A42,Admission!$1:$998,4,0),"")</f>
        <v/>
      </c>
      <c r="C42" s="59" t="str">
        <f>IFERROR(VLOOKUP($A42,Admission!$1:$998,5,0),"")</f>
        <v/>
      </c>
      <c r="D42" s="59" t="str">
        <f>IFERROR(VLOOKUP($A42,Admission!$1:$998,10,0),"")</f>
        <v/>
      </c>
      <c r="E42" s="59" t="str">
        <f>IFERROR(VLOOKUP($A42,Admission!$1:$998,3,0),"")</f>
        <v/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1:21" ht="15.75" customHeight="1" x14ac:dyDescent="0.15">
      <c r="A43" s="58"/>
      <c r="B43" s="59" t="str">
        <f>IFERROR(VLOOKUP($A43,Admission!$1:$998,4,0),"")</f>
        <v/>
      </c>
      <c r="C43" s="59" t="str">
        <f>IFERROR(VLOOKUP($A43,Admission!$1:$998,5,0),"")</f>
        <v/>
      </c>
      <c r="D43" s="59" t="str">
        <f>IFERROR(VLOOKUP($A43,Admission!$1:$998,10,0),"")</f>
        <v/>
      </c>
      <c r="E43" s="59" t="str">
        <f>IFERROR(VLOOKUP($A43,Admission!$1:$998,3,0),"")</f>
        <v/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21" ht="15.75" customHeight="1" x14ac:dyDescent="0.15">
      <c r="A44" s="58"/>
      <c r="B44" s="59" t="str">
        <f>IFERROR(VLOOKUP($A44,Admission!$1:$998,4,0),"")</f>
        <v/>
      </c>
      <c r="C44" s="59" t="str">
        <f>IFERROR(VLOOKUP($A44,Admission!$1:$998,5,0),"")</f>
        <v/>
      </c>
      <c r="D44" s="59" t="str">
        <f>IFERROR(VLOOKUP($A44,Admission!$1:$998,10,0),"")</f>
        <v/>
      </c>
      <c r="E44" s="59" t="str">
        <f>IFERROR(VLOOKUP($A44,Admission!$1:$998,3,0),"")</f>
        <v/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21" ht="15.75" customHeight="1" x14ac:dyDescent="0.15">
      <c r="A45" s="58"/>
      <c r="B45" s="59" t="str">
        <f>IFERROR(VLOOKUP($A45,Admission!$1:$998,4,0),"")</f>
        <v/>
      </c>
      <c r="C45" s="59" t="str">
        <f>IFERROR(VLOOKUP($A45,Admission!$1:$998,5,0),"")</f>
        <v/>
      </c>
      <c r="D45" s="59" t="str">
        <f>IFERROR(VLOOKUP($A45,Admission!$1:$998,10,0),"")</f>
        <v/>
      </c>
      <c r="E45" s="59" t="str">
        <f>IFERROR(VLOOKUP($A45,Admission!$1:$998,3,0),"")</f>
        <v/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1:21" ht="15.75" customHeight="1" x14ac:dyDescent="0.15">
      <c r="A46" s="58"/>
      <c r="B46" s="59" t="str">
        <f>IFERROR(VLOOKUP($A46,Admission!$1:$998,4,0),"")</f>
        <v/>
      </c>
      <c r="C46" s="59" t="str">
        <f>IFERROR(VLOOKUP($A46,Admission!$1:$998,5,0),"")</f>
        <v/>
      </c>
      <c r="D46" s="59" t="str">
        <f>IFERROR(VLOOKUP($A46,Admission!$1:$998,10,0),"")</f>
        <v/>
      </c>
      <c r="E46" s="59" t="str">
        <f>IFERROR(VLOOKUP($A46,Admission!$1:$998,3,0),"")</f>
        <v/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1:21" ht="15.75" customHeight="1" x14ac:dyDescent="0.15">
      <c r="A47" s="58"/>
      <c r="B47" s="59" t="str">
        <f>IFERROR(VLOOKUP($A47,Admission!$1:$998,4,0),"")</f>
        <v/>
      </c>
      <c r="C47" s="59" t="str">
        <f>IFERROR(VLOOKUP($A47,Admission!$1:$998,5,0),"")</f>
        <v/>
      </c>
      <c r="D47" s="59" t="str">
        <f>IFERROR(VLOOKUP($A47,Admission!$1:$998,10,0),"")</f>
        <v/>
      </c>
      <c r="E47" s="59" t="str">
        <f>IFERROR(VLOOKUP($A47,Admission!$1:$998,3,0),"")</f>
        <v/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1:21" ht="15.75" customHeight="1" x14ac:dyDescent="0.15">
      <c r="A48" s="58"/>
      <c r="B48" s="59" t="str">
        <f>IFERROR(VLOOKUP($A48,Admission!$1:$998,4,0),"")</f>
        <v/>
      </c>
      <c r="C48" s="59" t="str">
        <f>IFERROR(VLOOKUP($A48,Admission!$1:$998,5,0),"")</f>
        <v/>
      </c>
      <c r="D48" s="59" t="str">
        <f>IFERROR(VLOOKUP($A48,Admission!$1:$998,10,0),"")</f>
        <v/>
      </c>
      <c r="E48" s="59" t="str">
        <f>IFERROR(VLOOKUP($A48,Admission!$1:$998,3,0),"")</f>
        <v/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1:21" ht="15.75" customHeight="1" x14ac:dyDescent="0.15">
      <c r="A49" s="58"/>
      <c r="B49" s="59" t="str">
        <f>IFERROR(VLOOKUP($A49,Admission!$1:$998,4,0),"")</f>
        <v/>
      </c>
      <c r="C49" s="59" t="str">
        <f>IFERROR(VLOOKUP($A49,Admission!$1:$998,5,0),"")</f>
        <v/>
      </c>
      <c r="D49" s="59" t="str">
        <f>IFERROR(VLOOKUP($A49,Admission!$1:$998,10,0),"")</f>
        <v/>
      </c>
      <c r="E49" s="59" t="str">
        <f>IFERROR(VLOOKUP($A49,Admission!$1:$998,3,0),"")</f>
        <v/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1:21" ht="15.75" customHeight="1" x14ac:dyDescent="0.15">
      <c r="A50" s="58"/>
      <c r="B50" s="59" t="str">
        <f>IFERROR(VLOOKUP($A50,Admission!$1:$998,4,0),"")</f>
        <v/>
      </c>
      <c r="C50" s="59" t="str">
        <f>IFERROR(VLOOKUP($A50,Admission!$1:$998,5,0),"")</f>
        <v/>
      </c>
      <c r="D50" s="59" t="str">
        <f>IFERROR(VLOOKUP($A50,Admission!$1:$998,10,0),"")</f>
        <v/>
      </c>
      <c r="E50" s="59" t="str">
        <f>IFERROR(VLOOKUP($A50,Admission!$1:$998,3,0),"")</f>
        <v/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1:21" ht="15.75" customHeight="1" x14ac:dyDescent="0.15">
      <c r="A51" s="58"/>
      <c r="B51" s="59" t="str">
        <f>IFERROR(VLOOKUP($A51,Admission!$1:$998,4,0),"")</f>
        <v/>
      </c>
      <c r="C51" s="59" t="str">
        <f>IFERROR(VLOOKUP($A51,Admission!$1:$998,5,0),"")</f>
        <v/>
      </c>
      <c r="D51" s="59" t="str">
        <f>IFERROR(VLOOKUP($A51,Admission!$1:$998,10,0),"")</f>
        <v/>
      </c>
      <c r="E51" s="59" t="str">
        <f>IFERROR(VLOOKUP($A51,Admission!$1:$998,3,0),"")</f>
        <v/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</row>
    <row r="52" spans="1:21" ht="15.75" customHeight="1" x14ac:dyDescent="0.15">
      <c r="A52" s="58"/>
      <c r="B52" s="59" t="str">
        <f>IFERROR(VLOOKUP($A52,Admission!$1:$998,4,0),"")</f>
        <v/>
      </c>
      <c r="C52" s="59" t="str">
        <f>IFERROR(VLOOKUP($A52,Admission!$1:$998,5,0),"")</f>
        <v/>
      </c>
      <c r="D52" s="59" t="str">
        <f>IFERROR(VLOOKUP($A52,Admission!$1:$998,10,0),"")</f>
        <v/>
      </c>
      <c r="E52" s="59" t="str">
        <f>IFERROR(VLOOKUP($A52,Admission!$1:$998,3,0),"")</f>
        <v/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ht="15.75" customHeight="1" x14ac:dyDescent="0.15">
      <c r="A53" s="58"/>
      <c r="B53" s="59" t="str">
        <f>IFERROR(VLOOKUP($A53,Admission!$1:$998,4,0),"")</f>
        <v/>
      </c>
      <c r="C53" s="59" t="str">
        <f>IFERROR(VLOOKUP($A53,Admission!$1:$998,5,0),"")</f>
        <v/>
      </c>
      <c r="D53" s="59" t="str">
        <f>IFERROR(VLOOKUP($A53,Admission!$1:$998,10,0),"")</f>
        <v/>
      </c>
      <c r="E53" s="59" t="str">
        <f>IFERROR(VLOOKUP($A53,Admission!$1:$998,3,0),"")</f>
        <v/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1:21" ht="15.75" customHeight="1" x14ac:dyDescent="0.15">
      <c r="A54" s="58"/>
      <c r="B54" s="59" t="str">
        <f>IFERROR(VLOOKUP($A54,Admission!$1:$998,4,0),"")</f>
        <v/>
      </c>
      <c r="C54" s="59" t="str">
        <f>IFERROR(VLOOKUP($A54,Admission!$1:$998,5,0),"")</f>
        <v/>
      </c>
      <c r="D54" s="59" t="str">
        <f>IFERROR(VLOOKUP($A54,Admission!$1:$998,10,0),"")</f>
        <v/>
      </c>
      <c r="E54" s="59" t="str">
        <f>IFERROR(VLOOKUP($A54,Admission!$1:$998,3,0),"")</f>
        <v/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1:21" ht="15.75" customHeight="1" x14ac:dyDescent="0.15">
      <c r="A55" s="58"/>
      <c r="B55" s="59" t="str">
        <f>IFERROR(VLOOKUP($A55,Admission!$1:$998,4,0),"")</f>
        <v/>
      </c>
      <c r="C55" s="59" t="str">
        <f>IFERROR(VLOOKUP($A55,Admission!$1:$998,5,0),"")</f>
        <v/>
      </c>
      <c r="D55" s="59" t="str">
        <f>IFERROR(VLOOKUP($A55,Admission!$1:$998,10,0),"")</f>
        <v/>
      </c>
      <c r="E55" s="59" t="str">
        <f>IFERROR(VLOOKUP($A55,Admission!$1:$998,3,0),"")</f>
        <v/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 spans="1:21" ht="15.75" customHeight="1" x14ac:dyDescent="0.15">
      <c r="A56" s="58"/>
      <c r="B56" s="59" t="str">
        <f>IFERROR(VLOOKUP($A56,Admission!$1:$998,4,0),"")</f>
        <v/>
      </c>
      <c r="C56" s="59" t="str">
        <f>IFERROR(VLOOKUP($A56,Admission!$1:$998,5,0),"")</f>
        <v/>
      </c>
      <c r="D56" s="59" t="str">
        <f>IFERROR(VLOOKUP($A56,Admission!$1:$998,10,0),"")</f>
        <v/>
      </c>
      <c r="E56" s="59" t="str">
        <f>IFERROR(VLOOKUP($A56,Admission!$1:$998,3,0),"")</f>
        <v/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1:21" ht="15.75" customHeight="1" x14ac:dyDescent="0.15">
      <c r="A57" s="58"/>
      <c r="B57" s="59" t="str">
        <f>IFERROR(VLOOKUP($A57,Admission!$1:$998,4,0),"")</f>
        <v/>
      </c>
      <c r="C57" s="59" t="str">
        <f>IFERROR(VLOOKUP($A57,Admission!$1:$998,5,0),"")</f>
        <v/>
      </c>
      <c r="D57" s="59" t="str">
        <f>IFERROR(VLOOKUP($A57,Admission!$1:$998,10,0),"")</f>
        <v/>
      </c>
      <c r="E57" s="59" t="str">
        <f>IFERROR(VLOOKUP($A57,Admission!$1:$998,3,0),"")</f>
        <v/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1:21" ht="15.75" customHeight="1" x14ac:dyDescent="0.15">
      <c r="A58" s="58"/>
      <c r="B58" s="59" t="str">
        <f>IFERROR(VLOOKUP($A58,Admission!$1:$998,4,0),"")</f>
        <v/>
      </c>
      <c r="C58" s="59" t="str">
        <f>IFERROR(VLOOKUP($A58,Admission!$1:$998,5,0),"")</f>
        <v/>
      </c>
      <c r="D58" s="59" t="str">
        <f>IFERROR(VLOOKUP($A58,Admission!$1:$998,10,0),"")</f>
        <v/>
      </c>
      <c r="E58" s="59" t="str">
        <f>IFERROR(VLOOKUP($A58,Admission!$1:$998,3,0),"")</f>
        <v/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1:21" ht="15.75" customHeight="1" x14ac:dyDescent="0.15">
      <c r="A59" s="58"/>
      <c r="B59" s="59" t="str">
        <f>IFERROR(VLOOKUP($A59,Admission!$1:$998,4,0),"")</f>
        <v/>
      </c>
      <c r="C59" s="59" t="str">
        <f>IFERROR(VLOOKUP($A59,Admission!$1:$998,5,0),"")</f>
        <v/>
      </c>
      <c r="D59" s="59" t="str">
        <f>IFERROR(VLOOKUP($A59,Admission!$1:$998,10,0),"")</f>
        <v/>
      </c>
      <c r="E59" s="59" t="str">
        <f>IFERROR(VLOOKUP($A59,Admission!$1:$998,3,0),"")</f>
        <v/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1:21" ht="15.75" customHeight="1" x14ac:dyDescent="0.15">
      <c r="A60" s="58"/>
      <c r="B60" s="59" t="str">
        <f>IFERROR(VLOOKUP($A60,Admission!$1:$998,4,0),"")</f>
        <v/>
      </c>
      <c r="C60" s="59" t="str">
        <f>IFERROR(VLOOKUP($A60,Admission!$1:$998,5,0),"")</f>
        <v/>
      </c>
      <c r="D60" s="59" t="str">
        <f>IFERROR(VLOOKUP($A60,Admission!$1:$998,10,0),"")</f>
        <v/>
      </c>
      <c r="E60" s="59" t="str">
        <f>IFERROR(VLOOKUP($A60,Admission!$1:$998,3,0),"")</f>
        <v/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</row>
    <row r="61" spans="1:21" ht="15.75" customHeight="1" x14ac:dyDescent="0.15">
      <c r="A61" s="58"/>
      <c r="B61" s="59" t="str">
        <f>IFERROR(VLOOKUP($A61,Admission!$1:$998,4,0),"")</f>
        <v/>
      </c>
      <c r="C61" s="59" t="str">
        <f>IFERROR(VLOOKUP($A61,Admission!$1:$998,5,0),"")</f>
        <v/>
      </c>
      <c r="D61" s="59" t="str">
        <f>IFERROR(VLOOKUP($A61,Admission!$1:$998,10,0),"")</f>
        <v/>
      </c>
      <c r="E61" s="59" t="str">
        <f>IFERROR(VLOOKUP($A61,Admission!$1:$998,3,0),"")</f>
        <v/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1:21" ht="15.75" customHeight="1" x14ac:dyDescent="0.15">
      <c r="A62" s="58"/>
      <c r="B62" s="59" t="str">
        <f>IFERROR(VLOOKUP($A62,Admission!$1:$998,4,0),"")</f>
        <v/>
      </c>
      <c r="C62" s="59" t="str">
        <f>IFERROR(VLOOKUP($A62,Admission!$1:$998,5,0),"")</f>
        <v/>
      </c>
      <c r="D62" s="59" t="str">
        <f>IFERROR(VLOOKUP($A62,Admission!$1:$998,10,0),"")</f>
        <v/>
      </c>
      <c r="E62" s="59" t="str">
        <f>IFERROR(VLOOKUP($A62,Admission!$1:$998,3,0),"")</f>
        <v/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1:21" ht="15.75" customHeight="1" x14ac:dyDescent="0.15">
      <c r="A63" s="58"/>
      <c r="B63" s="59" t="str">
        <f>IFERROR(VLOOKUP($A63,Admission!$1:$998,4,0),"")</f>
        <v/>
      </c>
      <c r="C63" s="59" t="str">
        <f>IFERROR(VLOOKUP($A63,Admission!$1:$998,5,0),"")</f>
        <v/>
      </c>
      <c r="D63" s="59" t="str">
        <f>IFERROR(VLOOKUP($A63,Admission!$1:$998,10,0),"")</f>
        <v/>
      </c>
      <c r="E63" s="59" t="str">
        <f>IFERROR(VLOOKUP($A63,Admission!$1:$998,3,0),"")</f>
        <v/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1:21" ht="15.75" customHeight="1" x14ac:dyDescent="0.15">
      <c r="A64" s="58"/>
      <c r="B64" s="59" t="str">
        <f>IFERROR(VLOOKUP($A64,Admission!$1:$998,4,0),"")</f>
        <v/>
      </c>
      <c r="C64" s="59" t="str">
        <f>IFERROR(VLOOKUP($A64,Admission!$1:$998,5,0),"")</f>
        <v/>
      </c>
      <c r="D64" s="59" t="str">
        <f>IFERROR(VLOOKUP($A64,Admission!$1:$998,10,0),"")</f>
        <v/>
      </c>
      <c r="E64" s="59" t="str">
        <f>IFERROR(VLOOKUP($A64,Admission!$1:$998,3,0),"")</f>
        <v/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</row>
    <row r="65" spans="1:21" ht="15.75" customHeight="1" x14ac:dyDescent="0.15">
      <c r="A65" s="58"/>
      <c r="B65" s="59" t="str">
        <f>IFERROR(VLOOKUP($A65,Admission!$1:$998,4,0),"")</f>
        <v/>
      </c>
      <c r="C65" s="59" t="str">
        <f>IFERROR(VLOOKUP($A65,Admission!$1:$998,5,0),"")</f>
        <v/>
      </c>
      <c r="D65" s="59" t="str">
        <f>IFERROR(VLOOKUP($A65,Admission!$1:$998,10,0),"")</f>
        <v/>
      </c>
      <c r="E65" s="59" t="str">
        <f>IFERROR(VLOOKUP($A65,Admission!$1:$998,3,0),"")</f>
        <v/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1:21" ht="15.75" customHeight="1" x14ac:dyDescent="0.15">
      <c r="A66" s="58"/>
      <c r="B66" s="59" t="str">
        <f>IFERROR(VLOOKUP($A66,Admission!$1:$998,4,0),"")</f>
        <v/>
      </c>
      <c r="C66" s="59" t="str">
        <f>IFERROR(VLOOKUP($A66,Admission!$1:$998,5,0),"")</f>
        <v/>
      </c>
      <c r="D66" s="59" t="str">
        <f>IFERROR(VLOOKUP($A66,Admission!$1:$998,10,0),"")</f>
        <v/>
      </c>
      <c r="E66" s="59" t="str">
        <f>IFERROR(VLOOKUP($A66,Admission!$1:$998,3,0),"")</f>
        <v/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1:21" ht="15.75" customHeight="1" x14ac:dyDescent="0.15">
      <c r="A67" s="58"/>
      <c r="B67" s="59" t="str">
        <f>IFERROR(VLOOKUP($A67,Admission!$1:$998,4,0),"")</f>
        <v/>
      </c>
      <c r="C67" s="59" t="str">
        <f>IFERROR(VLOOKUP($A67,Admission!$1:$998,5,0),"")</f>
        <v/>
      </c>
      <c r="D67" s="59" t="str">
        <f>IFERROR(VLOOKUP($A67,Admission!$1:$998,10,0),"")</f>
        <v/>
      </c>
      <c r="E67" s="59" t="str">
        <f>IFERROR(VLOOKUP($A67,Admission!$1:$998,3,0),"")</f>
        <v/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1:21" ht="15.75" customHeight="1" x14ac:dyDescent="0.15">
      <c r="A68" s="58"/>
      <c r="B68" s="59" t="str">
        <f>IFERROR(VLOOKUP($A68,Admission!$1:$998,4,0),"")</f>
        <v/>
      </c>
      <c r="C68" s="59" t="str">
        <f>IFERROR(VLOOKUP($A68,Admission!$1:$998,5,0),"")</f>
        <v/>
      </c>
      <c r="D68" s="59" t="str">
        <f>IFERROR(VLOOKUP($A68,Admission!$1:$998,10,0),"")</f>
        <v/>
      </c>
      <c r="E68" s="59" t="str">
        <f>IFERROR(VLOOKUP($A68,Admission!$1:$998,3,0),"")</f>
        <v/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</row>
    <row r="69" spans="1:21" ht="15.75" customHeight="1" x14ac:dyDescent="0.15">
      <c r="A69" s="58"/>
      <c r="B69" s="59" t="str">
        <f>IFERROR(VLOOKUP($A69,Admission!$1:$998,4,0),"")</f>
        <v/>
      </c>
      <c r="C69" s="59" t="str">
        <f>IFERROR(VLOOKUP($A69,Admission!$1:$998,5,0),"")</f>
        <v/>
      </c>
      <c r="D69" s="59" t="str">
        <f>IFERROR(VLOOKUP($A69,Admission!$1:$998,10,0),"")</f>
        <v/>
      </c>
      <c r="E69" s="59" t="str">
        <f>IFERROR(VLOOKUP($A69,Admission!$1:$998,3,0),"")</f>
        <v/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1:21" ht="15.75" customHeight="1" x14ac:dyDescent="0.15">
      <c r="A70" s="58"/>
      <c r="B70" s="59" t="str">
        <f>IFERROR(VLOOKUP($A70,Admission!$1:$998,4,0),"")</f>
        <v/>
      </c>
      <c r="C70" s="59" t="str">
        <f>IFERROR(VLOOKUP($A70,Admission!$1:$998,5,0),"")</f>
        <v/>
      </c>
      <c r="D70" s="59" t="str">
        <f>IFERROR(VLOOKUP($A70,Admission!$1:$998,10,0),"")</f>
        <v/>
      </c>
      <c r="E70" s="59" t="str">
        <f>IFERROR(VLOOKUP($A70,Admission!$1:$998,3,0),"")</f>
        <v/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1:21" ht="15.75" customHeight="1" x14ac:dyDescent="0.15">
      <c r="A71" s="58"/>
      <c r="B71" s="59" t="str">
        <f>IFERROR(VLOOKUP($A71,Admission!$1:$998,4,0),"")</f>
        <v/>
      </c>
      <c r="C71" s="59" t="str">
        <f>IFERROR(VLOOKUP($A71,Admission!$1:$998,5,0),"")</f>
        <v/>
      </c>
      <c r="D71" s="59" t="str">
        <f>IFERROR(VLOOKUP($A71,Admission!$1:$998,10,0),"")</f>
        <v/>
      </c>
      <c r="E71" s="59" t="str">
        <f>IFERROR(VLOOKUP($A71,Admission!$1:$998,3,0),"")</f>
        <v/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1:21" ht="15.75" customHeight="1" x14ac:dyDescent="0.15">
      <c r="A72" s="58"/>
      <c r="B72" s="59" t="str">
        <f>IFERROR(VLOOKUP($A72,Admission!$1:$998,4,0),"")</f>
        <v/>
      </c>
      <c r="C72" s="59" t="str">
        <f>IFERROR(VLOOKUP($A72,Admission!$1:$998,5,0),"")</f>
        <v/>
      </c>
      <c r="D72" s="59" t="str">
        <f>IFERROR(VLOOKUP($A72,Admission!$1:$998,10,0),"")</f>
        <v/>
      </c>
      <c r="E72" s="59" t="str">
        <f>IFERROR(VLOOKUP($A72,Admission!$1:$998,3,0),"")</f>
        <v/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1:21" ht="15.75" customHeight="1" x14ac:dyDescent="0.15">
      <c r="A73" s="58"/>
      <c r="B73" s="59" t="str">
        <f>IFERROR(VLOOKUP($A73,Admission!$1:$998,4,0),"")</f>
        <v/>
      </c>
      <c r="C73" s="59" t="str">
        <f>IFERROR(VLOOKUP($A73,Admission!$1:$998,5,0),"")</f>
        <v/>
      </c>
      <c r="D73" s="59" t="str">
        <f>IFERROR(VLOOKUP($A73,Admission!$1:$998,10,0),"")</f>
        <v/>
      </c>
      <c r="E73" s="59" t="str">
        <f>IFERROR(VLOOKUP($A73,Admission!$1:$998,3,0),"")</f>
        <v/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</row>
    <row r="74" spans="1:21" ht="15.75" customHeight="1" x14ac:dyDescent="0.15">
      <c r="A74" s="58"/>
      <c r="B74" s="59" t="str">
        <f>IFERROR(VLOOKUP($A74,Admission!$1:$998,4,0),"")</f>
        <v/>
      </c>
      <c r="C74" s="59" t="str">
        <f>IFERROR(VLOOKUP($A74,Admission!$1:$998,5,0),"")</f>
        <v/>
      </c>
      <c r="D74" s="59" t="str">
        <f>IFERROR(VLOOKUP($A74,Admission!$1:$998,10,0),"")</f>
        <v/>
      </c>
      <c r="E74" s="59" t="str">
        <f>IFERROR(VLOOKUP($A74,Admission!$1:$998,3,0),"")</f>
        <v/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1:21" ht="15.75" customHeight="1" x14ac:dyDescent="0.15">
      <c r="A75" s="58"/>
      <c r="B75" s="59" t="str">
        <f>IFERROR(VLOOKUP($A75,Admission!$1:$998,4,0),"")</f>
        <v/>
      </c>
      <c r="C75" s="59" t="str">
        <f>IFERROR(VLOOKUP($A75,Admission!$1:$998,5,0),"")</f>
        <v/>
      </c>
      <c r="D75" s="59" t="str">
        <f>IFERROR(VLOOKUP($A75,Admission!$1:$998,10,0),"")</f>
        <v/>
      </c>
      <c r="E75" s="59" t="str">
        <f>IFERROR(VLOOKUP($A75,Admission!$1:$998,3,0),"")</f>
        <v/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1:21" ht="15.75" customHeight="1" x14ac:dyDescent="0.15">
      <c r="A76" s="58"/>
      <c r="B76" s="59" t="str">
        <f>IFERROR(VLOOKUP($A76,Admission!$1:$998,4,0),"")</f>
        <v/>
      </c>
      <c r="C76" s="59" t="str">
        <f>IFERROR(VLOOKUP($A76,Admission!$1:$998,5,0),"")</f>
        <v/>
      </c>
      <c r="D76" s="59" t="str">
        <f>IFERROR(VLOOKUP($A76,Admission!$1:$998,10,0),"")</f>
        <v/>
      </c>
      <c r="E76" s="59" t="str">
        <f>IFERROR(VLOOKUP($A76,Admission!$1:$998,3,0),"")</f>
        <v/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1:21" ht="15.75" customHeight="1" x14ac:dyDescent="0.15">
      <c r="A77" s="58"/>
      <c r="B77" s="59" t="str">
        <f>IFERROR(VLOOKUP($A77,Admission!$1:$998,4,0),"")</f>
        <v/>
      </c>
      <c r="C77" s="59" t="str">
        <f>IFERROR(VLOOKUP($A77,Admission!$1:$998,5,0),"")</f>
        <v/>
      </c>
      <c r="D77" s="59" t="str">
        <f>IFERROR(VLOOKUP($A77,Admission!$1:$998,10,0),"")</f>
        <v/>
      </c>
      <c r="E77" s="59" t="str">
        <f>IFERROR(VLOOKUP($A77,Admission!$1:$998,3,0),"")</f>
        <v/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1:21" ht="15.75" customHeight="1" x14ac:dyDescent="0.15">
      <c r="A78" s="58"/>
      <c r="B78" s="59" t="str">
        <f>IFERROR(VLOOKUP($A78,Admission!$1:$998,4,0),"")</f>
        <v/>
      </c>
      <c r="C78" s="59" t="str">
        <f>IFERROR(VLOOKUP($A78,Admission!$1:$998,5,0),"")</f>
        <v/>
      </c>
      <c r="D78" s="59" t="str">
        <f>IFERROR(VLOOKUP($A78,Admission!$1:$998,10,0),"")</f>
        <v/>
      </c>
      <c r="E78" s="59" t="str">
        <f>IFERROR(VLOOKUP($A78,Admission!$1:$998,3,0),"")</f>
        <v/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1:21" ht="15.75" customHeight="1" x14ac:dyDescent="0.15">
      <c r="A79" s="58"/>
      <c r="B79" s="59" t="str">
        <f>IFERROR(VLOOKUP($A79,Admission!$1:$998,4,0),"")</f>
        <v/>
      </c>
      <c r="C79" s="59" t="str">
        <f>IFERROR(VLOOKUP($A79,Admission!$1:$998,5,0),"")</f>
        <v/>
      </c>
      <c r="D79" s="59" t="str">
        <f>IFERROR(VLOOKUP($A79,Admission!$1:$998,10,0),"")</f>
        <v/>
      </c>
      <c r="E79" s="59" t="str">
        <f>IFERROR(VLOOKUP($A79,Admission!$1:$998,3,0),"")</f>
        <v/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1:21" ht="15.75" customHeight="1" x14ac:dyDescent="0.15">
      <c r="A80" s="58"/>
      <c r="B80" s="59" t="str">
        <f>IFERROR(VLOOKUP($A80,Admission!$1:$998,4,0),"")</f>
        <v/>
      </c>
      <c r="C80" s="59" t="str">
        <f>IFERROR(VLOOKUP($A80,Admission!$1:$998,5,0),"")</f>
        <v/>
      </c>
      <c r="D80" s="59" t="str">
        <f>IFERROR(VLOOKUP($A80,Admission!$1:$998,10,0),"")</f>
        <v/>
      </c>
      <c r="E80" s="59" t="str">
        <f>IFERROR(VLOOKUP($A80,Admission!$1:$998,3,0),"")</f>
        <v/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1:21" ht="15.75" customHeight="1" x14ac:dyDescent="0.15">
      <c r="A81" s="58"/>
      <c r="B81" s="59" t="str">
        <f>IFERROR(VLOOKUP($A81,Admission!$1:$998,4,0),"")</f>
        <v/>
      </c>
      <c r="C81" s="59" t="str">
        <f>IFERROR(VLOOKUP($A81,Admission!$1:$998,5,0),"")</f>
        <v/>
      </c>
      <c r="D81" s="59" t="str">
        <f>IFERROR(VLOOKUP($A81,Admission!$1:$998,10,0),"")</f>
        <v/>
      </c>
      <c r="E81" s="59" t="str">
        <f>IFERROR(VLOOKUP($A81,Admission!$1:$998,3,0),"")</f>
        <v/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1:21" ht="15.75" customHeight="1" x14ac:dyDescent="0.15">
      <c r="A82" s="58"/>
      <c r="B82" s="59" t="str">
        <f>IFERROR(VLOOKUP($A82,Admission!$1:$998,4,0),"")</f>
        <v/>
      </c>
      <c r="C82" s="59" t="str">
        <f>IFERROR(VLOOKUP($A82,Admission!$1:$998,5,0),"")</f>
        <v/>
      </c>
      <c r="D82" s="59" t="str">
        <f>IFERROR(VLOOKUP($A82,Admission!$1:$998,10,0),"")</f>
        <v/>
      </c>
      <c r="E82" s="59" t="str">
        <f>IFERROR(VLOOKUP($A82,Admission!$1:$998,3,0),"")</f>
        <v/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1:21" ht="15.75" customHeight="1" x14ac:dyDescent="0.15">
      <c r="A83" s="58"/>
      <c r="B83" s="59" t="str">
        <f>IFERROR(VLOOKUP($A83,Admission!$1:$998,4,0),"")</f>
        <v/>
      </c>
      <c r="C83" s="59" t="str">
        <f>IFERROR(VLOOKUP($A83,Admission!$1:$998,5,0),"")</f>
        <v/>
      </c>
      <c r="D83" s="59" t="str">
        <f>IFERROR(VLOOKUP($A83,Admission!$1:$998,10,0),"")</f>
        <v/>
      </c>
      <c r="E83" s="59" t="str">
        <f>IFERROR(VLOOKUP($A83,Admission!$1:$998,3,0),"")</f>
        <v/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1:21" ht="15.75" customHeight="1" x14ac:dyDescent="0.15">
      <c r="A84" s="58"/>
      <c r="B84" s="59" t="str">
        <f>IFERROR(VLOOKUP($A84,Admission!$1:$998,4,0),"")</f>
        <v/>
      </c>
      <c r="C84" s="59" t="str">
        <f>IFERROR(VLOOKUP($A84,Admission!$1:$998,5,0),"")</f>
        <v/>
      </c>
      <c r="D84" s="59" t="str">
        <f>IFERROR(VLOOKUP($A84,Admission!$1:$998,10,0),"")</f>
        <v/>
      </c>
      <c r="E84" s="59" t="str">
        <f>IFERROR(VLOOKUP($A84,Admission!$1:$998,3,0),"")</f>
        <v/>
      </c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1:21" ht="15.75" customHeight="1" x14ac:dyDescent="0.15">
      <c r="A85" s="58"/>
      <c r="B85" s="59" t="str">
        <f>IFERROR(VLOOKUP($A85,Admission!$1:$998,4,0),"")</f>
        <v/>
      </c>
      <c r="C85" s="59" t="str">
        <f>IFERROR(VLOOKUP($A85,Admission!$1:$998,5,0),"")</f>
        <v/>
      </c>
      <c r="D85" s="59" t="str">
        <f>IFERROR(VLOOKUP($A85,Admission!$1:$998,10,0),"")</f>
        <v/>
      </c>
      <c r="E85" s="59" t="str">
        <f>IFERROR(VLOOKUP($A85,Admission!$1:$998,3,0),"")</f>
        <v/>
      </c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1:21" ht="15.75" customHeight="1" x14ac:dyDescent="0.15">
      <c r="A86" s="58"/>
      <c r="B86" s="59" t="str">
        <f>IFERROR(VLOOKUP($A86,Admission!$1:$998,4,0),"")</f>
        <v/>
      </c>
      <c r="C86" s="59" t="str">
        <f>IFERROR(VLOOKUP($A86,Admission!$1:$998,5,0),"")</f>
        <v/>
      </c>
      <c r="D86" s="59" t="str">
        <f>IFERROR(VLOOKUP($A86,Admission!$1:$998,10,0),"")</f>
        <v/>
      </c>
      <c r="E86" s="59" t="str">
        <f>IFERROR(VLOOKUP($A86,Admission!$1:$998,3,0),"")</f>
        <v/>
      </c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1:21" ht="15.75" customHeight="1" x14ac:dyDescent="0.15">
      <c r="A87" s="58"/>
      <c r="B87" s="59" t="str">
        <f>IFERROR(VLOOKUP($A87,Admission!$1:$998,4,0),"")</f>
        <v/>
      </c>
      <c r="C87" s="59" t="str">
        <f>IFERROR(VLOOKUP($A87,Admission!$1:$998,5,0),"")</f>
        <v/>
      </c>
      <c r="D87" s="59" t="str">
        <f>IFERROR(VLOOKUP($A87,Admission!$1:$998,10,0),"")</f>
        <v/>
      </c>
      <c r="E87" s="59" t="str">
        <f>IFERROR(VLOOKUP($A87,Admission!$1:$998,3,0),"")</f>
        <v/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1:21" ht="15.75" customHeight="1" x14ac:dyDescent="0.15">
      <c r="A88" s="58"/>
      <c r="B88" s="59" t="str">
        <f>IFERROR(VLOOKUP($A88,Admission!$1:$998,4,0),"")</f>
        <v/>
      </c>
      <c r="C88" s="59" t="str">
        <f>IFERROR(VLOOKUP($A88,Admission!$1:$998,5,0),"")</f>
        <v/>
      </c>
      <c r="D88" s="59" t="str">
        <f>IFERROR(VLOOKUP($A88,Admission!$1:$998,10,0),"")</f>
        <v/>
      </c>
      <c r="E88" s="59" t="str">
        <f>IFERROR(VLOOKUP($A88,Admission!$1:$998,3,0),"")</f>
        <v/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1:21" ht="15.75" customHeight="1" x14ac:dyDescent="0.15">
      <c r="A89" s="58"/>
      <c r="B89" s="59" t="str">
        <f>IFERROR(VLOOKUP($A89,Admission!$1:$998,4,0),"")</f>
        <v/>
      </c>
      <c r="C89" s="59" t="str">
        <f>IFERROR(VLOOKUP($A89,Admission!$1:$998,5,0),"")</f>
        <v/>
      </c>
      <c r="D89" s="59" t="str">
        <f>IFERROR(VLOOKUP($A89,Admission!$1:$998,10,0),"")</f>
        <v/>
      </c>
      <c r="E89" s="59" t="str">
        <f>IFERROR(VLOOKUP($A89,Admission!$1:$998,3,0),"")</f>
        <v/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1:21" ht="15.75" customHeight="1" x14ac:dyDescent="0.15">
      <c r="A90" s="58"/>
      <c r="B90" s="59" t="str">
        <f>IFERROR(VLOOKUP($A90,Admission!$1:$998,4,0),"")</f>
        <v/>
      </c>
      <c r="C90" s="59" t="str">
        <f>IFERROR(VLOOKUP($A90,Admission!$1:$998,5,0),"")</f>
        <v/>
      </c>
      <c r="D90" s="59" t="str">
        <f>IFERROR(VLOOKUP($A90,Admission!$1:$998,10,0),"")</f>
        <v/>
      </c>
      <c r="E90" s="59" t="str">
        <f>IFERROR(VLOOKUP($A90,Admission!$1:$998,3,0),"")</f>
        <v/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1:21" ht="13" x14ac:dyDescent="0.15">
      <c r="A91" s="58"/>
      <c r="B91" s="59" t="str">
        <f>IFERROR(VLOOKUP($A91,Admission!$1:$998,4,0),"")</f>
        <v/>
      </c>
      <c r="C91" s="59" t="str">
        <f>IFERROR(VLOOKUP($A91,Admission!$1:$998,5,0),"")</f>
        <v/>
      </c>
      <c r="D91" s="59" t="str">
        <f>IFERROR(VLOOKUP($A91,Admission!$1:$998,10,0),"")</f>
        <v/>
      </c>
      <c r="E91" s="59" t="str">
        <f>IFERROR(VLOOKUP($A91,Admission!$1:$998,3,0),"")</f>
        <v/>
      </c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1:21" ht="13" x14ac:dyDescent="0.15">
      <c r="A92" s="58"/>
      <c r="B92" s="59" t="str">
        <f>IFERROR(VLOOKUP($A92,Admission!$1:$998,4,0),"")</f>
        <v/>
      </c>
      <c r="C92" s="59" t="str">
        <f>IFERROR(VLOOKUP($A92,Admission!$1:$998,5,0),"")</f>
        <v/>
      </c>
      <c r="D92" s="59" t="str">
        <f>IFERROR(VLOOKUP($A92,Admission!$1:$998,10,0),"")</f>
        <v/>
      </c>
      <c r="E92" s="59" t="str">
        <f>IFERROR(VLOOKUP($A92,Admission!$1:$998,3,0),"")</f>
        <v/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1:21" ht="13" x14ac:dyDescent="0.15">
      <c r="A93" s="58"/>
      <c r="B93" s="59" t="str">
        <f>IFERROR(VLOOKUP($A93,Admission!$1:$998,4,0),"")</f>
        <v/>
      </c>
      <c r="C93" s="59" t="str">
        <f>IFERROR(VLOOKUP($A93,Admission!$1:$998,5,0),"")</f>
        <v/>
      </c>
      <c r="D93" s="59" t="str">
        <f>IFERROR(VLOOKUP($A93,Admission!$1:$998,10,0),"")</f>
        <v/>
      </c>
      <c r="E93" s="59" t="str">
        <f>IFERROR(VLOOKUP($A93,Admission!$1:$998,3,0),"")</f>
        <v/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1:21" ht="13" x14ac:dyDescent="0.15">
      <c r="A94" s="58"/>
      <c r="B94" s="59" t="str">
        <f>IFERROR(VLOOKUP($A94,Admission!$1:$998,4,0),"")</f>
        <v/>
      </c>
      <c r="C94" s="59" t="str">
        <f>IFERROR(VLOOKUP($A94,Admission!$1:$998,5,0),"")</f>
        <v/>
      </c>
      <c r="D94" s="59" t="str">
        <f>IFERROR(VLOOKUP($A94,Admission!$1:$998,10,0),"")</f>
        <v/>
      </c>
      <c r="E94" s="59" t="str">
        <f>IFERROR(VLOOKUP($A94,Admission!$1:$998,3,0),"")</f>
        <v/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1:21" ht="13" x14ac:dyDescent="0.15">
      <c r="A95" s="58"/>
      <c r="B95" s="59" t="str">
        <f>IFERROR(VLOOKUP($A95,Admission!$1:$998,4,0),"")</f>
        <v/>
      </c>
      <c r="C95" s="59" t="str">
        <f>IFERROR(VLOOKUP($A95,Admission!$1:$998,5,0),"")</f>
        <v/>
      </c>
      <c r="D95" s="59" t="str">
        <f>IFERROR(VLOOKUP($A95,Admission!$1:$998,10,0),"")</f>
        <v/>
      </c>
      <c r="E95" s="59" t="str">
        <f>IFERROR(VLOOKUP($A95,Admission!$1:$998,3,0),"")</f>
        <v/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1:21" ht="13" x14ac:dyDescent="0.15">
      <c r="A96" s="58"/>
      <c r="B96" s="59" t="str">
        <f>IFERROR(VLOOKUP($A96,Admission!$1:$998,4,0),"")</f>
        <v/>
      </c>
      <c r="C96" s="59" t="str">
        <f>IFERROR(VLOOKUP($A96,Admission!$1:$998,5,0),"")</f>
        <v/>
      </c>
      <c r="D96" s="59" t="str">
        <f>IFERROR(VLOOKUP($A96,Admission!$1:$998,10,0),"")</f>
        <v/>
      </c>
      <c r="E96" s="59" t="str">
        <f>IFERROR(VLOOKUP($A96,Admission!$1:$998,3,0),"")</f>
        <v/>
      </c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1:21" ht="13" x14ac:dyDescent="0.15">
      <c r="A97" s="58"/>
      <c r="B97" s="59" t="str">
        <f>IFERROR(VLOOKUP($A97,Admission!$1:$998,4,0),"")</f>
        <v/>
      </c>
      <c r="C97" s="59" t="str">
        <f>IFERROR(VLOOKUP($A97,Admission!$1:$998,5,0),"")</f>
        <v/>
      </c>
      <c r="D97" s="59" t="str">
        <f>IFERROR(VLOOKUP($A97,Admission!$1:$998,10,0),"")</f>
        <v/>
      </c>
      <c r="E97" s="59" t="str">
        <f>IFERROR(VLOOKUP($A97,Admission!$1:$998,3,0),"")</f>
        <v/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1:21" ht="13" x14ac:dyDescent="0.15">
      <c r="A98" s="58"/>
      <c r="B98" s="59" t="str">
        <f>IFERROR(VLOOKUP($A98,Admission!$1:$998,4,0),"")</f>
        <v/>
      </c>
      <c r="C98" s="59" t="str">
        <f>IFERROR(VLOOKUP($A98,Admission!$1:$998,5,0),"")</f>
        <v/>
      </c>
      <c r="D98" s="59" t="str">
        <f>IFERROR(VLOOKUP($A98,Admission!$1:$998,10,0),"")</f>
        <v/>
      </c>
      <c r="E98" s="59" t="str">
        <f>IFERROR(VLOOKUP($A98,Admission!$1:$998,3,0),"")</f>
        <v/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1:21" ht="13" x14ac:dyDescent="0.15">
      <c r="A99" s="58"/>
      <c r="B99" s="59" t="str">
        <f>IFERROR(VLOOKUP($A99,Admission!$1:$998,4,0),"")</f>
        <v/>
      </c>
      <c r="C99" s="59" t="str">
        <f>IFERROR(VLOOKUP($A99,Admission!$1:$998,5,0),"")</f>
        <v/>
      </c>
      <c r="D99" s="59" t="str">
        <f>IFERROR(VLOOKUP($A99,Admission!$1:$998,10,0),"")</f>
        <v/>
      </c>
      <c r="E99" s="59" t="str">
        <f>IFERROR(VLOOKUP($A99,Admission!$1:$998,3,0),"")</f>
        <v/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1:21" ht="13" x14ac:dyDescent="0.15">
      <c r="A100" s="58"/>
      <c r="B100" s="59" t="str">
        <f>IFERROR(VLOOKUP($A100,Admission!$1:$998,4,0),"")</f>
        <v/>
      </c>
      <c r="C100" s="59" t="str">
        <f>IFERROR(VLOOKUP($A100,Admission!$1:$998,5,0),"")</f>
        <v/>
      </c>
      <c r="D100" s="59" t="str">
        <f>IFERROR(VLOOKUP($A100,Admission!$1:$998,10,0),"")</f>
        <v/>
      </c>
      <c r="E100" s="59" t="str">
        <f>IFERROR(VLOOKUP($A100,Admission!$1:$998,3,0),"")</f>
        <v/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1:21" ht="13" x14ac:dyDescent="0.15">
      <c r="A101" s="58"/>
      <c r="B101" s="59" t="str">
        <f>IFERROR(VLOOKUP($A101,Admission!$1:$998,4,0),"")</f>
        <v/>
      </c>
      <c r="C101" s="59" t="str">
        <f>IFERROR(VLOOKUP($A101,Admission!$1:$998,5,0),"")</f>
        <v/>
      </c>
      <c r="D101" s="59" t="str">
        <f>IFERROR(VLOOKUP($A101,Admission!$1:$998,10,0),"")</f>
        <v/>
      </c>
      <c r="E101" s="59" t="str">
        <f>IFERROR(VLOOKUP($A101,Admission!$1:$998,3,0),"")</f>
        <v/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1:21" ht="13" x14ac:dyDescent="0.15">
      <c r="A102" s="58"/>
      <c r="B102" s="59" t="str">
        <f>IFERROR(VLOOKUP($A102,Admission!$1:$998,4,0),"")</f>
        <v/>
      </c>
      <c r="C102" s="59" t="str">
        <f>IFERROR(VLOOKUP($A102,Admission!$1:$998,5,0),"")</f>
        <v/>
      </c>
      <c r="D102" s="59" t="str">
        <f>IFERROR(VLOOKUP($A102,Admission!$1:$998,10,0),"")</f>
        <v/>
      </c>
      <c r="E102" s="59" t="str">
        <f>IFERROR(VLOOKUP($A102,Admission!$1:$998,3,0),"")</f>
        <v/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1:21" ht="13" x14ac:dyDescent="0.15">
      <c r="A103" s="58"/>
      <c r="B103" s="59" t="str">
        <f>IFERROR(VLOOKUP($A103,Admission!$1:$998,4,0),"")</f>
        <v/>
      </c>
      <c r="C103" s="59" t="str">
        <f>IFERROR(VLOOKUP($A103,Admission!$1:$998,5,0),"")</f>
        <v/>
      </c>
      <c r="D103" s="59" t="str">
        <f>IFERROR(VLOOKUP($A103,Admission!$1:$998,10,0),"")</f>
        <v/>
      </c>
      <c r="E103" s="59" t="str">
        <f>IFERROR(VLOOKUP($A103,Admission!$1:$998,3,0),"")</f>
        <v/>
      </c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1:21" ht="13" x14ac:dyDescent="0.15">
      <c r="A104" s="58"/>
      <c r="B104" s="59" t="str">
        <f>IFERROR(VLOOKUP($A104,Admission!$1:$998,4,0),"")</f>
        <v/>
      </c>
      <c r="C104" s="59" t="str">
        <f>IFERROR(VLOOKUP($A104,Admission!$1:$998,5,0),"")</f>
        <v/>
      </c>
      <c r="D104" s="59" t="str">
        <f>IFERROR(VLOOKUP($A104,Admission!$1:$998,10,0),"")</f>
        <v/>
      </c>
      <c r="E104" s="59" t="str">
        <f>IFERROR(VLOOKUP($A104,Admission!$1:$998,3,0),"")</f>
        <v/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1:21" ht="13" x14ac:dyDescent="0.15">
      <c r="A105" s="58"/>
      <c r="B105" s="59" t="str">
        <f>IFERROR(VLOOKUP($A105,Admission!$1:$998,4,0),"")</f>
        <v/>
      </c>
      <c r="C105" s="59" t="str">
        <f>IFERROR(VLOOKUP($A105,Admission!$1:$998,5,0),"")</f>
        <v/>
      </c>
      <c r="D105" s="59" t="str">
        <f>IFERROR(VLOOKUP($A105,Admission!$1:$998,10,0),"")</f>
        <v/>
      </c>
      <c r="E105" s="59" t="str">
        <f>IFERROR(VLOOKUP($A105,Admission!$1:$998,3,0),"")</f>
        <v/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1:21" ht="13" x14ac:dyDescent="0.15">
      <c r="A106" s="58"/>
      <c r="B106" s="59" t="str">
        <f>IFERROR(VLOOKUP($A106,Admission!$1:$998,4,0),"")</f>
        <v/>
      </c>
      <c r="C106" s="59" t="str">
        <f>IFERROR(VLOOKUP($A106,Admission!$1:$998,5,0),"")</f>
        <v/>
      </c>
      <c r="D106" s="59" t="str">
        <f>IFERROR(VLOOKUP($A106,Admission!$1:$998,10,0),"")</f>
        <v/>
      </c>
      <c r="E106" s="59" t="str">
        <f>IFERROR(VLOOKUP($A106,Admission!$1:$998,3,0),"")</f>
        <v/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1:21" ht="13" x14ac:dyDescent="0.15">
      <c r="A107" s="58"/>
      <c r="B107" s="59" t="str">
        <f>IFERROR(VLOOKUP($A107,Admission!$1:$998,4,0),"")</f>
        <v/>
      </c>
      <c r="C107" s="59" t="str">
        <f>IFERROR(VLOOKUP($A107,Admission!$1:$998,5,0),"")</f>
        <v/>
      </c>
      <c r="D107" s="59" t="str">
        <f>IFERROR(VLOOKUP($A107,Admission!$1:$998,10,0),"")</f>
        <v/>
      </c>
      <c r="E107" s="59" t="str">
        <f>IFERROR(VLOOKUP($A107,Admission!$1:$998,3,0),"")</f>
        <v/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 ht="13" x14ac:dyDescent="0.15">
      <c r="A108" s="58"/>
      <c r="B108" s="59" t="str">
        <f>IFERROR(VLOOKUP($A108,Admission!$1:$998,4,0),"")</f>
        <v/>
      </c>
      <c r="C108" s="59" t="str">
        <f>IFERROR(VLOOKUP($A108,Admission!$1:$998,5,0),"")</f>
        <v/>
      </c>
      <c r="D108" s="59" t="str">
        <f>IFERROR(VLOOKUP($A108,Admission!$1:$998,10,0),"")</f>
        <v/>
      </c>
      <c r="E108" s="59" t="str">
        <f>IFERROR(VLOOKUP($A108,Admission!$1:$998,3,0),"")</f>
        <v/>
      </c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1:21" ht="13" x14ac:dyDescent="0.15">
      <c r="A109" s="58"/>
      <c r="B109" s="59" t="str">
        <f>IFERROR(VLOOKUP($A109,Admission!$1:$998,4,0),"")</f>
        <v/>
      </c>
      <c r="C109" s="59" t="str">
        <f>IFERROR(VLOOKUP($A109,Admission!$1:$998,5,0),"")</f>
        <v/>
      </c>
      <c r="D109" s="59" t="str">
        <f>IFERROR(VLOOKUP($A109,Admission!$1:$998,10,0),"")</f>
        <v/>
      </c>
      <c r="E109" s="59" t="str">
        <f>IFERROR(VLOOKUP($A109,Admission!$1:$998,3,0),"")</f>
        <v/>
      </c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1:21" ht="13" x14ac:dyDescent="0.15">
      <c r="A110" s="58"/>
      <c r="B110" s="59" t="str">
        <f>IFERROR(VLOOKUP($A110,Admission!$1:$998,4,0),"")</f>
        <v/>
      </c>
      <c r="C110" s="59" t="str">
        <f>IFERROR(VLOOKUP($A110,Admission!$1:$998,5,0),"")</f>
        <v/>
      </c>
      <c r="D110" s="59" t="str">
        <f>IFERROR(VLOOKUP($A110,Admission!$1:$998,10,0),"")</f>
        <v/>
      </c>
      <c r="E110" s="59" t="str">
        <f>IFERROR(VLOOKUP($A110,Admission!$1:$998,3,0),"")</f>
        <v/>
      </c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ht="13" x14ac:dyDescent="0.15">
      <c r="A111" s="58"/>
      <c r="B111" s="59" t="str">
        <f>IFERROR(VLOOKUP($A111,Admission!$1:$998,4,0),"")</f>
        <v/>
      </c>
      <c r="C111" s="59" t="str">
        <f>IFERROR(VLOOKUP($A111,Admission!$1:$998,5,0),"")</f>
        <v/>
      </c>
      <c r="D111" s="59" t="str">
        <f>IFERROR(VLOOKUP($A111,Admission!$1:$998,10,0),"")</f>
        <v/>
      </c>
      <c r="E111" s="59" t="str">
        <f>IFERROR(VLOOKUP($A111,Admission!$1:$998,3,0),"")</f>
        <v/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1:21" ht="13" x14ac:dyDescent="0.15">
      <c r="A112" s="58"/>
      <c r="B112" s="59" t="str">
        <f>IFERROR(VLOOKUP($A112,Admission!$1:$998,4,0),"")</f>
        <v/>
      </c>
      <c r="C112" s="59" t="str">
        <f>IFERROR(VLOOKUP($A112,Admission!$1:$998,5,0),"")</f>
        <v/>
      </c>
      <c r="D112" s="59" t="str">
        <f>IFERROR(VLOOKUP($A112,Admission!$1:$998,10,0),"")</f>
        <v/>
      </c>
      <c r="E112" s="59" t="str">
        <f>IFERROR(VLOOKUP($A112,Admission!$1:$998,3,0),"")</f>
        <v/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1:21" ht="13" x14ac:dyDescent="0.15">
      <c r="A113" s="58"/>
      <c r="B113" s="59" t="str">
        <f>IFERROR(VLOOKUP($A113,Admission!$1:$998,4,0),"")</f>
        <v/>
      </c>
      <c r="C113" s="59" t="str">
        <f>IFERROR(VLOOKUP($A113,Admission!$1:$998,5,0),"")</f>
        <v/>
      </c>
      <c r="D113" s="59" t="str">
        <f>IFERROR(VLOOKUP($A113,Admission!$1:$998,10,0),"")</f>
        <v/>
      </c>
      <c r="E113" s="59" t="str">
        <f>IFERROR(VLOOKUP($A113,Admission!$1:$998,3,0),"")</f>
        <v/>
      </c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1:21" ht="13" x14ac:dyDescent="0.15">
      <c r="A114" s="58"/>
      <c r="B114" s="59" t="str">
        <f>IFERROR(VLOOKUP($A114,Admission!$1:$998,4,0),"")</f>
        <v/>
      </c>
      <c r="C114" s="59" t="str">
        <f>IFERROR(VLOOKUP($A114,Admission!$1:$998,5,0),"")</f>
        <v/>
      </c>
      <c r="D114" s="59" t="str">
        <f>IFERROR(VLOOKUP($A114,Admission!$1:$998,10,0),"")</f>
        <v/>
      </c>
      <c r="E114" s="59" t="str">
        <f>IFERROR(VLOOKUP($A114,Admission!$1:$998,3,0),"")</f>
        <v/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1:21" ht="13" x14ac:dyDescent="0.15">
      <c r="A115" s="58"/>
      <c r="B115" s="59" t="str">
        <f>IFERROR(VLOOKUP($A115,Admission!$1:$998,4,0),"")</f>
        <v/>
      </c>
      <c r="C115" s="59" t="str">
        <f>IFERROR(VLOOKUP($A115,Admission!$1:$998,5,0),"")</f>
        <v/>
      </c>
      <c r="D115" s="59" t="str">
        <f>IFERROR(VLOOKUP($A115,Admission!$1:$998,10,0),"")</f>
        <v/>
      </c>
      <c r="E115" s="59" t="str">
        <f>IFERROR(VLOOKUP($A115,Admission!$1:$998,3,0),"")</f>
        <v/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1:21" ht="13" x14ac:dyDescent="0.15">
      <c r="A116" s="58"/>
      <c r="B116" s="59" t="str">
        <f>IFERROR(VLOOKUP($A116,Admission!$1:$998,4,0),"")</f>
        <v/>
      </c>
      <c r="C116" s="59" t="str">
        <f>IFERROR(VLOOKUP($A116,Admission!$1:$998,5,0),"")</f>
        <v/>
      </c>
      <c r="D116" s="59" t="str">
        <f>IFERROR(VLOOKUP($A116,Admission!$1:$998,10,0),"")</f>
        <v/>
      </c>
      <c r="E116" s="59" t="str">
        <f>IFERROR(VLOOKUP($A116,Admission!$1:$998,3,0),"")</f>
        <v/>
      </c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1:21" ht="13" x14ac:dyDescent="0.15">
      <c r="A117" s="58"/>
      <c r="B117" s="59" t="str">
        <f>IFERROR(VLOOKUP($A117,Admission!$1:$998,4,0),"")</f>
        <v/>
      </c>
      <c r="C117" s="59" t="str">
        <f>IFERROR(VLOOKUP($A117,Admission!$1:$998,5,0),"")</f>
        <v/>
      </c>
      <c r="D117" s="59" t="str">
        <f>IFERROR(VLOOKUP($A117,Admission!$1:$998,10,0),"")</f>
        <v/>
      </c>
      <c r="E117" s="59" t="str">
        <f>IFERROR(VLOOKUP($A117,Admission!$1:$998,3,0),"")</f>
        <v/>
      </c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1:21" ht="13" x14ac:dyDescent="0.15">
      <c r="A118" s="58"/>
      <c r="B118" s="59" t="str">
        <f>IFERROR(VLOOKUP($A118,Admission!$1:$998,4,0),"")</f>
        <v/>
      </c>
      <c r="C118" s="59" t="str">
        <f>IFERROR(VLOOKUP($A118,Admission!$1:$998,5,0),"")</f>
        <v/>
      </c>
      <c r="D118" s="59" t="str">
        <f>IFERROR(VLOOKUP($A118,Admission!$1:$998,10,0),"")</f>
        <v/>
      </c>
      <c r="E118" s="59" t="str">
        <f>IFERROR(VLOOKUP($A118,Admission!$1:$998,3,0),"")</f>
        <v/>
      </c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1:21" ht="13" x14ac:dyDescent="0.15">
      <c r="A119" s="58"/>
      <c r="B119" s="59" t="str">
        <f>IFERROR(VLOOKUP($A119,Admission!$1:$998,4,0),"")</f>
        <v/>
      </c>
      <c r="C119" s="59" t="str">
        <f>IFERROR(VLOOKUP($A119,Admission!$1:$998,5,0),"")</f>
        <v/>
      </c>
      <c r="D119" s="59" t="str">
        <f>IFERROR(VLOOKUP($A119,Admission!$1:$998,10,0),"")</f>
        <v/>
      </c>
      <c r="E119" s="59" t="str">
        <f>IFERROR(VLOOKUP($A119,Admission!$1:$998,3,0),"")</f>
        <v/>
      </c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1:21" ht="13" x14ac:dyDescent="0.15">
      <c r="A120" s="58"/>
      <c r="B120" s="59" t="str">
        <f>IFERROR(VLOOKUP($A120,Admission!$1:$998,4,0),"")</f>
        <v/>
      </c>
      <c r="C120" s="59" t="str">
        <f>IFERROR(VLOOKUP($A120,Admission!$1:$998,5,0),"")</f>
        <v/>
      </c>
      <c r="D120" s="59" t="str">
        <f>IFERROR(VLOOKUP($A120,Admission!$1:$998,10,0),"")</f>
        <v/>
      </c>
      <c r="E120" s="59" t="str">
        <f>IFERROR(VLOOKUP($A120,Admission!$1:$998,3,0),"")</f>
        <v/>
      </c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1:21" ht="13" x14ac:dyDescent="0.15">
      <c r="A121" s="58"/>
      <c r="B121" s="59" t="str">
        <f>IFERROR(VLOOKUP($A121,Admission!$1:$998,4,0),"")</f>
        <v/>
      </c>
      <c r="C121" s="59" t="str">
        <f>IFERROR(VLOOKUP($A121,Admission!$1:$998,5,0),"")</f>
        <v/>
      </c>
      <c r="D121" s="59" t="str">
        <f>IFERROR(VLOOKUP($A121,Admission!$1:$998,10,0),"")</f>
        <v/>
      </c>
      <c r="E121" s="59" t="str">
        <f>IFERROR(VLOOKUP($A121,Admission!$1:$998,3,0),"")</f>
        <v/>
      </c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1:21" ht="13" x14ac:dyDescent="0.15">
      <c r="A122" s="58"/>
      <c r="B122" s="59" t="str">
        <f>IFERROR(VLOOKUP($A122,Admission!$1:$998,4,0),"")</f>
        <v/>
      </c>
      <c r="C122" s="59" t="str">
        <f>IFERROR(VLOOKUP($A122,Admission!$1:$998,5,0),"")</f>
        <v/>
      </c>
      <c r="D122" s="59" t="str">
        <f>IFERROR(VLOOKUP($A122,Admission!$1:$998,10,0),"")</f>
        <v/>
      </c>
      <c r="E122" s="59" t="str">
        <f>IFERROR(VLOOKUP($A122,Admission!$1:$998,3,0),"")</f>
        <v/>
      </c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1:21" ht="13" x14ac:dyDescent="0.15">
      <c r="A123" s="62"/>
      <c r="B123" s="59" t="str">
        <f>IFERROR(VLOOKUP($A123,Admission!$1:$998,4,0),"")</f>
        <v/>
      </c>
      <c r="C123" s="59" t="str">
        <f>IFERROR(VLOOKUP($A123,Admission!$1:$998,5,0),"")</f>
        <v/>
      </c>
      <c r="D123" s="59" t="str">
        <f>IFERROR(VLOOKUP($A123,Admission!$1:$998,10,0),"")</f>
        <v/>
      </c>
      <c r="E123" s="59" t="str">
        <f>IFERROR(VLOOKUP($A123,Admission!$1:$998,3,0),"")</f>
        <v/>
      </c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1:21" ht="13" x14ac:dyDescent="0.15">
      <c r="A124" s="62"/>
      <c r="B124" s="59" t="str">
        <f>IFERROR(VLOOKUP($A124,Admission!$1:$998,4,0),"")</f>
        <v/>
      </c>
      <c r="C124" s="59" t="str">
        <f>IFERROR(VLOOKUP($A124,Admission!$1:$998,5,0),"")</f>
        <v/>
      </c>
      <c r="D124" s="59" t="str">
        <f>IFERROR(VLOOKUP($A124,Admission!$1:$998,10,0),"")</f>
        <v/>
      </c>
      <c r="E124" s="59" t="str">
        <f>IFERROR(VLOOKUP($A124,Admission!$1:$998,3,0),"")</f>
        <v/>
      </c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1:21" ht="13" x14ac:dyDescent="0.15">
      <c r="A125" s="62"/>
      <c r="B125" s="59" t="str">
        <f>IFERROR(VLOOKUP($A125,Admission!$1:$998,4,0),"")</f>
        <v/>
      </c>
      <c r="C125" s="59" t="str">
        <f>IFERROR(VLOOKUP($A125,Admission!$1:$998,5,0),"")</f>
        <v/>
      </c>
      <c r="D125" s="59" t="str">
        <f>IFERROR(VLOOKUP($A125,Admission!$1:$998,10,0),"")</f>
        <v/>
      </c>
      <c r="E125" s="59" t="str">
        <f>IFERROR(VLOOKUP($A125,Admission!$1:$998,3,0),"")</f>
        <v/>
      </c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1:21" ht="13" x14ac:dyDescent="0.15">
      <c r="A126" s="62"/>
      <c r="B126" s="59" t="str">
        <f>IFERROR(VLOOKUP($A126,Admission!$1:$998,4,0),"")</f>
        <v/>
      </c>
      <c r="C126" s="59" t="str">
        <f>IFERROR(VLOOKUP($A126,Admission!$1:$998,5,0),"")</f>
        <v/>
      </c>
      <c r="D126" s="59" t="str">
        <f>IFERROR(VLOOKUP($A126,Admission!$1:$998,10,0),"")</f>
        <v/>
      </c>
      <c r="E126" s="59" t="str">
        <f>IFERROR(VLOOKUP($A126,Admission!$1:$998,3,0),"")</f>
        <v/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1:21" ht="13" x14ac:dyDescent="0.15">
      <c r="A127" s="62"/>
      <c r="B127" s="59" t="str">
        <f>IFERROR(VLOOKUP($A127,Admission!$1:$998,4,0),"")</f>
        <v/>
      </c>
      <c r="C127" s="59" t="str">
        <f>IFERROR(VLOOKUP($A127,Admission!$1:$998,5,0),"")</f>
        <v/>
      </c>
      <c r="D127" s="59" t="str">
        <f>IFERROR(VLOOKUP($A127,Admission!$1:$998,10,0),"")</f>
        <v/>
      </c>
      <c r="E127" s="59" t="str">
        <f>IFERROR(VLOOKUP($A127,Admission!$1:$998,3,0),"")</f>
        <v/>
      </c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1:21" ht="13" x14ac:dyDescent="0.15">
      <c r="A128" s="62"/>
      <c r="B128" s="59" t="str">
        <f>IFERROR(VLOOKUP($A128,Admission!$1:$998,4,0),"")</f>
        <v/>
      </c>
      <c r="C128" s="59" t="str">
        <f>IFERROR(VLOOKUP($A128,Admission!$1:$998,5,0),"")</f>
        <v/>
      </c>
      <c r="D128" s="59" t="str">
        <f>IFERROR(VLOOKUP($A128,Admission!$1:$998,10,0),"")</f>
        <v/>
      </c>
      <c r="E128" s="59" t="str">
        <f>IFERROR(VLOOKUP($A128,Admission!$1:$998,3,0),"")</f>
        <v/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1:21" ht="13" x14ac:dyDescent="0.15">
      <c r="A129" s="62"/>
      <c r="B129" s="59" t="str">
        <f>IFERROR(VLOOKUP($A129,Admission!$1:$998,4,0),"")</f>
        <v/>
      </c>
      <c r="C129" s="59" t="str">
        <f>IFERROR(VLOOKUP($A129,Admission!$1:$998,5,0),"")</f>
        <v/>
      </c>
      <c r="D129" s="59" t="str">
        <f>IFERROR(VLOOKUP($A129,Admission!$1:$998,10,0),"")</f>
        <v/>
      </c>
      <c r="E129" s="59" t="str">
        <f>IFERROR(VLOOKUP($A129,Admission!$1:$998,3,0),"")</f>
        <v/>
      </c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1:21" ht="13" x14ac:dyDescent="0.15">
      <c r="A130" s="62"/>
      <c r="B130" s="59" t="str">
        <f>IFERROR(VLOOKUP($A130,Admission!$1:$998,4,0),"")</f>
        <v/>
      </c>
      <c r="C130" s="59" t="str">
        <f>IFERROR(VLOOKUP($A130,Admission!$1:$998,5,0),"")</f>
        <v/>
      </c>
      <c r="D130" s="59" t="str">
        <f>IFERROR(VLOOKUP($A130,Admission!$1:$998,10,0),"")</f>
        <v/>
      </c>
      <c r="E130" s="59" t="str">
        <f>IFERROR(VLOOKUP($A130,Admission!$1:$998,3,0),"")</f>
        <v/>
      </c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1:21" ht="13" x14ac:dyDescent="0.15">
      <c r="A131" s="62"/>
      <c r="B131" s="59" t="str">
        <f>IFERROR(VLOOKUP($A131,Admission!$1:$998,4,0),"")</f>
        <v/>
      </c>
      <c r="C131" s="59" t="str">
        <f>IFERROR(VLOOKUP($A131,Admission!$1:$998,5,0),"")</f>
        <v/>
      </c>
      <c r="D131" s="59" t="str">
        <f>IFERROR(VLOOKUP($A131,Admission!$1:$998,10,0),"")</f>
        <v/>
      </c>
      <c r="E131" s="59" t="str">
        <f>IFERROR(VLOOKUP($A131,Admission!$1:$998,3,0),"")</f>
        <v/>
      </c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1:21" ht="13" x14ac:dyDescent="0.15">
      <c r="A132" s="62"/>
      <c r="B132" s="59" t="str">
        <f>IFERROR(VLOOKUP($A132,Admission!$1:$998,4,0),"")</f>
        <v/>
      </c>
      <c r="C132" s="59" t="str">
        <f>IFERROR(VLOOKUP($A132,Admission!$1:$998,5,0),"")</f>
        <v/>
      </c>
      <c r="D132" s="59" t="str">
        <f>IFERROR(VLOOKUP($A132,Admission!$1:$998,10,0),"")</f>
        <v/>
      </c>
      <c r="E132" s="59" t="str">
        <f>IFERROR(VLOOKUP($A132,Admission!$1:$998,3,0),"")</f>
        <v/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1:21" ht="13" x14ac:dyDescent="0.15">
      <c r="A133" s="62"/>
      <c r="B133" s="59" t="str">
        <f>IFERROR(VLOOKUP($A133,Admission!$1:$998,4,0),"")</f>
        <v/>
      </c>
      <c r="C133" s="59" t="str">
        <f>IFERROR(VLOOKUP($A133,Admission!$1:$998,5,0),"")</f>
        <v/>
      </c>
      <c r="D133" s="59" t="str">
        <f>IFERROR(VLOOKUP($A133,Admission!$1:$998,10,0),"")</f>
        <v/>
      </c>
      <c r="E133" s="59" t="str">
        <f>IFERROR(VLOOKUP($A133,Admission!$1:$998,3,0),"")</f>
        <v/>
      </c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1:21" ht="13" x14ac:dyDescent="0.15">
      <c r="A134" s="62"/>
      <c r="B134" s="59" t="str">
        <f>IFERROR(VLOOKUP($A134,Admission!$1:$998,4,0),"")</f>
        <v/>
      </c>
      <c r="C134" s="59" t="str">
        <f>IFERROR(VLOOKUP($A134,Admission!$1:$998,5,0),"")</f>
        <v/>
      </c>
      <c r="D134" s="59" t="str">
        <f>IFERROR(VLOOKUP($A134,Admission!$1:$998,10,0),"")</f>
        <v/>
      </c>
      <c r="E134" s="59" t="str">
        <f>IFERROR(VLOOKUP($A134,Admission!$1:$998,3,0),"")</f>
        <v/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1:21" ht="13" x14ac:dyDescent="0.15">
      <c r="A135" s="62"/>
      <c r="B135" s="59" t="str">
        <f>IFERROR(VLOOKUP($A135,Admission!$1:$998,4,0),"")</f>
        <v/>
      </c>
      <c r="C135" s="59" t="str">
        <f>IFERROR(VLOOKUP($A135,Admission!$1:$998,5,0),"")</f>
        <v/>
      </c>
      <c r="D135" s="59" t="str">
        <f>IFERROR(VLOOKUP($A135,Admission!$1:$998,10,0),"")</f>
        <v/>
      </c>
      <c r="E135" s="59" t="str">
        <f>IFERROR(VLOOKUP($A135,Admission!$1:$998,3,0),"")</f>
        <v/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1:21" ht="13" x14ac:dyDescent="0.15">
      <c r="A136" s="62"/>
      <c r="B136" s="59" t="str">
        <f>IFERROR(VLOOKUP($A136,Admission!$1:$998,4,0),"")</f>
        <v/>
      </c>
      <c r="C136" s="59" t="str">
        <f>IFERROR(VLOOKUP($A136,Admission!$1:$998,5,0),"")</f>
        <v/>
      </c>
      <c r="D136" s="59" t="str">
        <f>IFERROR(VLOOKUP($A136,Admission!$1:$998,10,0),"")</f>
        <v/>
      </c>
      <c r="E136" s="59" t="str">
        <f>IFERROR(VLOOKUP($A136,Admission!$1:$998,3,0),"")</f>
        <v/>
      </c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1:21" ht="13" x14ac:dyDescent="0.15">
      <c r="A137" s="62"/>
      <c r="B137" s="59" t="str">
        <f>IFERROR(VLOOKUP($A137,Admission!$1:$998,4,0),"")</f>
        <v/>
      </c>
      <c r="C137" s="59" t="str">
        <f>IFERROR(VLOOKUP($A137,Admission!$1:$998,5,0),"")</f>
        <v/>
      </c>
      <c r="D137" s="59" t="str">
        <f>IFERROR(VLOOKUP($A137,Admission!$1:$998,10,0),"")</f>
        <v/>
      </c>
      <c r="E137" s="59" t="str">
        <f>IFERROR(VLOOKUP($A137,Admission!$1:$998,3,0),"")</f>
        <v/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1:21" ht="13" x14ac:dyDescent="0.15">
      <c r="A138" s="62"/>
      <c r="B138" s="59" t="str">
        <f>IFERROR(VLOOKUP($A138,Admission!$1:$998,4,0),"")</f>
        <v/>
      </c>
      <c r="C138" s="59" t="str">
        <f>IFERROR(VLOOKUP($A138,Admission!$1:$998,5,0),"")</f>
        <v/>
      </c>
      <c r="D138" s="59" t="str">
        <f>IFERROR(VLOOKUP($A138,Admission!$1:$998,10,0),"")</f>
        <v/>
      </c>
      <c r="E138" s="59" t="str">
        <f>IFERROR(VLOOKUP($A138,Admission!$1:$998,3,0),"")</f>
        <v/>
      </c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1:21" ht="13" x14ac:dyDescent="0.15">
      <c r="A139" s="62"/>
      <c r="B139" s="59" t="str">
        <f>IFERROR(VLOOKUP($A139,Admission!$1:$998,4,0),"")</f>
        <v/>
      </c>
      <c r="C139" s="59" t="str">
        <f>IFERROR(VLOOKUP($A139,Admission!$1:$998,5,0),"")</f>
        <v/>
      </c>
      <c r="D139" s="59" t="str">
        <f>IFERROR(VLOOKUP($A139,Admission!$1:$998,10,0),"")</f>
        <v/>
      </c>
      <c r="E139" s="59" t="str">
        <f>IFERROR(VLOOKUP($A139,Admission!$1:$998,3,0),"")</f>
        <v/>
      </c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1:21" ht="13" x14ac:dyDescent="0.15">
      <c r="A140" s="62"/>
      <c r="B140" s="59" t="str">
        <f>IFERROR(VLOOKUP($A140,Admission!$1:$998,4,0),"")</f>
        <v/>
      </c>
      <c r="C140" s="59" t="str">
        <f>IFERROR(VLOOKUP($A140,Admission!$1:$998,5,0),"")</f>
        <v/>
      </c>
      <c r="D140" s="59" t="str">
        <f>IFERROR(VLOOKUP($A140,Admission!$1:$998,10,0),"")</f>
        <v/>
      </c>
      <c r="E140" s="59" t="str">
        <f>IFERROR(VLOOKUP($A140,Admission!$1:$998,3,0),"")</f>
        <v/>
      </c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1:21" ht="13" x14ac:dyDescent="0.15">
      <c r="A141" s="62"/>
      <c r="B141" s="59" t="str">
        <f>IFERROR(VLOOKUP($A141,Admission!$1:$998,4,0),"")</f>
        <v/>
      </c>
      <c r="C141" s="59" t="str">
        <f>IFERROR(VLOOKUP($A141,Admission!$1:$998,5,0),"")</f>
        <v/>
      </c>
      <c r="D141" s="59" t="str">
        <f>IFERROR(VLOOKUP($A141,Admission!$1:$998,10,0),"")</f>
        <v/>
      </c>
      <c r="E141" s="59" t="str">
        <f>IFERROR(VLOOKUP($A141,Admission!$1:$998,3,0),"")</f>
        <v/>
      </c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1:21" ht="13" x14ac:dyDescent="0.15">
      <c r="A142" s="62"/>
      <c r="B142" s="59" t="str">
        <f>IFERROR(VLOOKUP($A142,Admission!$1:$998,4,0),"")</f>
        <v/>
      </c>
      <c r="C142" s="59" t="str">
        <f>IFERROR(VLOOKUP($A142,Admission!$1:$998,5,0),"")</f>
        <v/>
      </c>
      <c r="D142" s="59" t="str">
        <f>IFERROR(VLOOKUP($A142,Admission!$1:$998,10,0),"")</f>
        <v/>
      </c>
      <c r="E142" s="59" t="str">
        <f>IFERROR(VLOOKUP($A142,Admission!$1:$998,3,0),"")</f>
        <v/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1:21" ht="13" x14ac:dyDescent="0.15">
      <c r="A143" s="62"/>
      <c r="B143" s="59" t="str">
        <f>IFERROR(VLOOKUP($A143,Admission!$1:$998,4,0),"")</f>
        <v/>
      </c>
      <c r="C143" s="59" t="str">
        <f>IFERROR(VLOOKUP($A143,Admission!$1:$998,5,0),"")</f>
        <v/>
      </c>
      <c r="D143" s="59" t="str">
        <f>IFERROR(VLOOKUP($A143,Admission!$1:$998,10,0),"")</f>
        <v/>
      </c>
      <c r="E143" s="59" t="str">
        <f>IFERROR(VLOOKUP($A143,Admission!$1:$998,3,0),"")</f>
        <v/>
      </c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1:21" ht="13" x14ac:dyDescent="0.15">
      <c r="A144" s="62"/>
      <c r="B144" s="59" t="str">
        <f>IFERROR(VLOOKUP($A144,Admission!$1:$998,4,0),"")</f>
        <v/>
      </c>
      <c r="C144" s="59" t="str">
        <f>IFERROR(VLOOKUP($A144,Admission!$1:$998,5,0),"")</f>
        <v/>
      </c>
      <c r="D144" s="59" t="str">
        <f>IFERROR(VLOOKUP($A144,Admission!$1:$998,10,0),"")</f>
        <v/>
      </c>
      <c r="E144" s="59" t="str">
        <f>IFERROR(VLOOKUP($A144,Admission!$1:$998,3,0),"")</f>
        <v/>
      </c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1:21" ht="13" x14ac:dyDescent="0.15">
      <c r="A145" s="62"/>
      <c r="B145" s="59" t="str">
        <f>IFERROR(VLOOKUP($A145,Admission!$1:$998,4,0),"")</f>
        <v/>
      </c>
      <c r="C145" s="59" t="str">
        <f>IFERROR(VLOOKUP($A145,Admission!$1:$998,5,0),"")</f>
        <v/>
      </c>
      <c r="D145" s="59" t="str">
        <f>IFERROR(VLOOKUP($A145,Admission!$1:$998,10,0),"")</f>
        <v/>
      </c>
      <c r="E145" s="59" t="str">
        <f>IFERROR(VLOOKUP($A145,Admission!$1:$998,3,0),"")</f>
        <v/>
      </c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spans="1:21" ht="13" x14ac:dyDescent="0.15">
      <c r="A146" s="62"/>
      <c r="B146" s="59" t="str">
        <f>IFERROR(VLOOKUP($A146,Admission!$1:$998,4,0),"")</f>
        <v/>
      </c>
      <c r="C146" s="59" t="str">
        <f>IFERROR(VLOOKUP($A146,Admission!$1:$998,5,0),"")</f>
        <v/>
      </c>
      <c r="D146" s="59" t="str">
        <f>IFERROR(VLOOKUP($A146,Admission!$1:$998,10,0),"")</f>
        <v/>
      </c>
      <c r="E146" s="59" t="str">
        <f>IFERROR(VLOOKUP($A146,Admission!$1:$998,3,0),"")</f>
        <v/>
      </c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1:21" ht="13" x14ac:dyDescent="0.15">
      <c r="A147" s="62"/>
      <c r="B147" s="59" t="str">
        <f>IFERROR(VLOOKUP($A147,Admission!$1:$998,4,0),"")</f>
        <v/>
      </c>
      <c r="C147" s="59" t="str">
        <f>IFERROR(VLOOKUP($A147,Admission!$1:$998,5,0),"")</f>
        <v/>
      </c>
      <c r="D147" s="59" t="str">
        <f>IFERROR(VLOOKUP($A147,Admission!$1:$998,10,0),"")</f>
        <v/>
      </c>
      <c r="E147" s="59" t="str">
        <f>IFERROR(VLOOKUP($A147,Admission!$1:$998,3,0),"")</f>
        <v/>
      </c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spans="1:21" ht="13" x14ac:dyDescent="0.15">
      <c r="A148" s="62"/>
      <c r="B148" s="59" t="str">
        <f>IFERROR(VLOOKUP($A148,Admission!$1:$998,4,0),"")</f>
        <v/>
      </c>
      <c r="C148" s="59" t="str">
        <f>IFERROR(VLOOKUP($A148,Admission!$1:$998,5,0),"")</f>
        <v/>
      </c>
      <c r="D148" s="59" t="str">
        <f>IFERROR(VLOOKUP($A148,Admission!$1:$998,10,0),"")</f>
        <v/>
      </c>
      <c r="E148" s="59" t="str">
        <f>IFERROR(VLOOKUP($A148,Admission!$1:$998,3,0),"")</f>
        <v/>
      </c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1:21" ht="13" x14ac:dyDescent="0.15">
      <c r="A149" s="62"/>
      <c r="B149" s="59" t="str">
        <f>IFERROR(VLOOKUP($A149,Admission!$1:$998,4,0),"")</f>
        <v/>
      </c>
      <c r="C149" s="59" t="str">
        <f>IFERROR(VLOOKUP($A149,Admission!$1:$998,5,0),"")</f>
        <v/>
      </c>
      <c r="D149" s="59" t="str">
        <f>IFERROR(VLOOKUP($A149,Admission!$1:$998,10,0),"")</f>
        <v/>
      </c>
      <c r="E149" s="59" t="str">
        <f>IFERROR(VLOOKUP($A149,Admission!$1:$998,3,0),"")</f>
        <v/>
      </c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1:21" ht="13" x14ac:dyDescent="0.15">
      <c r="A150" s="62"/>
      <c r="B150" s="59" t="str">
        <f>IFERROR(VLOOKUP($A150,Admission!$1:$998,4,0),"")</f>
        <v/>
      </c>
      <c r="C150" s="59" t="str">
        <f>IFERROR(VLOOKUP($A150,Admission!$1:$998,5,0),"")</f>
        <v/>
      </c>
      <c r="D150" s="59" t="str">
        <f>IFERROR(VLOOKUP($A150,Admission!$1:$998,10,0),"")</f>
        <v/>
      </c>
      <c r="E150" s="59" t="str">
        <f>IFERROR(VLOOKUP($A150,Admission!$1:$998,3,0),"")</f>
        <v/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spans="1:21" ht="13" x14ac:dyDescent="0.15">
      <c r="A151" s="62"/>
      <c r="E151" s="23" t="str">
        <f>IFERROR(VLOOKUP($A151,Admission!150:1145,3,0),"")</f>
        <v/>
      </c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 spans="1:21" ht="13" x14ac:dyDescent="0.15">
      <c r="A152" s="62"/>
      <c r="E152" s="23" t="str">
        <f>IFERROR(VLOOKUP($A152,Admission!151:1146,3,0),"")</f>
        <v/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 spans="1:21" ht="13" x14ac:dyDescent="0.15">
      <c r="A153" s="62"/>
      <c r="E153" s="23" t="str">
        <f>IFERROR(VLOOKUP($A153,Admission!152:1147,3,0),"")</f>
        <v/>
      </c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 spans="1:21" ht="13" x14ac:dyDescent="0.15">
      <c r="A154" s="62"/>
      <c r="E154" s="23" t="str">
        <f>IFERROR(VLOOKUP($A154,Admission!153:1148,3,0),"")</f>
        <v/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 spans="1:21" ht="13" x14ac:dyDescent="0.15">
      <c r="A155" s="62"/>
      <c r="E155" s="23" t="str">
        <f>IFERROR(VLOOKUP($A155,Admission!154:1149,3,0),"")</f>
        <v/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 spans="1:21" ht="13" x14ac:dyDescent="0.15">
      <c r="A156" s="62"/>
      <c r="E156" s="23" t="str">
        <f>IFERROR(VLOOKUP($A156,Admission!155:1150,3,0),"")</f>
        <v/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 spans="1:21" ht="13" x14ac:dyDescent="0.15">
      <c r="A157" s="62"/>
      <c r="E157" s="23" t="str">
        <f>IFERROR(VLOOKUP($A157,Admission!156:1151,3,0),"")</f>
        <v/>
      </c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 spans="1:21" ht="13" x14ac:dyDescent="0.15">
      <c r="A158" s="62"/>
      <c r="E158" s="23" t="str">
        <f>IFERROR(VLOOKUP($A158,Admission!157:1152,3,0),"")</f>
        <v/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 spans="1:21" ht="13" x14ac:dyDescent="0.15">
      <c r="A159" s="62"/>
      <c r="E159" s="23" t="str">
        <f>IFERROR(VLOOKUP($A159,Admission!158:1153,3,0),"")</f>
        <v/>
      </c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 spans="1:21" ht="13" x14ac:dyDescent="0.15">
      <c r="A160" s="62"/>
      <c r="E160" s="23" t="str">
        <f>IFERROR(VLOOKUP($A160,Admission!159:1154,3,0),"")</f>
        <v/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</row>
    <row r="161" spans="1:21" ht="13" x14ac:dyDescent="0.15">
      <c r="A161" s="62"/>
      <c r="E161" s="23" t="str">
        <f>IFERROR(VLOOKUP($A161,Admission!160:1155,3,0),"")</f>
        <v/>
      </c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 spans="1:21" ht="13" x14ac:dyDescent="0.15">
      <c r="A162" s="62"/>
      <c r="E162" s="23" t="str">
        <f>IFERROR(VLOOKUP($A162,Admission!161:1156,3,0),"")</f>
        <v/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</row>
    <row r="163" spans="1:21" ht="13" x14ac:dyDescent="0.15">
      <c r="A163" s="62"/>
      <c r="E163" s="23" t="str">
        <f>IFERROR(VLOOKUP($A163,Admission!162:1157,3,0),"")</f>
        <v/>
      </c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 spans="1:21" ht="13" x14ac:dyDescent="0.15">
      <c r="A164" s="62"/>
      <c r="E164" s="23" t="str">
        <f>IFERROR(VLOOKUP($A164,Admission!163:1158,3,0),"")</f>
        <v/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 spans="1:21" ht="13" x14ac:dyDescent="0.15">
      <c r="A165" s="62"/>
      <c r="E165" s="23" t="str">
        <f>IFERROR(VLOOKUP($A165,Admission!164:1159,3,0),"")</f>
        <v/>
      </c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 spans="1:21" ht="13" x14ac:dyDescent="0.15">
      <c r="A166" s="62"/>
      <c r="E166" s="23" t="str">
        <f>IFERROR(VLOOKUP($A166,Admission!165:1160,3,0),"")</f>
        <v/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</row>
    <row r="167" spans="1:21" ht="13" x14ac:dyDescent="0.15">
      <c r="A167" s="62"/>
      <c r="E167" s="23" t="str">
        <f>IFERROR(VLOOKUP($A167,Admission!166:1161,3,0),"")</f>
        <v/>
      </c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</row>
    <row r="168" spans="1:21" ht="13" x14ac:dyDescent="0.15">
      <c r="A168" s="62"/>
      <c r="E168" s="23" t="str">
        <f>IFERROR(VLOOKUP($A168,Admission!167:1162,3,0),"")</f>
        <v/>
      </c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</row>
    <row r="169" spans="1:21" ht="13" x14ac:dyDescent="0.15">
      <c r="A169" s="62"/>
      <c r="E169" s="23" t="str">
        <f>IFERROR(VLOOKUP($A169,Admission!168:1163,3,0),"")</f>
        <v/>
      </c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</row>
    <row r="170" spans="1:21" ht="13" x14ac:dyDescent="0.15">
      <c r="A170" s="62"/>
      <c r="E170" s="23" t="str">
        <f>IFERROR(VLOOKUP($A170,Admission!169:1164,3,0),"")</f>
        <v/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 spans="1:21" ht="13" x14ac:dyDescent="0.15">
      <c r="A171" s="62"/>
      <c r="E171" s="23" t="str">
        <f>IFERROR(VLOOKUP($A171,Admission!170:1165,3,0),"")</f>
        <v/>
      </c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</row>
    <row r="172" spans="1:21" ht="13" x14ac:dyDescent="0.15">
      <c r="A172" s="62"/>
      <c r="E172" s="23" t="str">
        <f>IFERROR(VLOOKUP($A172,Admission!171:1166,3,0),"")</f>
        <v/>
      </c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</row>
    <row r="173" spans="1:21" ht="13" x14ac:dyDescent="0.15">
      <c r="A173" s="62"/>
      <c r="E173" s="23" t="str">
        <f>IFERROR(VLOOKUP($A173,Admission!172:1167,3,0),"")</f>
        <v/>
      </c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</row>
    <row r="174" spans="1:21" ht="13" x14ac:dyDescent="0.15">
      <c r="A174" s="62"/>
      <c r="E174" s="23" t="str">
        <f>IFERROR(VLOOKUP($A174,Admission!173:1168,3,0),"")</f>
        <v/>
      </c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 spans="1:21" ht="13" x14ac:dyDescent="0.15">
      <c r="A175" s="62"/>
      <c r="E175" s="23" t="str">
        <f>IFERROR(VLOOKUP($A175,Admission!174:1169,3,0),"")</f>
        <v/>
      </c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 spans="1:21" ht="13" x14ac:dyDescent="0.15">
      <c r="A176" s="62"/>
      <c r="E176" s="23" t="str">
        <f>IFERROR(VLOOKUP($A176,Admission!175:1170,3,0),"")</f>
        <v/>
      </c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spans="1:21" ht="13" x14ac:dyDescent="0.15">
      <c r="A177" s="62"/>
      <c r="E177" s="23" t="str">
        <f>IFERROR(VLOOKUP($A177,Admission!176:1171,3,0),"")</f>
        <v/>
      </c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spans="1:21" ht="13" x14ac:dyDescent="0.15">
      <c r="A178" s="62"/>
      <c r="E178" s="23" t="str">
        <f>IFERROR(VLOOKUP($A178,Admission!177:1172,3,0),"")</f>
        <v/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</row>
    <row r="179" spans="1:21" ht="13" x14ac:dyDescent="0.15">
      <c r="A179" s="62"/>
      <c r="E179" s="23" t="str">
        <f>IFERROR(VLOOKUP($A179,Admission!178:1173,3,0),"")</f>
        <v/>
      </c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</row>
    <row r="180" spans="1:21" ht="13" x14ac:dyDescent="0.15">
      <c r="A180" s="62"/>
      <c r="E180" s="23" t="str">
        <f>IFERROR(VLOOKUP($A180,Admission!178:1174,3,0),"")</f>
        <v/>
      </c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spans="1:21" ht="13" x14ac:dyDescent="0.15">
      <c r="A181" s="62"/>
      <c r="E181" s="23" t="str">
        <f>IFERROR(VLOOKUP($A181,Admission!178:1175,3,0),"")</f>
        <v/>
      </c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 spans="1:21" ht="13" x14ac:dyDescent="0.15">
      <c r="A182" s="62"/>
      <c r="E182" s="23" t="str">
        <f>IFERROR(VLOOKUP($A182,Admission!178:1176,3,0),"")</f>
        <v/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</row>
    <row r="183" spans="1:21" ht="13" x14ac:dyDescent="0.15">
      <c r="A183" s="62"/>
      <c r="E183" s="23" t="str">
        <f>IFERROR(VLOOKUP($A183,Admission!178:1177,3,0),"")</f>
        <v/>
      </c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</row>
    <row r="184" spans="1:21" ht="13" x14ac:dyDescent="0.15">
      <c r="A184" s="62"/>
      <c r="E184" s="23" t="str">
        <f>IFERROR(VLOOKUP($A184,Admission!179:1178,3,0),"")</f>
        <v/>
      </c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</row>
    <row r="185" spans="1:21" ht="13" x14ac:dyDescent="0.15">
      <c r="A185" s="62"/>
      <c r="E185" s="23" t="str">
        <f>IFERROR(VLOOKUP($A185,Admission!180:1179,3,0),"")</f>
        <v/>
      </c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</row>
    <row r="186" spans="1:21" ht="13" x14ac:dyDescent="0.15">
      <c r="A186" s="62"/>
      <c r="E186" s="23" t="str">
        <f>IFERROR(VLOOKUP($A186,Admission!181:1180,3,0),"")</f>
        <v/>
      </c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</row>
    <row r="187" spans="1:21" ht="13" x14ac:dyDescent="0.15">
      <c r="A187" s="62"/>
      <c r="E187" s="23" t="str">
        <f>IFERROR(VLOOKUP($A187,Admission!182:1181,3,0),"")</f>
        <v/>
      </c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</row>
    <row r="188" spans="1:21" ht="13" x14ac:dyDescent="0.15">
      <c r="A188" s="62"/>
      <c r="E188" s="23" t="str">
        <f>IFERROR(VLOOKUP($A188,Admission!183:1182,3,0),"")</f>
        <v/>
      </c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</row>
    <row r="189" spans="1:21" ht="13" x14ac:dyDescent="0.15">
      <c r="A189" s="62"/>
      <c r="E189" s="23" t="str">
        <f>IFERROR(VLOOKUP($A189,Admission!184:1183,3,0),"")</f>
        <v/>
      </c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</row>
    <row r="190" spans="1:21" ht="13" x14ac:dyDescent="0.15">
      <c r="A190" s="62"/>
      <c r="E190" s="23" t="str">
        <f>IFERROR(VLOOKUP($A190,Admission!181:1184,3,0),"")</f>
        <v/>
      </c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</row>
    <row r="191" spans="1:21" ht="13" x14ac:dyDescent="0.15">
      <c r="A191" s="62"/>
      <c r="E191" s="23" t="str">
        <f>IFERROR(VLOOKUP($A191,Admission!178:1185,3,0),"")</f>
        <v/>
      </c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</row>
    <row r="192" spans="1:21" ht="13" x14ac:dyDescent="0.15">
      <c r="A192" s="62"/>
      <c r="E192" s="23" t="str">
        <f>IFERROR(VLOOKUP($A192,Admission!179:1186,3,0),"")</f>
        <v/>
      </c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</row>
    <row r="193" spans="1:21" ht="13" x14ac:dyDescent="0.15">
      <c r="A193" s="6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</row>
    <row r="194" spans="1:21" ht="13" x14ac:dyDescent="0.15">
      <c r="A194" s="6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</row>
    <row r="195" spans="1:21" ht="13" x14ac:dyDescent="0.15">
      <c r="A195" s="6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</row>
    <row r="196" spans="1:21" ht="13" x14ac:dyDescent="0.15">
      <c r="A196" s="6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</row>
    <row r="197" spans="1:21" ht="13" x14ac:dyDescent="0.15">
      <c r="A197" s="6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</row>
    <row r="198" spans="1:21" ht="13" x14ac:dyDescent="0.15">
      <c r="A198" s="6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</row>
    <row r="199" spans="1:21" ht="13" x14ac:dyDescent="0.15">
      <c r="A199" s="6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</row>
    <row r="200" spans="1:21" ht="13" x14ac:dyDescent="0.15">
      <c r="A200" s="6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</row>
    <row r="201" spans="1:21" ht="13" x14ac:dyDescent="0.15">
      <c r="A201" s="6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</row>
    <row r="202" spans="1:21" ht="13" x14ac:dyDescent="0.15">
      <c r="A202" s="6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</row>
    <row r="203" spans="1:21" ht="13" x14ac:dyDescent="0.15">
      <c r="A203" s="6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</row>
    <row r="204" spans="1:21" ht="13" x14ac:dyDescent="0.15">
      <c r="A204" s="6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</row>
    <row r="205" spans="1:21" ht="13" x14ac:dyDescent="0.15">
      <c r="A205" s="6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</row>
    <row r="206" spans="1:21" ht="13" x14ac:dyDescent="0.15">
      <c r="A206" s="6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</row>
    <row r="207" spans="1:21" ht="13" x14ac:dyDescent="0.15">
      <c r="A207" s="6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</row>
    <row r="208" spans="1:21" ht="13" x14ac:dyDescent="0.15">
      <c r="A208" s="6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</row>
    <row r="209" spans="1:21" ht="13" x14ac:dyDescent="0.15">
      <c r="A209" s="6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</row>
    <row r="210" spans="1:21" ht="13" x14ac:dyDescent="0.15">
      <c r="A210" s="6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</row>
    <row r="211" spans="1:21" ht="13" x14ac:dyDescent="0.15">
      <c r="A211" s="6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</row>
    <row r="212" spans="1:21" ht="13" x14ac:dyDescent="0.15">
      <c r="A212" s="6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</row>
    <row r="213" spans="1:21" ht="13" x14ac:dyDescent="0.15">
      <c r="A213" s="6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</row>
    <row r="214" spans="1:21" ht="13" x14ac:dyDescent="0.15">
      <c r="A214" s="6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</row>
    <row r="215" spans="1:21" ht="13" x14ac:dyDescent="0.15">
      <c r="A215" s="6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</row>
    <row r="216" spans="1:21" ht="13" x14ac:dyDescent="0.15">
      <c r="A216" s="6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</row>
    <row r="217" spans="1:21" ht="13" x14ac:dyDescent="0.15">
      <c r="A217" s="6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</row>
    <row r="218" spans="1:21" ht="13" x14ac:dyDescent="0.15">
      <c r="A218" s="6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</row>
    <row r="219" spans="1:21" ht="13" x14ac:dyDescent="0.15">
      <c r="A219" s="6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</row>
    <row r="220" spans="1:21" ht="13" x14ac:dyDescent="0.15">
      <c r="A220" s="6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</row>
    <row r="221" spans="1:21" ht="13" x14ac:dyDescent="0.15">
      <c r="A221" s="6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</row>
    <row r="222" spans="1:21" ht="13" x14ac:dyDescent="0.15">
      <c r="A222" s="6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</row>
    <row r="223" spans="1:21" ht="13" x14ac:dyDescent="0.15">
      <c r="A223" s="6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</row>
    <row r="224" spans="1:21" ht="13" x14ac:dyDescent="0.15">
      <c r="A224" s="6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</row>
    <row r="225" spans="1:21" ht="13" x14ac:dyDescent="0.15">
      <c r="A225" s="6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</row>
    <row r="226" spans="1:21" ht="13" x14ac:dyDescent="0.15">
      <c r="A226" s="6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</row>
    <row r="227" spans="1:21" ht="13" x14ac:dyDescent="0.15">
      <c r="A227" s="6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</row>
    <row r="228" spans="1:21" ht="13" x14ac:dyDescent="0.15">
      <c r="A228" s="6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</row>
    <row r="229" spans="1:21" ht="13" x14ac:dyDescent="0.15">
      <c r="A229" s="6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</row>
    <row r="230" spans="1:21" ht="13" x14ac:dyDescent="0.15">
      <c r="A230" s="6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</row>
    <row r="231" spans="1:21" ht="13" x14ac:dyDescent="0.15">
      <c r="A231" s="6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</row>
    <row r="232" spans="1:21" ht="13" x14ac:dyDescent="0.15">
      <c r="A232" s="6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</row>
    <row r="233" spans="1:21" ht="13" x14ac:dyDescent="0.15">
      <c r="A233" s="6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</row>
    <row r="234" spans="1:21" ht="13" x14ac:dyDescent="0.15">
      <c r="A234" s="6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</row>
    <row r="235" spans="1:21" ht="13" x14ac:dyDescent="0.15">
      <c r="A235" s="6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</row>
    <row r="236" spans="1:21" ht="13" x14ac:dyDescent="0.15">
      <c r="A236" s="6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</row>
    <row r="237" spans="1:21" ht="13" x14ac:dyDescent="0.15">
      <c r="A237" s="6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</row>
    <row r="238" spans="1:21" ht="13" x14ac:dyDescent="0.15">
      <c r="A238" s="6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</row>
    <row r="239" spans="1:21" ht="13" x14ac:dyDescent="0.15">
      <c r="A239" s="6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</row>
    <row r="240" spans="1:21" ht="13" x14ac:dyDescent="0.15">
      <c r="A240" s="6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</row>
    <row r="241" spans="1:21" ht="13" x14ac:dyDescent="0.15">
      <c r="A241" s="6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</row>
    <row r="242" spans="1:21" ht="13" x14ac:dyDescent="0.15">
      <c r="A242" s="6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</row>
    <row r="243" spans="1:21" ht="13" x14ac:dyDescent="0.15">
      <c r="A243" s="6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</row>
    <row r="244" spans="1:21" ht="13" x14ac:dyDescent="0.15">
      <c r="A244" s="6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</row>
    <row r="245" spans="1:21" ht="13" x14ac:dyDescent="0.15">
      <c r="A245" s="6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</row>
    <row r="246" spans="1:21" ht="13" x14ac:dyDescent="0.15">
      <c r="A246" s="6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</row>
    <row r="247" spans="1:21" ht="13" x14ac:dyDescent="0.15">
      <c r="A247" s="6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</row>
    <row r="248" spans="1:21" ht="13" x14ac:dyDescent="0.15">
      <c r="A248" s="6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</row>
    <row r="249" spans="1:21" ht="13" x14ac:dyDescent="0.15">
      <c r="A249" s="6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</row>
    <row r="250" spans="1:21" ht="13" x14ac:dyDescent="0.15">
      <c r="A250" s="6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</row>
    <row r="251" spans="1:21" ht="13" x14ac:dyDescent="0.15">
      <c r="A251" s="6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</row>
    <row r="252" spans="1:21" ht="13" x14ac:dyDescent="0.15">
      <c r="A252" s="6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</row>
    <row r="253" spans="1:21" ht="13" x14ac:dyDescent="0.15">
      <c r="A253" s="6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</row>
    <row r="254" spans="1:21" ht="13" x14ac:dyDescent="0.15">
      <c r="A254" s="6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</row>
    <row r="255" spans="1:21" ht="13" x14ac:dyDescent="0.15">
      <c r="A255" s="6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</row>
    <row r="256" spans="1:21" ht="13" x14ac:dyDescent="0.15">
      <c r="A256" s="6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</row>
    <row r="257" spans="1:21" ht="13" x14ac:dyDescent="0.15">
      <c r="A257" s="6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</row>
    <row r="258" spans="1:21" ht="13" x14ac:dyDescent="0.15">
      <c r="A258" s="6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</row>
    <row r="259" spans="1:21" ht="13" x14ac:dyDescent="0.15">
      <c r="A259" s="6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</row>
    <row r="260" spans="1:21" ht="13" x14ac:dyDescent="0.15">
      <c r="A260" s="6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</row>
    <row r="261" spans="1:21" ht="13" x14ac:dyDescent="0.15">
      <c r="A261" s="6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</row>
    <row r="262" spans="1:21" ht="13" x14ac:dyDescent="0.15">
      <c r="A262" s="6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</row>
    <row r="263" spans="1:21" ht="13" x14ac:dyDescent="0.15">
      <c r="A263" s="6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</row>
    <row r="264" spans="1:21" ht="13" x14ac:dyDescent="0.15">
      <c r="A264" s="6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</row>
    <row r="265" spans="1:21" ht="13" x14ac:dyDescent="0.15">
      <c r="A265" s="6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</row>
    <row r="266" spans="1:21" ht="13" x14ac:dyDescent="0.15">
      <c r="A266" s="6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</row>
    <row r="267" spans="1:21" ht="13" x14ac:dyDescent="0.15">
      <c r="A267" s="6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</row>
    <row r="268" spans="1:21" ht="13" x14ac:dyDescent="0.15">
      <c r="A268" s="6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</row>
    <row r="269" spans="1:21" ht="13" x14ac:dyDescent="0.15">
      <c r="A269" s="6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</row>
    <row r="270" spans="1:21" ht="13" x14ac:dyDescent="0.15">
      <c r="A270" s="6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</row>
    <row r="271" spans="1:21" ht="13" x14ac:dyDescent="0.15">
      <c r="A271" s="6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</row>
    <row r="272" spans="1:21" ht="13" x14ac:dyDescent="0.15">
      <c r="A272" s="6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</row>
    <row r="273" spans="1:21" ht="13" x14ac:dyDescent="0.15">
      <c r="A273" s="6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</row>
    <row r="274" spans="1:21" ht="13" x14ac:dyDescent="0.15">
      <c r="A274" s="6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</row>
    <row r="275" spans="1:21" ht="13" x14ac:dyDescent="0.15">
      <c r="A275" s="6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</row>
    <row r="276" spans="1:21" ht="13" x14ac:dyDescent="0.15">
      <c r="A276" s="6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</row>
    <row r="277" spans="1:21" ht="13" x14ac:dyDescent="0.15">
      <c r="A277" s="6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</row>
    <row r="278" spans="1:21" ht="13" x14ac:dyDescent="0.15">
      <c r="A278" s="6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</row>
    <row r="279" spans="1:21" ht="13" x14ac:dyDescent="0.15">
      <c r="A279" s="6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</row>
    <row r="280" spans="1:21" ht="13" x14ac:dyDescent="0.15">
      <c r="A280" s="6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</row>
    <row r="281" spans="1:21" ht="13" x14ac:dyDescent="0.15">
      <c r="A281" s="6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</row>
    <row r="282" spans="1:21" ht="13" x14ac:dyDescent="0.15">
      <c r="A282" s="6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</row>
    <row r="283" spans="1:21" ht="13" x14ac:dyDescent="0.15">
      <c r="A283" s="6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</row>
    <row r="284" spans="1:21" ht="13" x14ac:dyDescent="0.15">
      <c r="A284" s="6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</row>
    <row r="285" spans="1:21" ht="13" x14ac:dyDescent="0.15">
      <c r="A285" s="6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</row>
    <row r="286" spans="1:21" ht="13" x14ac:dyDescent="0.15">
      <c r="A286" s="6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</row>
    <row r="287" spans="1:21" ht="13" x14ac:dyDescent="0.15">
      <c r="A287" s="6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</row>
    <row r="288" spans="1:21" ht="13" x14ac:dyDescent="0.15">
      <c r="A288" s="6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</row>
    <row r="289" spans="1:21" ht="13" x14ac:dyDescent="0.15">
      <c r="A289" s="6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</row>
    <row r="290" spans="1:21" ht="13" x14ac:dyDescent="0.15">
      <c r="A290" s="6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</row>
    <row r="291" spans="1:21" ht="13" x14ac:dyDescent="0.15">
      <c r="A291" s="6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</row>
    <row r="292" spans="1:21" ht="13" x14ac:dyDescent="0.15">
      <c r="A292" s="6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</row>
    <row r="293" spans="1:21" ht="13" x14ac:dyDescent="0.15">
      <c r="A293" s="6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</row>
    <row r="294" spans="1:21" ht="13" x14ac:dyDescent="0.15">
      <c r="A294" s="6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</row>
    <row r="295" spans="1:21" ht="13" x14ac:dyDescent="0.15">
      <c r="A295" s="6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</row>
    <row r="296" spans="1:21" ht="13" x14ac:dyDescent="0.15">
      <c r="A296" s="6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</row>
    <row r="297" spans="1:21" ht="13" x14ac:dyDescent="0.15">
      <c r="A297" s="6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</row>
    <row r="298" spans="1:21" ht="13" x14ac:dyDescent="0.15">
      <c r="A298" s="6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</row>
    <row r="299" spans="1:21" ht="13" x14ac:dyDescent="0.15">
      <c r="A299" s="6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</row>
    <row r="300" spans="1:21" ht="13" x14ac:dyDescent="0.15">
      <c r="A300" s="6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</row>
    <row r="301" spans="1:21" ht="13" x14ac:dyDescent="0.15">
      <c r="A301" s="6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</row>
    <row r="302" spans="1:21" ht="13" x14ac:dyDescent="0.15">
      <c r="A302" s="6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</row>
    <row r="303" spans="1:21" ht="13" x14ac:dyDescent="0.15">
      <c r="A303" s="6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</row>
    <row r="304" spans="1:21" ht="13" x14ac:dyDescent="0.15">
      <c r="A304" s="6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</row>
    <row r="305" spans="1:21" ht="13" x14ac:dyDescent="0.15">
      <c r="A305" s="6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</row>
    <row r="306" spans="1:21" ht="13" x14ac:dyDescent="0.15">
      <c r="A306" s="6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</row>
    <row r="307" spans="1:21" ht="13" x14ac:dyDescent="0.15">
      <c r="A307" s="6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</row>
    <row r="308" spans="1:21" ht="13" x14ac:dyDescent="0.15">
      <c r="A308" s="6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</row>
    <row r="309" spans="1:21" ht="13" x14ac:dyDescent="0.15">
      <c r="A309" s="6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</row>
    <row r="310" spans="1:21" ht="13" x14ac:dyDescent="0.15">
      <c r="A310" s="6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</row>
    <row r="311" spans="1:21" ht="13" x14ac:dyDescent="0.15">
      <c r="A311" s="6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</row>
    <row r="312" spans="1:21" ht="13" x14ac:dyDescent="0.15">
      <c r="A312" s="6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</row>
    <row r="313" spans="1:21" ht="13" x14ac:dyDescent="0.15">
      <c r="A313" s="6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</row>
    <row r="314" spans="1:21" ht="13" x14ac:dyDescent="0.15">
      <c r="A314" s="6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</row>
    <row r="315" spans="1:21" ht="13" x14ac:dyDescent="0.15">
      <c r="A315" s="6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</row>
    <row r="316" spans="1:21" ht="13" x14ac:dyDescent="0.15">
      <c r="A316" s="6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</row>
    <row r="317" spans="1:21" ht="13" x14ac:dyDescent="0.15">
      <c r="A317" s="6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</row>
    <row r="318" spans="1:21" ht="13" x14ac:dyDescent="0.15">
      <c r="A318" s="6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</row>
    <row r="319" spans="1:21" ht="13" x14ac:dyDescent="0.15">
      <c r="A319" s="6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</row>
    <row r="320" spans="1:21" ht="13" x14ac:dyDescent="0.15">
      <c r="A320" s="6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</row>
    <row r="321" spans="1:21" ht="13" x14ac:dyDescent="0.15">
      <c r="A321" s="6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</row>
    <row r="322" spans="1:21" ht="13" x14ac:dyDescent="0.15">
      <c r="A322" s="6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</row>
    <row r="323" spans="1:21" ht="13" x14ac:dyDescent="0.15">
      <c r="A323" s="6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</row>
    <row r="324" spans="1:21" ht="13" x14ac:dyDescent="0.15">
      <c r="A324" s="6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</row>
    <row r="325" spans="1:21" ht="13" x14ac:dyDescent="0.15">
      <c r="A325" s="6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</row>
    <row r="326" spans="1:21" ht="13" x14ac:dyDescent="0.15">
      <c r="A326" s="6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</row>
    <row r="327" spans="1:21" ht="13" x14ac:dyDescent="0.15">
      <c r="A327" s="6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</row>
    <row r="328" spans="1:21" ht="13" x14ac:dyDescent="0.15">
      <c r="A328" s="6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</row>
    <row r="329" spans="1:21" ht="13" x14ac:dyDescent="0.15">
      <c r="A329" s="6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</row>
    <row r="330" spans="1:21" ht="13" x14ac:dyDescent="0.15">
      <c r="A330" s="6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</row>
    <row r="331" spans="1:21" ht="13" x14ac:dyDescent="0.15">
      <c r="A331" s="6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</row>
    <row r="332" spans="1:21" ht="13" x14ac:dyDescent="0.15">
      <c r="A332" s="6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</row>
    <row r="333" spans="1:21" ht="13" x14ac:dyDescent="0.15">
      <c r="A333" s="6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</row>
    <row r="334" spans="1:21" ht="13" x14ac:dyDescent="0.15">
      <c r="A334" s="6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</row>
    <row r="335" spans="1:21" ht="13" x14ac:dyDescent="0.15">
      <c r="A335" s="6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</row>
    <row r="336" spans="1:21" ht="13" x14ac:dyDescent="0.15">
      <c r="A336" s="6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</row>
    <row r="337" spans="1:21" ht="13" x14ac:dyDescent="0.15">
      <c r="A337" s="6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</row>
    <row r="338" spans="1:21" ht="13" x14ac:dyDescent="0.15">
      <c r="A338" s="6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</row>
    <row r="339" spans="1:21" ht="13" x14ac:dyDescent="0.15">
      <c r="A339" s="6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</row>
    <row r="340" spans="1:21" ht="13" x14ac:dyDescent="0.15">
      <c r="A340" s="6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</row>
    <row r="341" spans="1:21" ht="13" x14ac:dyDescent="0.15">
      <c r="A341" s="6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</row>
    <row r="342" spans="1:21" ht="13" x14ac:dyDescent="0.15">
      <c r="A342" s="6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</row>
    <row r="343" spans="1:21" ht="13" x14ac:dyDescent="0.15">
      <c r="A343" s="6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</row>
    <row r="344" spans="1:21" ht="13" x14ac:dyDescent="0.15">
      <c r="A344" s="6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</row>
    <row r="345" spans="1:21" ht="13" x14ac:dyDescent="0.15">
      <c r="A345" s="6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</row>
    <row r="346" spans="1:21" ht="13" x14ac:dyDescent="0.15">
      <c r="A346" s="6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</row>
    <row r="347" spans="1:21" ht="13" x14ac:dyDescent="0.15">
      <c r="A347" s="6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</row>
    <row r="348" spans="1:21" ht="13" x14ac:dyDescent="0.15">
      <c r="A348" s="6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</row>
    <row r="349" spans="1:21" ht="13" x14ac:dyDescent="0.15">
      <c r="A349" s="6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</row>
    <row r="350" spans="1:21" ht="13" x14ac:dyDescent="0.15">
      <c r="A350" s="6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</row>
    <row r="351" spans="1:21" ht="13" x14ac:dyDescent="0.15">
      <c r="A351" s="6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</row>
    <row r="352" spans="1:21" ht="13" x14ac:dyDescent="0.15">
      <c r="A352" s="6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</row>
    <row r="353" spans="1:21" ht="13" x14ac:dyDescent="0.15">
      <c r="A353" s="6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</row>
    <row r="354" spans="1:21" ht="13" x14ac:dyDescent="0.15">
      <c r="A354" s="6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</row>
    <row r="355" spans="1:21" ht="13" x14ac:dyDescent="0.15">
      <c r="A355" s="6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</row>
    <row r="356" spans="1:21" ht="13" x14ac:dyDescent="0.15">
      <c r="A356" s="6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</row>
    <row r="357" spans="1:21" ht="13" x14ac:dyDescent="0.15">
      <c r="A357" s="6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</row>
    <row r="358" spans="1:21" ht="13" x14ac:dyDescent="0.15">
      <c r="A358" s="6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</row>
    <row r="359" spans="1:21" ht="13" x14ac:dyDescent="0.15">
      <c r="A359" s="6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</row>
    <row r="360" spans="1:21" ht="13" x14ac:dyDescent="0.15">
      <c r="A360" s="6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</row>
    <row r="361" spans="1:21" ht="13" x14ac:dyDescent="0.15">
      <c r="A361" s="6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</row>
    <row r="362" spans="1:21" ht="13" x14ac:dyDescent="0.15">
      <c r="A362" s="6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</row>
    <row r="363" spans="1:21" ht="13" x14ac:dyDescent="0.15">
      <c r="A363" s="6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</row>
    <row r="364" spans="1:21" ht="13" x14ac:dyDescent="0.15">
      <c r="A364" s="6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</row>
    <row r="365" spans="1:21" ht="13" x14ac:dyDescent="0.15">
      <c r="A365" s="6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</row>
    <row r="366" spans="1:21" ht="13" x14ac:dyDescent="0.15">
      <c r="A366" s="6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</row>
    <row r="367" spans="1:21" ht="13" x14ac:dyDescent="0.15">
      <c r="A367" s="6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</row>
    <row r="368" spans="1:21" ht="13" x14ac:dyDescent="0.15">
      <c r="A368" s="6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</row>
    <row r="369" spans="1:21" ht="13" x14ac:dyDescent="0.15">
      <c r="A369" s="6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</row>
    <row r="370" spans="1:21" ht="13" x14ac:dyDescent="0.15">
      <c r="A370" s="6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</row>
    <row r="371" spans="1:21" ht="13" x14ac:dyDescent="0.15">
      <c r="A371" s="6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</row>
    <row r="372" spans="1:21" ht="13" x14ac:dyDescent="0.15">
      <c r="A372" s="6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</row>
    <row r="373" spans="1:21" ht="13" x14ac:dyDescent="0.15">
      <c r="A373" s="6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</row>
    <row r="374" spans="1:21" ht="13" x14ac:dyDescent="0.15">
      <c r="A374" s="6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</row>
    <row r="375" spans="1:21" ht="13" x14ac:dyDescent="0.15">
      <c r="A375" s="6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</row>
    <row r="376" spans="1:21" ht="13" x14ac:dyDescent="0.15">
      <c r="A376" s="6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</row>
    <row r="377" spans="1:21" ht="13" x14ac:dyDescent="0.15">
      <c r="A377" s="6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</row>
    <row r="378" spans="1:21" ht="13" x14ac:dyDescent="0.15">
      <c r="A378" s="6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</row>
    <row r="379" spans="1:21" ht="13" x14ac:dyDescent="0.15">
      <c r="A379" s="6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</row>
    <row r="380" spans="1:21" ht="13" x14ac:dyDescent="0.15">
      <c r="A380" s="6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</row>
    <row r="381" spans="1:21" ht="13" x14ac:dyDescent="0.15">
      <c r="A381" s="6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</row>
    <row r="382" spans="1:21" ht="13" x14ac:dyDescent="0.15">
      <c r="A382" s="6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</row>
    <row r="383" spans="1:21" ht="13" x14ac:dyDescent="0.15">
      <c r="A383" s="6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</row>
    <row r="384" spans="1:21" ht="13" x14ac:dyDescent="0.15">
      <c r="A384" s="6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</row>
    <row r="385" spans="1:21" ht="13" x14ac:dyDescent="0.15">
      <c r="A385" s="6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</row>
    <row r="386" spans="1:21" ht="13" x14ac:dyDescent="0.15">
      <c r="A386" s="6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</row>
    <row r="387" spans="1:21" ht="13" x14ac:dyDescent="0.15">
      <c r="A387" s="6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</row>
    <row r="388" spans="1:21" ht="13" x14ac:dyDescent="0.15">
      <c r="A388" s="6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</row>
    <row r="389" spans="1:21" ht="13" x14ac:dyDescent="0.15">
      <c r="A389" s="6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</row>
    <row r="390" spans="1:21" ht="13" x14ac:dyDescent="0.15">
      <c r="A390" s="6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</row>
    <row r="391" spans="1:21" ht="13" x14ac:dyDescent="0.15">
      <c r="A391" s="6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</row>
    <row r="392" spans="1:21" ht="13" x14ac:dyDescent="0.15">
      <c r="A392" s="6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</row>
    <row r="393" spans="1:21" ht="13" x14ac:dyDescent="0.15">
      <c r="A393" s="6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</row>
    <row r="394" spans="1:21" ht="13" x14ac:dyDescent="0.15">
      <c r="A394" s="6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</row>
    <row r="395" spans="1:21" ht="13" x14ac:dyDescent="0.15">
      <c r="A395" s="6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</row>
    <row r="396" spans="1:21" ht="13" x14ac:dyDescent="0.15">
      <c r="A396" s="6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</row>
    <row r="397" spans="1:21" ht="13" x14ac:dyDescent="0.15">
      <c r="A397" s="6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</row>
    <row r="398" spans="1:21" ht="13" x14ac:dyDescent="0.15">
      <c r="A398" s="6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</row>
    <row r="399" spans="1:21" ht="13" x14ac:dyDescent="0.15">
      <c r="A399" s="6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</row>
    <row r="400" spans="1:21" ht="13" x14ac:dyDescent="0.15">
      <c r="A400" s="6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</row>
    <row r="401" spans="1:21" ht="13" x14ac:dyDescent="0.15">
      <c r="A401" s="6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</row>
    <row r="402" spans="1:21" ht="13" x14ac:dyDescent="0.15">
      <c r="A402" s="6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</row>
    <row r="403" spans="1:21" ht="13" x14ac:dyDescent="0.15">
      <c r="A403" s="6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</row>
    <row r="404" spans="1:21" ht="13" x14ac:dyDescent="0.15">
      <c r="A404" s="6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</row>
    <row r="405" spans="1:21" ht="13" x14ac:dyDescent="0.15">
      <c r="A405" s="6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</row>
    <row r="406" spans="1:21" ht="13" x14ac:dyDescent="0.15">
      <c r="A406" s="6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</row>
    <row r="407" spans="1:21" ht="13" x14ac:dyDescent="0.15">
      <c r="A407" s="6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</row>
    <row r="408" spans="1:21" ht="13" x14ac:dyDescent="0.15">
      <c r="A408" s="6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</row>
    <row r="409" spans="1:21" ht="13" x14ac:dyDescent="0.15">
      <c r="A409" s="6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</row>
    <row r="410" spans="1:21" ht="13" x14ac:dyDescent="0.15">
      <c r="A410" s="6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</row>
    <row r="411" spans="1:21" ht="13" x14ac:dyDescent="0.15">
      <c r="A411" s="6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</row>
    <row r="412" spans="1:21" ht="13" x14ac:dyDescent="0.15">
      <c r="A412" s="6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</row>
    <row r="413" spans="1:21" ht="13" x14ac:dyDescent="0.15">
      <c r="A413" s="6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</row>
    <row r="414" spans="1:21" ht="13" x14ac:dyDescent="0.15">
      <c r="A414" s="6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</row>
    <row r="415" spans="1:21" ht="13" x14ac:dyDescent="0.15">
      <c r="A415" s="6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</row>
    <row r="416" spans="1:21" ht="13" x14ac:dyDescent="0.15">
      <c r="A416" s="6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</row>
    <row r="417" spans="1:21" ht="13" x14ac:dyDescent="0.15">
      <c r="A417" s="6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</row>
    <row r="418" spans="1:21" ht="13" x14ac:dyDescent="0.15">
      <c r="A418" s="6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</row>
    <row r="419" spans="1:21" ht="13" x14ac:dyDescent="0.15">
      <c r="A419" s="6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</row>
    <row r="420" spans="1:21" ht="13" x14ac:dyDescent="0.15">
      <c r="A420" s="6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</row>
    <row r="421" spans="1:21" ht="13" x14ac:dyDescent="0.15">
      <c r="A421" s="6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</row>
    <row r="422" spans="1:21" ht="13" x14ac:dyDescent="0.15">
      <c r="A422" s="6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</row>
    <row r="423" spans="1:21" ht="13" x14ac:dyDescent="0.15">
      <c r="A423" s="6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</row>
    <row r="424" spans="1:21" ht="13" x14ac:dyDescent="0.15">
      <c r="A424" s="6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</row>
    <row r="425" spans="1:21" ht="13" x14ac:dyDescent="0.15">
      <c r="A425" s="6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</row>
    <row r="426" spans="1:21" ht="13" x14ac:dyDescent="0.15">
      <c r="A426" s="6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</row>
    <row r="427" spans="1:21" ht="13" x14ac:dyDescent="0.15">
      <c r="A427" s="6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</row>
    <row r="428" spans="1:21" ht="13" x14ac:dyDescent="0.15">
      <c r="A428" s="6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</row>
    <row r="429" spans="1:21" ht="13" x14ac:dyDescent="0.15">
      <c r="A429" s="6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</row>
    <row r="430" spans="1:21" ht="13" x14ac:dyDescent="0.15">
      <c r="A430" s="6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</row>
    <row r="431" spans="1:21" ht="13" x14ac:dyDescent="0.15">
      <c r="A431" s="6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</row>
    <row r="432" spans="1:21" ht="13" x14ac:dyDescent="0.15">
      <c r="A432" s="6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</row>
    <row r="433" spans="1:21" ht="13" x14ac:dyDescent="0.15">
      <c r="A433" s="6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</row>
    <row r="434" spans="1:21" ht="13" x14ac:dyDescent="0.15">
      <c r="A434" s="6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</row>
    <row r="435" spans="1:21" ht="13" x14ac:dyDescent="0.15">
      <c r="A435" s="6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</row>
    <row r="436" spans="1:21" ht="13" x14ac:dyDescent="0.15">
      <c r="A436" s="6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</row>
    <row r="437" spans="1:21" ht="13" x14ac:dyDescent="0.15">
      <c r="A437" s="6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</row>
    <row r="438" spans="1:21" ht="13" x14ac:dyDescent="0.15">
      <c r="A438" s="6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</row>
    <row r="439" spans="1:21" ht="13" x14ac:dyDescent="0.15">
      <c r="A439" s="6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</row>
    <row r="440" spans="1:21" ht="13" x14ac:dyDescent="0.15">
      <c r="A440" s="6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</row>
    <row r="441" spans="1:21" ht="13" x14ac:dyDescent="0.15">
      <c r="A441" s="6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</row>
    <row r="442" spans="1:21" ht="13" x14ac:dyDescent="0.15">
      <c r="A442" s="6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</row>
    <row r="443" spans="1:21" ht="13" x14ac:dyDescent="0.15">
      <c r="A443" s="6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</row>
    <row r="444" spans="1:21" ht="13" x14ac:dyDescent="0.15">
      <c r="A444" s="6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</row>
    <row r="445" spans="1:21" ht="13" x14ac:dyDescent="0.15">
      <c r="A445" s="6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</row>
    <row r="446" spans="1:21" ht="13" x14ac:dyDescent="0.15">
      <c r="A446" s="6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</row>
    <row r="447" spans="1:21" ht="13" x14ac:dyDescent="0.15">
      <c r="A447" s="6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</row>
    <row r="448" spans="1:21" ht="13" x14ac:dyDescent="0.15">
      <c r="A448" s="6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</row>
    <row r="449" spans="1:21" ht="13" x14ac:dyDescent="0.15">
      <c r="A449" s="6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</row>
    <row r="450" spans="1:21" ht="13" x14ac:dyDescent="0.15">
      <c r="A450" s="6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</row>
    <row r="451" spans="1:21" ht="13" x14ac:dyDescent="0.15">
      <c r="A451" s="6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</row>
    <row r="452" spans="1:21" ht="13" x14ac:dyDescent="0.15">
      <c r="A452" s="6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</row>
    <row r="453" spans="1:21" ht="13" x14ac:dyDescent="0.15">
      <c r="A453" s="6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</row>
    <row r="454" spans="1:21" ht="13" x14ac:dyDescent="0.15">
      <c r="A454" s="6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</row>
    <row r="455" spans="1:21" ht="13" x14ac:dyDescent="0.15">
      <c r="A455" s="6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</row>
    <row r="456" spans="1:21" ht="13" x14ac:dyDescent="0.15">
      <c r="A456" s="6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</row>
    <row r="457" spans="1:21" ht="13" x14ac:dyDescent="0.15">
      <c r="A457" s="6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</row>
    <row r="458" spans="1:21" ht="13" x14ac:dyDescent="0.15">
      <c r="A458" s="6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</row>
    <row r="459" spans="1:21" ht="13" x14ac:dyDescent="0.15">
      <c r="A459" s="6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</row>
    <row r="460" spans="1:21" ht="13" x14ac:dyDescent="0.15">
      <c r="A460" s="6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</row>
    <row r="461" spans="1:21" ht="13" x14ac:dyDescent="0.15">
      <c r="A461" s="6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</row>
    <row r="462" spans="1:21" ht="13" x14ac:dyDescent="0.15">
      <c r="A462" s="6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</row>
    <row r="463" spans="1:21" ht="13" x14ac:dyDescent="0.15">
      <c r="A463" s="6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</row>
    <row r="464" spans="1:21" ht="13" x14ac:dyDescent="0.15">
      <c r="A464" s="6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</row>
    <row r="465" spans="1:21" ht="13" x14ac:dyDescent="0.15">
      <c r="A465" s="6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</row>
    <row r="466" spans="1:21" ht="13" x14ac:dyDescent="0.15">
      <c r="A466" s="6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</row>
    <row r="467" spans="1:21" ht="13" x14ac:dyDescent="0.15">
      <c r="A467" s="6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</row>
    <row r="468" spans="1:21" ht="13" x14ac:dyDescent="0.15">
      <c r="A468" s="6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</row>
    <row r="469" spans="1:21" ht="13" x14ac:dyDescent="0.15">
      <c r="A469" s="6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</row>
    <row r="470" spans="1:21" ht="13" x14ac:dyDescent="0.15">
      <c r="A470" s="6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</row>
    <row r="471" spans="1:21" ht="13" x14ac:dyDescent="0.15">
      <c r="A471" s="6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</row>
    <row r="472" spans="1:21" ht="13" x14ac:dyDescent="0.15">
      <c r="A472" s="6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</row>
    <row r="473" spans="1:21" ht="13" x14ac:dyDescent="0.15">
      <c r="A473" s="6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</row>
    <row r="474" spans="1:21" ht="13" x14ac:dyDescent="0.15">
      <c r="A474" s="6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</row>
    <row r="475" spans="1:21" ht="13" x14ac:dyDescent="0.15">
      <c r="A475" s="6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</row>
    <row r="476" spans="1:21" ht="13" x14ac:dyDescent="0.15">
      <c r="A476" s="6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</row>
    <row r="477" spans="1:21" ht="13" x14ac:dyDescent="0.15">
      <c r="A477" s="6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</row>
    <row r="478" spans="1:21" ht="13" x14ac:dyDescent="0.15">
      <c r="A478" s="6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</row>
    <row r="479" spans="1:21" ht="13" x14ac:dyDescent="0.15">
      <c r="A479" s="6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</row>
    <row r="480" spans="1:21" ht="13" x14ac:dyDescent="0.15">
      <c r="A480" s="6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</row>
    <row r="481" spans="1:21" ht="13" x14ac:dyDescent="0.15">
      <c r="A481" s="6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</row>
    <row r="482" spans="1:21" ht="13" x14ac:dyDescent="0.15">
      <c r="A482" s="6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</row>
    <row r="483" spans="1:21" ht="13" x14ac:dyDescent="0.15">
      <c r="A483" s="6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</row>
    <row r="484" spans="1:21" ht="13" x14ac:dyDescent="0.15">
      <c r="A484" s="6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</row>
    <row r="485" spans="1:21" ht="13" x14ac:dyDescent="0.15">
      <c r="A485" s="6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</row>
    <row r="486" spans="1:21" ht="13" x14ac:dyDescent="0.15">
      <c r="A486" s="6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</row>
    <row r="487" spans="1:21" ht="13" x14ac:dyDescent="0.15">
      <c r="A487" s="6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</row>
    <row r="488" spans="1:21" ht="13" x14ac:dyDescent="0.15">
      <c r="A488" s="6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</row>
    <row r="489" spans="1:21" ht="13" x14ac:dyDescent="0.15">
      <c r="A489" s="6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</row>
    <row r="490" spans="1:21" ht="13" x14ac:dyDescent="0.15">
      <c r="A490" s="6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</row>
    <row r="491" spans="1:21" ht="13" x14ac:dyDescent="0.15">
      <c r="A491" s="6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</row>
    <row r="492" spans="1:21" ht="13" x14ac:dyDescent="0.15">
      <c r="A492" s="6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</row>
    <row r="493" spans="1:21" ht="13" x14ac:dyDescent="0.15">
      <c r="A493" s="6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</row>
    <row r="494" spans="1:21" ht="13" x14ac:dyDescent="0.15">
      <c r="A494" s="6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</row>
    <row r="495" spans="1:21" ht="13" x14ac:dyDescent="0.15">
      <c r="A495" s="6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</row>
    <row r="496" spans="1:21" ht="13" x14ac:dyDescent="0.15">
      <c r="A496" s="6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</row>
    <row r="497" spans="1:21" ht="13" x14ac:dyDescent="0.15">
      <c r="A497" s="6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</row>
    <row r="498" spans="1:21" ht="13" x14ac:dyDescent="0.15">
      <c r="A498" s="6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</row>
    <row r="499" spans="1:21" ht="13" x14ac:dyDescent="0.15">
      <c r="A499" s="6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</row>
    <row r="500" spans="1:21" ht="13" x14ac:dyDescent="0.15">
      <c r="A500" s="6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</row>
    <row r="501" spans="1:21" ht="13" x14ac:dyDescent="0.15">
      <c r="A501" s="6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</row>
    <row r="502" spans="1:21" ht="13" x14ac:dyDescent="0.15">
      <c r="A502" s="6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</row>
    <row r="503" spans="1:21" ht="13" x14ac:dyDescent="0.15">
      <c r="A503" s="6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</row>
    <row r="504" spans="1:21" ht="13" x14ac:dyDescent="0.15">
      <c r="A504" s="6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</row>
    <row r="505" spans="1:21" ht="13" x14ac:dyDescent="0.15">
      <c r="A505" s="6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</row>
    <row r="506" spans="1:21" ht="13" x14ac:dyDescent="0.15">
      <c r="A506" s="6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</row>
    <row r="507" spans="1:21" ht="13" x14ac:dyDescent="0.15">
      <c r="A507" s="6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</row>
    <row r="508" spans="1:21" ht="13" x14ac:dyDescent="0.15">
      <c r="A508" s="6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</row>
    <row r="509" spans="1:21" ht="13" x14ac:dyDescent="0.15">
      <c r="A509" s="6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</row>
    <row r="510" spans="1:21" ht="13" x14ac:dyDescent="0.15">
      <c r="A510" s="6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</row>
    <row r="511" spans="1:21" ht="13" x14ac:dyDescent="0.15">
      <c r="A511" s="6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</row>
    <row r="512" spans="1:21" ht="13" x14ac:dyDescent="0.15">
      <c r="A512" s="6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</row>
    <row r="513" spans="1:21" ht="13" x14ac:dyDescent="0.15">
      <c r="A513" s="6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</row>
    <row r="514" spans="1:21" ht="13" x14ac:dyDescent="0.15">
      <c r="A514" s="6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</row>
    <row r="515" spans="1:21" ht="13" x14ac:dyDescent="0.15">
      <c r="A515" s="6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</row>
    <row r="516" spans="1:21" ht="13" x14ac:dyDescent="0.15">
      <c r="A516" s="6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</row>
    <row r="517" spans="1:21" ht="13" x14ac:dyDescent="0.15">
      <c r="A517" s="6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</row>
    <row r="518" spans="1:21" ht="13" x14ac:dyDescent="0.15">
      <c r="A518" s="6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</row>
    <row r="519" spans="1:21" ht="13" x14ac:dyDescent="0.15">
      <c r="A519" s="6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</row>
    <row r="520" spans="1:21" ht="13" x14ac:dyDescent="0.15">
      <c r="A520" s="6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</row>
    <row r="521" spans="1:21" ht="13" x14ac:dyDescent="0.15">
      <c r="A521" s="6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</row>
    <row r="522" spans="1:21" ht="13" x14ac:dyDescent="0.15">
      <c r="A522" s="6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</row>
    <row r="523" spans="1:21" ht="13" x14ac:dyDescent="0.15">
      <c r="A523" s="6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</row>
    <row r="524" spans="1:21" ht="13" x14ac:dyDescent="0.15">
      <c r="A524" s="6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</row>
    <row r="525" spans="1:21" ht="13" x14ac:dyDescent="0.15">
      <c r="A525" s="6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</row>
    <row r="526" spans="1:21" ht="13" x14ac:dyDescent="0.15">
      <c r="A526" s="6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</row>
    <row r="527" spans="1:21" ht="13" x14ac:dyDescent="0.15">
      <c r="A527" s="6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</row>
    <row r="528" spans="1:21" ht="13" x14ac:dyDescent="0.15">
      <c r="A528" s="6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</row>
    <row r="529" spans="1:21" ht="13" x14ac:dyDescent="0.15">
      <c r="A529" s="6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</row>
    <row r="530" spans="1:21" ht="13" x14ac:dyDescent="0.15">
      <c r="A530" s="6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</row>
    <row r="531" spans="1:21" ht="13" x14ac:dyDescent="0.15">
      <c r="A531" s="6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</row>
    <row r="532" spans="1:21" ht="13" x14ac:dyDescent="0.15">
      <c r="A532" s="6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</row>
    <row r="533" spans="1:21" ht="13" x14ac:dyDescent="0.15">
      <c r="A533" s="6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</row>
    <row r="534" spans="1:21" ht="13" x14ac:dyDescent="0.15">
      <c r="A534" s="6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</row>
    <row r="535" spans="1:21" ht="13" x14ac:dyDescent="0.15">
      <c r="A535" s="6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</row>
    <row r="536" spans="1:21" ht="13" x14ac:dyDescent="0.15">
      <c r="A536" s="6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</row>
    <row r="537" spans="1:21" ht="13" x14ac:dyDescent="0.15">
      <c r="A537" s="6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</row>
    <row r="538" spans="1:21" ht="13" x14ac:dyDescent="0.15">
      <c r="A538" s="6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</row>
    <row r="539" spans="1:21" ht="13" x14ac:dyDescent="0.15">
      <c r="A539" s="6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</row>
    <row r="540" spans="1:21" ht="13" x14ac:dyDescent="0.15">
      <c r="A540" s="6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</row>
    <row r="541" spans="1:21" ht="13" x14ac:dyDescent="0.15">
      <c r="A541" s="6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</row>
    <row r="542" spans="1:21" ht="13" x14ac:dyDescent="0.15">
      <c r="A542" s="6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</row>
    <row r="543" spans="1:21" ht="13" x14ac:dyDescent="0.15">
      <c r="A543" s="6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</row>
    <row r="544" spans="1:21" ht="13" x14ac:dyDescent="0.15">
      <c r="A544" s="6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</row>
    <row r="545" spans="1:21" ht="13" x14ac:dyDescent="0.15">
      <c r="A545" s="6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</row>
    <row r="546" spans="1:21" ht="13" x14ac:dyDescent="0.15">
      <c r="A546" s="6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</row>
    <row r="547" spans="1:21" ht="13" x14ac:dyDescent="0.15">
      <c r="A547" s="6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</row>
    <row r="548" spans="1:21" ht="13" x14ac:dyDescent="0.15">
      <c r="A548" s="6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</row>
    <row r="549" spans="1:21" ht="13" x14ac:dyDescent="0.15">
      <c r="A549" s="6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</row>
    <row r="550" spans="1:21" ht="13" x14ac:dyDescent="0.15">
      <c r="A550" s="6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</row>
    <row r="551" spans="1:21" ht="13" x14ac:dyDescent="0.15">
      <c r="A551" s="6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</row>
    <row r="552" spans="1:21" ht="13" x14ac:dyDescent="0.15">
      <c r="A552" s="6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</row>
    <row r="553" spans="1:21" ht="13" x14ac:dyDescent="0.15">
      <c r="A553" s="6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</row>
    <row r="554" spans="1:21" ht="13" x14ac:dyDescent="0.15">
      <c r="A554" s="6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</row>
    <row r="555" spans="1:21" ht="13" x14ac:dyDescent="0.15">
      <c r="A555" s="6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</row>
    <row r="556" spans="1:21" ht="13" x14ac:dyDescent="0.15">
      <c r="A556" s="6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</row>
    <row r="557" spans="1:21" ht="13" x14ac:dyDescent="0.15">
      <c r="A557" s="6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</row>
    <row r="558" spans="1:21" ht="13" x14ac:dyDescent="0.15">
      <c r="A558" s="6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</row>
    <row r="559" spans="1:21" ht="13" x14ac:dyDescent="0.15">
      <c r="A559" s="6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</row>
    <row r="560" spans="1:21" ht="13" x14ac:dyDescent="0.15">
      <c r="A560" s="6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</row>
    <row r="561" spans="1:21" ht="13" x14ac:dyDescent="0.15">
      <c r="A561" s="6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</row>
    <row r="562" spans="1:21" ht="13" x14ac:dyDescent="0.15">
      <c r="A562" s="6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</row>
    <row r="563" spans="1:21" ht="13" x14ac:dyDescent="0.15">
      <c r="A563" s="6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</row>
    <row r="564" spans="1:21" ht="13" x14ac:dyDescent="0.15">
      <c r="A564" s="6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</row>
    <row r="565" spans="1:21" ht="13" x14ac:dyDescent="0.15">
      <c r="A565" s="6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</row>
    <row r="566" spans="1:21" ht="13" x14ac:dyDescent="0.15">
      <c r="A566" s="6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</row>
    <row r="567" spans="1:21" ht="13" x14ac:dyDescent="0.15">
      <c r="A567" s="6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</row>
    <row r="568" spans="1:21" ht="13" x14ac:dyDescent="0.15">
      <c r="A568" s="6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</row>
    <row r="569" spans="1:21" ht="13" x14ac:dyDescent="0.15">
      <c r="A569" s="6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</row>
    <row r="570" spans="1:21" ht="13" x14ac:dyDescent="0.15">
      <c r="A570" s="6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</row>
    <row r="571" spans="1:21" ht="13" x14ac:dyDescent="0.15">
      <c r="A571" s="6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</row>
    <row r="572" spans="1:21" ht="13" x14ac:dyDescent="0.15">
      <c r="A572" s="6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</row>
    <row r="573" spans="1:21" ht="13" x14ac:dyDescent="0.15">
      <c r="A573" s="6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</row>
    <row r="574" spans="1:21" ht="13" x14ac:dyDescent="0.15">
      <c r="A574" s="6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</row>
    <row r="575" spans="1:21" ht="13" x14ac:dyDescent="0.15">
      <c r="A575" s="6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</row>
    <row r="576" spans="1:21" ht="13" x14ac:dyDescent="0.15">
      <c r="A576" s="6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</row>
    <row r="577" spans="1:21" ht="13" x14ac:dyDescent="0.15">
      <c r="A577" s="6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</row>
    <row r="578" spans="1:21" ht="13" x14ac:dyDescent="0.15">
      <c r="A578" s="6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</row>
    <row r="579" spans="1:21" ht="13" x14ac:dyDescent="0.15">
      <c r="A579" s="6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</row>
    <row r="580" spans="1:21" ht="13" x14ac:dyDescent="0.15">
      <c r="A580" s="6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</row>
    <row r="581" spans="1:21" ht="13" x14ac:dyDescent="0.15">
      <c r="A581" s="6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</row>
    <row r="582" spans="1:21" ht="13" x14ac:dyDescent="0.15">
      <c r="A582" s="6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</row>
    <row r="583" spans="1:21" ht="13" x14ac:dyDescent="0.15">
      <c r="A583" s="6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</row>
    <row r="584" spans="1:21" ht="13" x14ac:dyDescent="0.15">
      <c r="A584" s="6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</row>
    <row r="585" spans="1:21" ht="13" x14ac:dyDescent="0.15">
      <c r="A585" s="6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</row>
    <row r="586" spans="1:21" ht="13" x14ac:dyDescent="0.15">
      <c r="A586" s="6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</row>
    <row r="587" spans="1:21" ht="13" x14ac:dyDescent="0.15">
      <c r="A587" s="6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</row>
    <row r="588" spans="1:21" ht="13" x14ac:dyDescent="0.15">
      <c r="A588" s="6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</row>
    <row r="589" spans="1:21" ht="13" x14ac:dyDescent="0.15">
      <c r="A589" s="6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</row>
    <row r="590" spans="1:21" ht="13" x14ac:dyDescent="0.15">
      <c r="A590" s="6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</row>
    <row r="591" spans="1:21" ht="13" x14ac:dyDescent="0.15">
      <c r="A591" s="6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</row>
    <row r="592" spans="1:21" ht="13" x14ac:dyDescent="0.15">
      <c r="A592" s="6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</row>
    <row r="593" spans="1:21" ht="13" x14ac:dyDescent="0.15">
      <c r="A593" s="6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</row>
    <row r="594" spans="1:21" ht="13" x14ac:dyDescent="0.15">
      <c r="A594" s="6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</row>
    <row r="595" spans="1:21" ht="13" x14ac:dyDescent="0.15">
      <c r="A595" s="6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</row>
    <row r="596" spans="1:21" ht="13" x14ac:dyDescent="0.15">
      <c r="A596" s="6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</row>
    <row r="597" spans="1:21" ht="13" x14ac:dyDescent="0.15">
      <c r="A597" s="6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</row>
    <row r="598" spans="1:21" ht="13" x14ac:dyDescent="0.15">
      <c r="A598" s="6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</row>
    <row r="599" spans="1:21" ht="13" x14ac:dyDescent="0.15">
      <c r="A599" s="6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</row>
    <row r="600" spans="1:21" ht="13" x14ac:dyDescent="0.15">
      <c r="A600" s="6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</row>
    <row r="601" spans="1:21" ht="13" x14ac:dyDescent="0.15">
      <c r="A601" s="6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</row>
    <row r="602" spans="1:21" ht="13" x14ac:dyDescent="0.15">
      <c r="A602" s="6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</row>
    <row r="603" spans="1:21" ht="13" x14ac:dyDescent="0.15">
      <c r="A603" s="6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</row>
    <row r="604" spans="1:21" ht="13" x14ac:dyDescent="0.15">
      <c r="A604" s="6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</row>
    <row r="605" spans="1:21" ht="13" x14ac:dyDescent="0.15">
      <c r="A605" s="6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</row>
    <row r="606" spans="1:21" ht="13" x14ac:dyDescent="0.15">
      <c r="A606" s="6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</row>
    <row r="607" spans="1:21" ht="13" x14ac:dyDescent="0.15">
      <c r="A607" s="6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</row>
    <row r="608" spans="1:21" ht="13" x14ac:dyDescent="0.15">
      <c r="A608" s="6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</row>
    <row r="609" spans="1:21" ht="13" x14ac:dyDescent="0.15">
      <c r="A609" s="6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</row>
    <row r="610" spans="1:21" ht="13" x14ac:dyDescent="0.15">
      <c r="A610" s="6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</row>
    <row r="611" spans="1:21" ht="13" x14ac:dyDescent="0.15">
      <c r="A611" s="6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</row>
    <row r="612" spans="1:21" ht="13" x14ac:dyDescent="0.15">
      <c r="A612" s="6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</row>
    <row r="613" spans="1:21" ht="13" x14ac:dyDescent="0.15">
      <c r="A613" s="6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</row>
    <row r="614" spans="1:21" ht="13" x14ac:dyDescent="0.15">
      <c r="A614" s="6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</row>
    <row r="615" spans="1:21" ht="13" x14ac:dyDescent="0.15">
      <c r="A615" s="6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</row>
    <row r="616" spans="1:21" ht="13" x14ac:dyDescent="0.15">
      <c r="A616" s="6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</row>
    <row r="617" spans="1:21" ht="13" x14ac:dyDescent="0.15">
      <c r="A617" s="6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</row>
    <row r="618" spans="1:21" ht="13" x14ac:dyDescent="0.15">
      <c r="A618" s="6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</row>
    <row r="619" spans="1:21" ht="13" x14ac:dyDescent="0.15">
      <c r="A619" s="6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</row>
    <row r="620" spans="1:21" ht="13" x14ac:dyDescent="0.15">
      <c r="A620" s="6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</row>
    <row r="621" spans="1:21" ht="13" x14ac:dyDescent="0.15">
      <c r="A621" s="6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</row>
    <row r="622" spans="1:21" ht="13" x14ac:dyDescent="0.15">
      <c r="A622" s="6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</row>
    <row r="623" spans="1:21" ht="13" x14ac:dyDescent="0.15">
      <c r="A623" s="6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</row>
    <row r="624" spans="1:21" ht="13" x14ac:dyDescent="0.15">
      <c r="A624" s="6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</row>
    <row r="625" spans="1:21" ht="13" x14ac:dyDescent="0.15">
      <c r="A625" s="6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</row>
    <row r="626" spans="1:21" ht="13" x14ac:dyDescent="0.15">
      <c r="A626" s="6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</row>
    <row r="627" spans="1:21" ht="13" x14ac:dyDescent="0.15">
      <c r="A627" s="6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</row>
    <row r="628" spans="1:21" ht="13" x14ac:dyDescent="0.15">
      <c r="A628" s="6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</row>
    <row r="629" spans="1:21" ht="13" x14ac:dyDescent="0.15">
      <c r="A629" s="6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</row>
    <row r="630" spans="1:21" ht="13" x14ac:dyDescent="0.15">
      <c r="A630" s="6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</row>
    <row r="631" spans="1:21" ht="13" x14ac:dyDescent="0.15">
      <c r="A631" s="6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</row>
    <row r="632" spans="1:21" ht="13" x14ac:dyDescent="0.15">
      <c r="A632" s="6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</row>
    <row r="633" spans="1:21" ht="13" x14ac:dyDescent="0.15">
      <c r="A633" s="6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</row>
    <row r="634" spans="1:21" ht="13" x14ac:dyDescent="0.15">
      <c r="A634" s="6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</row>
    <row r="635" spans="1:21" ht="13" x14ac:dyDescent="0.15">
      <c r="A635" s="6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</row>
    <row r="636" spans="1:21" ht="13" x14ac:dyDescent="0.15">
      <c r="A636" s="6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</row>
    <row r="637" spans="1:21" ht="13" x14ac:dyDescent="0.15">
      <c r="A637" s="6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</row>
    <row r="638" spans="1:21" ht="13" x14ac:dyDescent="0.15">
      <c r="A638" s="6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</row>
    <row r="639" spans="1:21" ht="13" x14ac:dyDescent="0.15">
      <c r="A639" s="6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</row>
    <row r="640" spans="1:21" ht="13" x14ac:dyDescent="0.15">
      <c r="A640" s="6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</row>
    <row r="641" spans="1:21" ht="13" x14ac:dyDescent="0.15">
      <c r="A641" s="6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</row>
    <row r="642" spans="1:21" ht="13" x14ac:dyDescent="0.15">
      <c r="A642" s="6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</row>
    <row r="643" spans="1:21" ht="13" x14ac:dyDescent="0.15">
      <c r="A643" s="6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</row>
    <row r="644" spans="1:21" ht="13" x14ac:dyDescent="0.15">
      <c r="A644" s="6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</row>
    <row r="645" spans="1:21" ht="13" x14ac:dyDescent="0.15">
      <c r="A645" s="6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</row>
    <row r="646" spans="1:21" ht="13" x14ac:dyDescent="0.15">
      <c r="A646" s="6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</row>
    <row r="647" spans="1:21" ht="13" x14ac:dyDescent="0.15">
      <c r="A647" s="6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</row>
    <row r="648" spans="1:21" ht="13" x14ac:dyDescent="0.15">
      <c r="A648" s="6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</row>
    <row r="649" spans="1:21" ht="13" x14ac:dyDescent="0.15">
      <c r="A649" s="6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</row>
    <row r="650" spans="1:21" ht="13" x14ac:dyDescent="0.15">
      <c r="A650" s="6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</row>
    <row r="651" spans="1:21" ht="13" x14ac:dyDescent="0.15">
      <c r="A651" s="6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</row>
    <row r="652" spans="1:21" ht="13" x14ac:dyDescent="0.15">
      <c r="A652" s="6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</row>
    <row r="653" spans="1:21" ht="13" x14ac:dyDescent="0.15">
      <c r="A653" s="6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</row>
    <row r="654" spans="1:21" ht="13" x14ac:dyDescent="0.15">
      <c r="A654" s="6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</row>
    <row r="655" spans="1:21" ht="13" x14ac:dyDescent="0.15">
      <c r="A655" s="6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</row>
    <row r="656" spans="1:21" ht="13" x14ac:dyDescent="0.15">
      <c r="A656" s="6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</row>
    <row r="657" spans="1:21" ht="13" x14ac:dyDescent="0.15">
      <c r="A657" s="6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</row>
    <row r="658" spans="1:21" ht="13" x14ac:dyDescent="0.15">
      <c r="A658" s="6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</row>
    <row r="659" spans="1:21" ht="13" x14ac:dyDescent="0.15">
      <c r="A659" s="6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</row>
    <row r="660" spans="1:21" ht="13" x14ac:dyDescent="0.15">
      <c r="A660" s="6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</row>
    <row r="661" spans="1:21" ht="13" x14ac:dyDescent="0.15">
      <c r="A661" s="6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</row>
    <row r="662" spans="1:21" ht="13" x14ac:dyDescent="0.15">
      <c r="A662" s="6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</row>
    <row r="663" spans="1:21" ht="13" x14ac:dyDescent="0.15">
      <c r="A663" s="6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</row>
    <row r="664" spans="1:21" ht="13" x14ac:dyDescent="0.15">
      <c r="A664" s="6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</row>
    <row r="665" spans="1:21" ht="13" x14ac:dyDescent="0.15">
      <c r="A665" s="6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</row>
    <row r="666" spans="1:21" ht="13" x14ac:dyDescent="0.15">
      <c r="A666" s="6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</row>
    <row r="667" spans="1:21" ht="13" x14ac:dyDescent="0.15">
      <c r="A667" s="6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</row>
    <row r="668" spans="1:21" ht="13" x14ac:dyDescent="0.15">
      <c r="A668" s="6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</row>
    <row r="669" spans="1:21" ht="13" x14ac:dyDescent="0.15">
      <c r="A669" s="6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</row>
    <row r="670" spans="1:21" ht="13" x14ac:dyDescent="0.15">
      <c r="A670" s="6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</row>
    <row r="671" spans="1:21" ht="13" x14ac:dyDescent="0.15">
      <c r="A671" s="6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</row>
    <row r="672" spans="1:21" ht="13" x14ac:dyDescent="0.15">
      <c r="A672" s="6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</row>
    <row r="673" spans="1:21" ht="13" x14ac:dyDescent="0.15">
      <c r="A673" s="6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</row>
    <row r="674" spans="1:21" ht="13" x14ac:dyDescent="0.15">
      <c r="A674" s="6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</row>
    <row r="675" spans="1:21" ht="13" x14ac:dyDescent="0.15">
      <c r="A675" s="62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</row>
    <row r="676" spans="1:21" ht="13" x14ac:dyDescent="0.15">
      <c r="A676" s="62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</row>
    <row r="677" spans="1:21" ht="13" x14ac:dyDescent="0.15">
      <c r="A677" s="62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</row>
    <row r="678" spans="1:21" ht="13" x14ac:dyDescent="0.15">
      <c r="A678" s="62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</row>
    <row r="679" spans="1:21" ht="13" x14ac:dyDescent="0.15">
      <c r="A679" s="62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</row>
    <row r="680" spans="1:21" ht="13" x14ac:dyDescent="0.15">
      <c r="A680" s="62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</row>
    <row r="681" spans="1:21" ht="13" x14ac:dyDescent="0.15">
      <c r="A681" s="62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</row>
    <row r="682" spans="1:21" ht="13" x14ac:dyDescent="0.15">
      <c r="A682" s="62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</row>
    <row r="683" spans="1:21" ht="13" x14ac:dyDescent="0.15">
      <c r="A683" s="62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</row>
    <row r="684" spans="1:21" ht="13" x14ac:dyDescent="0.15">
      <c r="A684" s="62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</row>
    <row r="685" spans="1:21" ht="13" x14ac:dyDescent="0.15">
      <c r="A685" s="62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</row>
    <row r="686" spans="1:21" ht="13" x14ac:dyDescent="0.15">
      <c r="A686" s="62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</row>
    <row r="687" spans="1:21" ht="13" x14ac:dyDescent="0.15">
      <c r="A687" s="62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</row>
    <row r="688" spans="1:21" ht="13" x14ac:dyDescent="0.15">
      <c r="A688" s="62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</row>
    <row r="689" spans="1:21" ht="13" x14ac:dyDescent="0.15">
      <c r="A689" s="62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</row>
    <row r="690" spans="1:21" ht="13" x14ac:dyDescent="0.15">
      <c r="A690" s="62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</row>
    <row r="691" spans="1:21" ht="13" x14ac:dyDescent="0.15">
      <c r="A691" s="62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</row>
    <row r="692" spans="1:21" ht="13" x14ac:dyDescent="0.15">
      <c r="A692" s="62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</row>
    <row r="693" spans="1:21" ht="13" x14ac:dyDescent="0.15">
      <c r="A693" s="62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</row>
    <row r="694" spans="1:21" ht="13" x14ac:dyDescent="0.15">
      <c r="A694" s="62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</row>
    <row r="695" spans="1:21" ht="13" x14ac:dyDescent="0.15">
      <c r="A695" s="62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</row>
    <row r="696" spans="1:21" ht="13" x14ac:dyDescent="0.15">
      <c r="A696" s="62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</row>
    <row r="697" spans="1:21" ht="13" x14ac:dyDescent="0.15">
      <c r="A697" s="62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</row>
    <row r="698" spans="1:21" ht="13" x14ac:dyDescent="0.15">
      <c r="A698" s="62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</row>
    <row r="699" spans="1:21" ht="13" x14ac:dyDescent="0.15">
      <c r="A699" s="62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</row>
    <row r="700" spans="1:21" ht="13" x14ac:dyDescent="0.15">
      <c r="A700" s="62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</row>
    <row r="701" spans="1:21" ht="13" x14ac:dyDescent="0.15">
      <c r="A701" s="62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</row>
    <row r="702" spans="1:21" ht="13" x14ac:dyDescent="0.15">
      <c r="A702" s="62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</row>
    <row r="703" spans="1:21" ht="13" x14ac:dyDescent="0.15">
      <c r="A703" s="62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</row>
    <row r="704" spans="1:21" ht="13" x14ac:dyDescent="0.15">
      <c r="A704" s="62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</row>
    <row r="705" spans="1:21" ht="13" x14ac:dyDescent="0.15">
      <c r="A705" s="62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</row>
    <row r="706" spans="1:21" ht="13" x14ac:dyDescent="0.15">
      <c r="A706" s="62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</row>
    <row r="707" spans="1:21" ht="13" x14ac:dyDescent="0.15">
      <c r="A707" s="62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</row>
    <row r="708" spans="1:21" ht="13" x14ac:dyDescent="0.15">
      <c r="A708" s="62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</row>
    <row r="709" spans="1:21" ht="13" x14ac:dyDescent="0.15">
      <c r="A709" s="62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</row>
    <row r="710" spans="1:21" ht="13" x14ac:dyDescent="0.15">
      <c r="A710" s="62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</row>
    <row r="711" spans="1:21" ht="13" x14ac:dyDescent="0.15">
      <c r="A711" s="62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</row>
    <row r="712" spans="1:21" ht="13" x14ac:dyDescent="0.15">
      <c r="A712" s="62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</row>
    <row r="713" spans="1:21" ht="13" x14ac:dyDescent="0.15">
      <c r="A713" s="62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</row>
    <row r="714" spans="1:21" ht="13" x14ac:dyDescent="0.15">
      <c r="A714" s="62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</row>
    <row r="715" spans="1:21" ht="13" x14ac:dyDescent="0.15">
      <c r="A715" s="62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</row>
    <row r="716" spans="1:21" ht="13" x14ac:dyDescent="0.15">
      <c r="A716" s="62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</row>
    <row r="717" spans="1:21" ht="13" x14ac:dyDescent="0.15">
      <c r="A717" s="62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</row>
    <row r="718" spans="1:21" ht="13" x14ac:dyDescent="0.15">
      <c r="A718" s="62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</row>
    <row r="719" spans="1:21" ht="13" x14ac:dyDescent="0.15">
      <c r="A719" s="62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</row>
    <row r="720" spans="1:21" ht="13" x14ac:dyDescent="0.15">
      <c r="A720" s="62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</row>
    <row r="721" spans="1:21" ht="13" x14ac:dyDescent="0.15">
      <c r="A721" s="62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</row>
    <row r="722" spans="1:21" ht="13" x14ac:dyDescent="0.15">
      <c r="A722" s="62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</row>
    <row r="723" spans="1:21" ht="13" x14ac:dyDescent="0.15">
      <c r="A723" s="62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</row>
    <row r="724" spans="1:21" ht="13" x14ac:dyDescent="0.15">
      <c r="A724" s="62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</row>
    <row r="725" spans="1:21" ht="13" x14ac:dyDescent="0.15">
      <c r="A725" s="62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</row>
    <row r="726" spans="1:21" ht="13" x14ac:dyDescent="0.15">
      <c r="A726" s="62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</row>
    <row r="727" spans="1:21" ht="13" x14ac:dyDescent="0.15">
      <c r="A727" s="62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</row>
    <row r="728" spans="1:21" ht="13" x14ac:dyDescent="0.15">
      <c r="A728" s="62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</row>
    <row r="729" spans="1:21" ht="13" x14ac:dyDescent="0.15">
      <c r="A729" s="62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</row>
    <row r="730" spans="1:21" ht="13" x14ac:dyDescent="0.15">
      <c r="A730" s="62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</row>
    <row r="731" spans="1:21" ht="13" x14ac:dyDescent="0.15">
      <c r="A731" s="62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</row>
    <row r="732" spans="1:21" ht="13" x14ac:dyDescent="0.15">
      <c r="A732" s="62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</row>
    <row r="733" spans="1:21" ht="13" x14ac:dyDescent="0.15">
      <c r="A733" s="62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</row>
    <row r="734" spans="1:21" ht="13" x14ac:dyDescent="0.15">
      <c r="A734" s="62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</row>
    <row r="735" spans="1:21" ht="13" x14ac:dyDescent="0.15">
      <c r="A735" s="62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</row>
    <row r="736" spans="1:21" ht="13" x14ac:dyDescent="0.15">
      <c r="A736" s="62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</row>
    <row r="737" spans="1:21" ht="13" x14ac:dyDescent="0.15">
      <c r="A737" s="62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</row>
    <row r="738" spans="1:21" ht="13" x14ac:dyDescent="0.15">
      <c r="A738" s="62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</row>
    <row r="739" spans="1:21" ht="13" x14ac:dyDescent="0.15">
      <c r="A739" s="62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</row>
    <row r="740" spans="1:21" ht="13" x14ac:dyDescent="0.15">
      <c r="A740" s="62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</row>
    <row r="741" spans="1:21" ht="13" x14ac:dyDescent="0.15">
      <c r="A741" s="62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</row>
    <row r="742" spans="1:21" ht="13" x14ac:dyDescent="0.15">
      <c r="A742" s="62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</row>
    <row r="743" spans="1:21" ht="13" x14ac:dyDescent="0.15">
      <c r="A743" s="62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</row>
    <row r="744" spans="1:21" ht="13" x14ac:dyDescent="0.15">
      <c r="A744" s="62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</row>
    <row r="745" spans="1:21" ht="13" x14ac:dyDescent="0.15">
      <c r="A745" s="62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</row>
    <row r="746" spans="1:21" ht="13" x14ac:dyDescent="0.15">
      <c r="A746" s="62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</row>
    <row r="747" spans="1:21" ht="13" x14ac:dyDescent="0.15">
      <c r="A747" s="62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</row>
    <row r="748" spans="1:21" ht="13" x14ac:dyDescent="0.15">
      <c r="A748" s="62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</row>
    <row r="749" spans="1:21" ht="13" x14ac:dyDescent="0.15">
      <c r="A749" s="62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</row>
    <row r="750" spans="1:21" ht="13" x14ac:dyDescent="0.15">
      <c r="A750" s="62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</row>
    <row r="751" spans="1:21" ht="13" x14ac:dyDescent="0.15">
      <c r="A751" s="62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</row>
    <row r="752" spans="1:21" ht="13" x14ac:dyDescent="0.15">
      <c r="A752" s="62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</row>
    <row r="753" spans="1:21" ht="13" x14ac:dyDescent="0.15">
      <c r="A753" s="62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</row>
    <row r="754" spans="1:21" ht="13" x14ac:dyDescent="0.15">
      <c r="A754" s="62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</row>
    <row r="755" spans="1:21" ht="13" x14ac:dyDescent="0.15">
      <c r="A755" s="62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</row>
    <row r="756" spans="1:21" ht="13" x14ac:dyDescent="0.15">
      <c r="A756" s="62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</row>
    <row r="757" spans="1:21" ht="13" x14ac:dyDescent="0.15">
      <c r="A757" s="62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</row>
    <row r="758" spans="1:21" ht="13" x14ac:dyDescent="0.15">
      <c r="A758" s="62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</row>
    <row r="759" spans="1:21" ht="13" x14ac:dyDescent="0.15">
      <c r="A759" s="62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</row>
    <row r="760" spans="1:21" ht="13" x14ac:dyDescent="0.15">
      <c r="A760" s="62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</row>
    <row r="761" spans="1:21" ht="13" x14ac:dyDescent="0.15">
      <c r="A761" s="62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</row>
    <row r="762" spans="1:21" ht="13" x14ac:dyDescent="0.15">
      <c r="A762" s="62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</row>
    <row r="763" spans="1:21" ht="13" x14ac:dyDescent="0.15">
      <c r="A763" s="62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</row>
    <row r="764" spans="1:21" ht="13" x14ac:dyDescent="0.15">
      <c r="A764" s="62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</row>
    <row r="765" spans="1:21" ht="13" x14ac:dyDescent="0.15">
      <c r="A765" s="62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</row>
    <row r="766" spans="1:21" ht="13" x14ac:dyDescent="0.15">
      <c r="A766" s="62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</row>
    <row r="767" spans="1:21" ht="13" x14ac:dyDescent="0.15">
      <c r="A767" s="62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</row>
    <row r="768" spans="1:21" ht="13" x14ac:dyDescent="0.15">
      <c r="A768" s="62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</row>
    <row r="769" spans="1:21" ht="13" x14ac:dyDescent="0.15">
      <c r="A769" s="62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</row>
    <row r="770" spans="1:21" ht="13" x14ac:dyDescent="0.15">
      <c r="A770" s="62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</row>
    <row r="771" spans="1:21" ht="13" x14ac:dyDescent="0.15">
      <c r="A771" s="62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</row>
    <row r="772" spans="1:21" ht="13" x14ac:dyDescent="0.15">
      <c r="A772" s="62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</row>
    <row r="773" spans="1:21" ht="13" x14ac:dyDescent="0.15">
      <c r="A773" s="62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</row>
    <row r="774" spans="1:21" ht="13" x14ac:dyDescent="0.15">
      <c r="A774" s="62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</row>
    <row r="775" spans="1:21" ht="13" x14ac:dyDescent="0.15">
      <c r="A775" s="62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</row>
    <row r="776" spans="1:21" ht="13" x14ac:dyDescent="0.15">
      <c r="A776" s="62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</row>
    <row r="777" spans="1:21" ht="13" x14ac:dyDescent="0.15">
      <c r="A777" s="62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</row>
    <row r="778" spans="1:21" ht="13" x14ac:dyDescent="0.15">
      <c r="A778" s="62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</row>
    <row r="779" spans="1:21" ht="13" x14ac:dyDescent="0.15">
      <c r="A779" s="62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</row>
    <row r="780" spans="1:21" ht="13" x14ac:dyDescent="0.15">
      <c r="A780" s="62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</row>
    <row r="781" spans="1:21" ht="13" x14ac:dyDescent="0.15">
      <c r="A781" s="62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</row>
    <row r="782" spans="1:21" ht="13" x14ac:dyDescent="0.15">
      <c r="A782" s="62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</row>
    <row r="783" spans="1:21" ht="13" x14ac:dyDescent="0.15">
      <c r="A783" s="62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</row>
    <row r="784" spans="1:21" ht="13" x14ac:dyDescent="0.15">
      <c r="A784" s="62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</row>
    <row r="785" spans="1:21" ht="13" x14ac:dyDescent="0.15">
      <c r="A785" s="62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</row>
    <row r="786" spans="1:21" ht="13" x14ac:dyDescent="0.15">
      <c r="A786" s="62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</row>
    <row r="787" spans="1:21" ht="13" x14ac:dyDescent="0.15">
      <c r="A787" s="62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</row>
    <row r="788" spans="1:21" ht="13" x14ac:dyDescent="0.15">
      <c r="A788" s="62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</row>
    <row r="789" spans="1:21" ht="13" x14ac:dyDescent="0.15">
      <c r="A789" s="62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</row>
    <row r="790" spans="1:21" ht="13" x14ac:dyDescent="0.15">
      <c r="A790" s="62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</row>
    <row r="791" spans="1:21" ht="13" x14ac:dyDescent="0.15">
      <c r="A791" s="62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</row>
    <row r="792" spans="1:21" ht="13" x14ac:dyDescent="0.15">
      <c r="A792" s="62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</row>
    <row r="793" spans="1:21" ht="13" x14ac:dyDescent="0.15">
      <c r="A793" s="62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</row>
    <row r="794" spans="1:21" ht="13" x14ac:dyDescent="0.15">
      <c r="A794" s="62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</row>
    <row r="795" spans="1:21" ht="13" x14ac:dyDescent="0.15">
      <c r="A795" s="62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</row>
    <row r="796" spans="1:21" ht="13" x14ac:dyDescent="0.15">
      <c r="A796" s="62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</row>
    <row r="797" spans="1:21" ht="13" x14ac:dyDescent="0.15">
      <c r="A797" s="62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</row>
    <row r="798" spans="1:21" ht="13" x14ac:dyDescent="0.15">
      <c r="A798" s="62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</row>
    <row r="799" spans="1:21" ht="13" x14ac:dyDescent="0.15">
      <c r="A799" s="62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</row>
    <row r="800" spans="1:21" ht="13" x14ac:dyDescent="0.15">
      <c r="A800" s="62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</row>
    <row r="801" spans="1:21" ht="13" x14ac:dyDescent="0.15">
      <c r="A801" s="62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</row>
    <row r="802" spans="1:21" ht="13" x14ac:dyDescent="0.15">
      <c r="A802" s="62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</row>
    <row r="803" spans="1:21" ht="13" x14ac:dyDescent="0.15">
      <c r="A803" s="62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</row>
    <row r="804" spans="1:21" ht="13" x14ac:dyDescent="0.15">
      <c r="A804" s="62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</row>
    <row r="805" spans="1:21" ht="13" x14ac:dyDescent="0.15">
      <c r="A805" s="62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</row>
    <row r="806" spans="1:21" ht="13" x14ac:dyDescent="0.15">
      <c r="A806" s="62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</row>
    <row r="807" spans="1:21" ht="13" x14ac:dyDescent="0.15">
      <c r="A807" s="62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</row>
    <row r="808" spans="1:21" ht="13" x14ac:dyDescent="0.15">
      <c r="A808" s="62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</row>
    <row r="809" spans="1:21" ht="13" x14ac:dyDescent="0.15">
      <c r="A809" s="62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</row>
    <row r="810" spans="1:21" ht="13" x14ac:dyDescent="0.15">
      <c r="A810" s="62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</row>
    <row r="811" spans="1:21" ht="13" x14ac:dyDescent="0.15">
      <c r="A811" s="62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</row>
    <row r="812" spans="1:21" ht="13" x14ac:dyDescent="0.15">
      <c r="A812" s="62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</row>
    <row r="813" spans="1:21" ht="13" x14ac:dyDescent="0.15">
      <c r="A813" s="62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</row>
    <row r="814" spans="1:21" ht="13" x14ac:dyDescent="0.15">
      <c r="A814" s="62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</row>
    <row r="815" spans="1:21" ht="13" x14ac:dyDescent="0.15">
      <c r="A815" s="62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</row>
    <row r="816" spans="1:21" ht="13" x14ac:dyDescent="0.15">
      <c r="A816" s="62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</row>
    <row r="817" spans="1:21" ht="13" x14ac:dyDescent="0.15">
      <c r="A817" s="62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</row>
    <row r="818" spans="1:21" ht="13" x14ac:dyDescent="0.15">
      <c r="A818" s="62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</row>
    <row r="819" spans="1:21" ht="13" x14ac:dyDescent="0.15">
      <c r="A819" s="62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</row>
    <row r="820" spans="1:21" ht="13" x14ac:dyDescent="0.15">
      <c r="A820" s="62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</row>
    <row r="821" spans="1:21" ht="13" x14ac:dyDescent="0.15">
      <c r="A821" s="62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</row>
    <row r="822" spans="1:21" ht="13" x14ac:dyDescent="0.15">
      <c r="A822" s="62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</row>
    <row r="823" spans="1:21" ht="13" x14ac:dyDescent="0.15">
      <c r="A823" s="62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</row>
    <row r="824" spans="1:21" ht="13" x14ac:dyDescent="0.15">
      <c r="A824" s="62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</row>
    <row r="825" spans="1:21" ht="13" x14ac:dyDescent="0.15">
      <c r="A825" s="62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</row>
    <row r="826" spans="1:21" ht="13" x14ac:dyDescent="0.15">
      <c r="A826" s="62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</row>
    <row r="827" spans="1:21" ht="13" x14ac:dyDescent="0.15">
      <c r="A827" s="62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</row>
    <row r="828" spans="1:21" ht="13" x14ac:dyDescent="0.15">
      <c r="A828" s="62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</row>
    <row r="829" spans="1:21" ht="13" x14ac:dyDescent="0.15">
      <c r="A829" s="62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</row>
    <row r="830" spans="1:21" ht="13" x14ac:dyDescent="0.15">
      <c r="A830" s="62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</row>
    <row r="831" spans="1:21" ht="13" x14ac:dyDescent="0.15">
      <c r="A831" s="62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</row>
    <row r="832" spans="1:21" ht="13" x14ac:dyDescent="0.15">
      <c r="A832" s="62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</row>
    <row r="833" spans="1:21" ht="13" x14ac:dyDescent="0.15">
      <c r="A833" s="62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</row>
    <row r="834" spans="1:21" ht="13" x14ac:dyDescent="0.15">
      <c r="A834" s="62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</row>
    <row r="835" spans="1:21" ht="13" x14ac:dyDescent="0.15">
      <c r="A835" s="62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</row>
    <row r="836" spans="1:21" ht="13" x14ac:dyDescent="0.15">
      <c r="A836" s="62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</row>
    <row r="837" spans="1:21" ht="13" x14ac:dyDescent="0.15">
      <c r="A837" s="62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</row>
    <row r="838" spans="1:21" ht="13" x14ac:dyDescent="0.15">
      <c r="A838" s="62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</row>
    <row r="839" spans="1:21" ht="13" x14ac:dyDescent="0.15">
      <c r="A839" s="62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</row>
    <row r="840" spans="1:21" ht="13" x14ac:dyDescent="0.15">
      <c r="A840" s="62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</row>
    <row r="841" spans="1:21" ht="13" x14ac:dyDescent="0.15">
      <c r="A841" s="62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</row>
    <row r="842" spans="1:21" ht="13" x14ac:dyDescent="0.15">
      <c r="A842" s="62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</row>
    <row r="843" spans="1:21" ht="13" x14ac:dyDescent="0.15">
      <c r="A843" s="62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</row>
    <row r="844" spans="1:21" ht="13" x14ac:dyDescent="0.15">
      <c r="A844" s="62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</row>
    <row r="845" spans="1:21" ht="13" x14ac:dyDescent="0.15">
      <c r="A845" s="62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</row>
    <row r="846" spans="1:21" ht="13" x14ac:dyDescent="0.15">
      <c r="A846" s="62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</row>
    <row r="847" spans="1:21" ht="13" x14ac:dyDescent="0.15">
      <c r="A847" s="62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</row>
    <row r="848" spans="1:21" ht="13" x14ac:dyDescent="0.15">
      <c r="A848" s="62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</row>
    <row r="849" spans="1:21" ht="13" x14ac:dyDescent="0.15">
      <c r="A849" s="62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</row>
    <row r="850" spans="1:21" ht="13" x14ac:dyDescent="0.15">
      <c r="A850" s="62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</row>
    <row r="851" spans="1:21" ht="13" x14ac:dyDescent="0.15">
      <c r="A851" s="62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</row>
    <row r="852" spans="1:21" ht="13" x14ac:dyDescent="0.15">
      <c r="A852" s="62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</row>
    <row r="853" spans="1:21" ht="13" x14ac:dyDescent="0.15">
      <c r="A853" s="62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</row>
    <row r="854" spans="1:21" ht="13" x14ac:dyDescent="0.15">
      <c r="A854" s="62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</row>
    <row r="855" spans="1:21" ht="13" x14ac:dyDescent="0.15">
      <c r="A855" s="62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</row>
    <row r="856" spans="1:21" ht="13" x14ac:dyDescent="0.15">
      <c r="A856" s="62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</row>
    <row r="857" spans="1:21" ht="13" x14ac:dyDescent="0.15">
      <c r="A857" s="62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</row>
    <row r="858" spans="1:21" ht="13" x14ac:dyDescent="0.15">
      <c r="A858" s="62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</row>
    <row r="859" spans="1:21" ht="13" x14ac:dyDescent="0.15">
      <c r="A859" s="62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</row>
    <row r="860" spans="1:21" ht="13" x14ac:dyDescent="0.15">
      <c r="A860" s="62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</row>
    <row r="861" spans="1:21" ht="13" x14ac:dyDescent="0.15">
      <c r="A861" s="62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</row>
    <row r="862" spans="1:21" ht="13" x14ac:dyDescent="0.15">
      <c r="A862" s="62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</row>
    <row r="863" spans="1:21" ht="13" x14ac:dyDescent="0.15">
      <c r="A863" s="62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</row>
    <row r="864" spans="1:21" ht="13" x14ac:dyDescent="0.15">
      <c r="A864" s="62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</row>
    <row r="865" spans="1:21" ht="13" x14ac:dyDescent="0.15">
      <c r="A865" s="62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</row>
    <row r="866" spans="1:21" ht="13" x14ac:dyDescent="0.15">
      <c r="A866" s="62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</row>
    <row r="867" spans="1:21" ht="13" x14ac:dyDescent="0.15">
      <c r="A867" s="62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</row>
    <row r="868" spans="1:21" ht="13" x14ac:dyDescent="0.15">
      <c r="A868" s="62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</row>
    <row r="869" spans="1:21" ht="13" x14ac:dyDescent="0.15">
      <c r="A869" s="62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</row>
    <row r="870" spans="1:21" ht="13" x14ac:dyDescent="0.15">
      <c r="A870" s="62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</row>
    <row r="871" spans="1:21" ht="13" x14ac:dyDescent="0.15">
      <c r="A871" s="62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</row>
    <row r="872" spans="1:21" ht="13" x14ac:dyDescent="0.15">
      <c r="A872" s="62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</row>
    <row r="873" spans="1:21" ht="13" x14ac:dyDescent="0.15">
      <c r="A873" s="62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</row>
    <row r="874" spans="1:21" ht="13" x14ac:dyDescent="0.15">
      <c r="A874" s="62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</row>
    <row r="875" spans="1:21" ht="13" x14ac:dyDescent="0.15">
      <c r="A875" s="62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</row>
    <row r="876" spans="1:21" ht="13" x14ac:dyDescent="0.15">
      <c r="A876" s="62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</row>
    <row r="877" spans="1:21" ht="13" x14ac:dyDescent="0.15">
      <c r="A877" s="62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</row>
    <row r="878" spans="1:21" ht="13" x14ac:dyDescent="0.15">
      <c r="A878" s="62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</row>
    <row r="879" spans="1:21" ht="13" x14ac:dyDescent="0.15">
      <c r="A879" s="62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</row>
    <row r="880" spans="1:21" ht="13" x14ac:dyDescent="0.15">
      <c r="A880" s="62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</row>
    <row r="881" spans="1:21" ht="13" x14ac:dyDescent="0.15">
      <c r="A881" s="62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</row>
    <row r="882" spans="1:21" ht="13" x14ac:dyDescent="0.15">
      <c r="A882" s="62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</row>
    <row r="883" spans="1:21" ht="13" x14ac:dyDescent="0.15">
      <c r="A883" s="62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</row>
    <row r="884" spans="1:21" ht="13" x14ac:dyDescent="0.15">
      <c r="A884" s="62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</row>
    <row r="885" spans="1:21" ht="13" x14ac:dyDescent="0.15">
      <c r="A885" s="62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</row>
    <row r="886" spans="1:21" ht="13" x14ac:dyDescent="0.15">
      <c r="A886" s="62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</row>
    <row r="887" spans="1:21" ht="13" x14ac:dyDescent="0.15">
      <c r="A887" s="62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</row>
    <row r="888" spans="1:21" ht="13" x14ac:dyDescent="0.15">
      <c r="A888" s="62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</row>
    <row r="889" spans="1:21" ht="13" x14ac:dyDescent="0.15">
      <c r="A889" s="62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</row>
    <row r="890" spans="1:21" ht="13" x14ac:dyDescent="0.15">
      <c r="A890" s="62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</row>
    <row r="891" spans="1:21" ht="13" x14ac:dyDescent="0.15">
      <c r="A891" s="62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</row>
    <row r="892" spans="1:21" ht="13" x14ac:dyDescent="0.15">
      <c r="A892" s="62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</row>
    <row r="893" spans="1:21" ht="13" x14ac:dyDescent="0.15">
      <c r="A893" s="62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</row>
    <row r="894" spans="1:21" ht="13" x14ac:dyDescent="0.15">
      <c r="A894" s="62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</row>
    <row r="895" spans="1:21" ht="13" x14ac:dyDescent="0.15">
      <c r="A895" s="62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</row>
    <row r="896" spans="1:21" ht="13" x14ac:dyDescent="0.15">
      <c r="A896" s="62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</row>
    <row r="897" spans="1:21" ht="13" x14ac:dyDescent="0.15">
      <c r="A897" s="62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</row>
    <row r="898" spans="1:21" ht="13" x14ac:dyDescent="0.15">
      <c r="A898" s="62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</row>
    <row r="899" spans="1:21" ht="13" x14ac:dyDescent="0.15">
      <c r="A899" s="62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</row>
    <row r="900" spans="1:21" ht="13" x14ac:dyDescent="0.15">
      <c r="A900" s="62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</row>
    <row r="901" spans="1:21" ht="13" x14ac:dyDescent="0.15">
      <c r="A901" s="62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</row>
    <row r="902" spans="1:21" ht="13" x14ac:dyDescent="0.15">
      <c r="A902" s="62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</row>
    <row r="903" spans="1:21" ht="13" x14ac:dyDescent="0.15">
      <c r="A903" s="62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</row>
    <row r="904" spans="1:21" ht="13" x14ac:dyDescent="0.15">
      <c r="A904" s="62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</row>
    <row r="905" spans="1:21" ht="13" x14ac:dyDescent="0.15">
      <c r="A905" s="62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</row>
    <row r="906" spans="1:21" ht="13" x14ac:dyDescent="0.15">
      <c r="A906" s="62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</row>
    <row r="907" spans="1:21" ht="13" x14ac:dyDescent="0.15">
      <c r="A907" s="62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</row>
    <row r="908" spans="1:21" ht="13" x14ac:dyDescent="0.15">
      <c r="A908" s="62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</row>
    <row r="909" spans="1:21" ht="13" x14ac:dyDescent="0.15">
      <c r="A909" s="62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</row>
    <row r="910" spans="1:21" ht="13" x14ac:dyDescent="0.15">
      <c r="A910" s="62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</row>
    <row r="911" spans="1:21" ht="13" x14ac:dyDescent="0.15">
      <c r="A911" s="62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</row>
    <row r="912" spans="1:21" ht="13" x14ac:dyDescent="0.15">
      <c r="A912" s="62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</row>
    <row r="913" spans="1:21" ht="13" x14ac:dyDescent="0.15">
      <c r="A913" s="62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</row>
    <row r="914" spans="1:21" ht="13" x14ac:dyDescent="0.15">
      <c r="A914" s="62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</row>
    <row r="915" spans="1:21" ht="13" x14ac:dyDescent="0.15">
      <c r="A915" s="62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</row>
    <row r="916" spans="1:21" ht="13" x14ac:dyDescent="0.15">
      <c r="A916" s="62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</row>
    <row r="917" spans="1:21" ht="13" x14ac:dyDescent="0.15">
      <c r="A917" s="62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</row>
    <row r="918" spans="1:21" ht="13" x14ac:dyDescent="0.15">
      <c r="A918" s="62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</row>
    <row r="919" spans="1:21" ht="13" x14ac:dyDescent="0.15">
      <c r="A919" s="62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</row>
    <row r="920" spans="1:21" ht="13" x14ac:dyDescent="0.15">
      <c r="A920" s="62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</row>
    <row r="921" spans="1:21" ht="13" x14ac:dyDescent="0.15">
      <c r="A921" s="62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</row>
    <row r="922" spans="1:21" ht="13" x14ac:dyDescent="0.15">
      <c r="A922" s="62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</row>
    <row r="923" spans="1:21" ht="13" x14ac:dyDescent="0.15">
      <c r="A923" s="62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</row>
    <row r="924" spans="1:21" ht="13" x14ac:dyDescent="0.15">
      <c r="A924" s="62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</row>
    <row r="925" spans="1:21" ht="13" x14ac:dyDescent="0.15">
      <c r="A925" s="62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</row>
    <row r="926" spans="1:21" ht="13" x14ac:dyDescent="0.15">
      <c r="A926" s="62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</row>
    <row r="927" spans="1:21" ht="13" x14ac:dyDescent="0.15">
      <c r="A927" s="62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</row>
    <row r="928" spans="1:21" ht="13" x14ac:dyDescent="0.15">
      <c r="A928" s="62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</row>
    <row r="929" spans="1:21" ht="13" x14ac:dyDescent="0.15">
      <c r="A929" s="62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</row>
    <row r="930" spans="1:21" ht="13" x14ac:dyDescent="0.15">
      <c r="A930" s="62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</row>
    <row r="931" spans="1:21" ht="13" x14ac:dyDescent="0.15">
      <c r="A931" s="62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</row>
    <row r="932" spans="1:21" ht="13" x14ac:dyDescent="0.15">
      <c r="A932" s="62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</row>
    <row r="933" spans="1:21" ht="13" x14ac:dyDescent="0.15">
      <c r="A933" s="62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</row>
    <row r="934" spans="1:21" ht="13" x14ac:dyDescent="0.15">
      <c r="A934" s="62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</row>
    <row r="935" spans="1:21" ht="13" x14ac:dyDescent="0.15">
      <c r="A935" s="62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</row>
    <row r="936" spans="1:21" ht="13" x14ac:dyDescent="0.15">
      <c r="A936" s="62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</row>
    <row r="937" spans="1:21" ht="13" x14ac:dyDescent="0.15">
      <c r="A937" s="62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</row>
    <row r="938" spans="1:21" ht="13" x14ac:dyDescent="0.15">
      <c r="A938" s="62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</row>
    <row r="939" spans="1:21" ht="13" x14ac:dyDescent="0.15">
      <c r="A939" s="62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</row>
    <row r="940" spans="1:21" ht="13" x14ac:dyDescent="0.15">
      <c r="A940" s="62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</row>
    <row r="941" spans="1:21" ht="13" x14ac:dyDescent="0.15">
      <c r="A941" s="62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</row>
    <row r="942" spans="1:21" ht="13" x14ac:dyDescent="0.15">
      <c r="A942" s="62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</row>
    <row r="943" spans="1:21" ht="13" x14ac:dyDescent="0.15">
      <c r="A943" s="62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</row>
    <row r="944" spans="1:21" ht="13" x14ac:dyDescent="0.15">
      <c r="A944" s="62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</row>
    <row r="945" spans="1:21" ht="13" x14ac:dyDescent="0.15">
      <c r="A945" s="62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</row>
    <row r="946" spans="1:21" ht="13" x14ac:dyDescent="0.15">
      <c r="A946" s="62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</row>
    <row r="947" spans="1:21" ht="13" x14ac:dyDescent="0.15">
      <c r="A947" s="62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</row>
    <row r="948" spans="1:21" ht="13" x14ac:dyDescent="0.15">
      <c r="A948" s="62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</row>
    <row r="949" spans="1:21" ht="13" x14ac:dyDescent="0.15">
      <c r="A949" s="62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</row>
    <row r="950" spans="1:21" ht="13" x14ac:dyDescent="0.15">
      <c r="A950" s="62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</row>
    <row r="951" spans="1:21" ht="13" x14ac:dyDescent="0.15">
      <c r="A951" s="62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</row>
    <row r="952" spans="1:21" ht="13" x14ac:dyDescent="0.15">
      <c r="A952" s="62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</row>
    <row r="953" spans="1:21" ht="13" x14ac:dyDescent="0.15">
      <c r="A953" s="62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</row>
    <row r="954" spans="1:21" ht="13" x14ac:dyDescent="0.15">
      <c r="A954" s="62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</row>
    <row r="955" spans="1:21" ht="13" x14ac:dyDescent="0.15">
      <c r="A955" s="62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</row>
    <row r="956" spans="1:21" ht="13" x14ac:dyDescent="0.15">
      <c r="A956" s="62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</row>
    <row r="957" spans="1:21" ht="13" x14ac:dyDescent="0.15">
      <c r="A957" s="62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</row>
    <row r="958" spans="1:21" ht="13" x14ac:dyDescent="0.15">
      <c r="A958" s="62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</row>
    <row r="959" spans="1:21" ht="13" x14ac:dyDescent="0.15">
      <c r="A959" s="62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</row>
    <row r="960" spans="1:21" ht="13" x14ac:dyDescent="0.15">
      <c r="A960" s="62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</row>
    <row r="961" spans="1:21" ht="13" x14ac:dyDescent="0.15">
      <c r="A961" s="62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</row>
    <row r="962" spans="1:21" ht="13" x14ac:dyDescent="0.15">
      <c r="A962" s="62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</row>
    <row r="963" spans="1:21" ht="13" x14ac:dyDescent="0.15">
      <c r="A963" s="62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</row>
    <row r="964" spans="1:21" ht="13" x14ac:dyDescent="0.15">
      <c r="A964" s="62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</row>
    <row r="965" spans="1:21" ht="13" x14ac:dyDescent="0.15">
      <c r="A965" s="62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</row>
    <row r="966" spans="1:21" ht="13" x14ac:dyDescent="0.15">
      <c r="A966" s="62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</row>
    <row r="967" spans="1:21" ht="13" x14ac:dyDescent="0.15">
      <c r="A967" s="62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</row>
    <row r="968" spans="1:21" ht="13" x14ac:dyDescent="0.15">
      <c r="A968" s="62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</row>
    <row r="969" spans="1:21" ht="13" x14ac:dyDescent="0.15">
      <c r="A969" s="62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</row>
    <row r="970" spans="1:21" ht="13" x14ac:dyDescent="0.15">
      <c r="A970" s="62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</row>
    <row r="971" spans="1:21" ht="13" x14ac:dyDescent="0.15">
      <c r="A971" s="62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</row>
    <row r="972" spans="1:21" ht="13" x14ac:dyDescent="0.15">
      <c r="A972" s="62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</row>
    <row r="973" spans="1:21" ht="13" x14ac:dyDescent="0.15">
      <c r="A973" s="62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</row>
    <row r="974" spans="1:21" ht="13" x14ac:dyDescent="0.15">
      <c r="A974" s="62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</row>
    <row r="975" spans="1:21" ht="13" x14ac:dyDescent="0.15">
      <c r="A975" s="62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</row>
    <row r="976" spans="1:21" ht="13" x14ac:dyDescent="0.15">
      <c r="A976" s="62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</row>
    <row r="977" spans="1:21" ht="13" x14ac:dyDescent="0.15">
      <c r="A977" s="62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</row>
    <row r="978" spans="1:21" ht="13" x14ac:dyDescent="0.15">
      <c r="A978" s="62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</row>
    <row r="979" spans="1:21" ht="13" x14ac:dyDescent="0.15">
      <c r="A979" s="62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</row>
    <row r="980" spans="1:21" ht="13" x14ac:dyDescent="0.15">
      <c r="A980" s="62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</row>
    <row r="981" spans="1:21" ht="13" x14ac:dyDescent="0.15">
      <c r="A981" s="62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</row>
    <row r="982" spans="1:21" ht="13" x14ac:dyDescent="0.15">
      <c r="A982" s="62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</row>
    <row r="983" spans="1:21" ht="13" x14ac:dyDescent="0.15">
      <c r="A983" s="62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</row>
    <row r="984" spans="1:21" ht="13" x14ac:dyDescent="0.15">
      <c r="A984" s="62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</row>
    <row r="985" spans="1:21" ht="13" x14ac:dyDescent="0.15">
      <c r="A985" s="62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</row>
    <row r="986" spans="1:21" ht="13" x14ac:dyDescent="0.15">
      <c r="A986" s="62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</row>
    <row r="987" spans="1:21" ht="13" x14ac:dyDescent="0.15">
      <c r="A987" s="62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</row>
    <row r="988" spans="1:21" ht="13" x14ac:dyDescent="0.15">
      <c r="A988" s="62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</row>
    <row r="989" spans="1:21" ht="13" x14ac:dyDescent="0.15">
      <c r="A989" s="62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</row>
    <row r="990" spans="1:21" ht="13" x14ac:dyDescent="0.15">
      <c r="A990" s="62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</row>
    <row r="991" spans="1:21" ht="13" x14ac:dyDescent="0.15">
      <c r="A991" s="62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</row>
    <row r="992" spans="1:21" ht="13" x14ac:dyDescent="0.15">
      <c r="A992" s="62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</row>
    <row r="993" spans="1:21" ht="13" x14ac:dyDescent="0.15">
      <c r="A993" s="62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</row>
    <row r="994" spans="1:21" ht="13" x14ac:dyDescent="0.15">
      <c r="A994" s="62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</row>
    <row r="995" spans="1:21" ht="13" x14ac:dyDescent="0.15">
      <c r="A995" s="62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</row>
    <row r="996" spans="1:21" ht="13" x14ac:dyDescent="0.15">
      <c r="A996" s="62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</row>
    <row r="997" spans="1:21" ht="13" x14ac:dyDescent="0.15">
      <c r="A997" s="62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</row>
    <row r="998" spans="1:21" ht="13" x14ac:dyDescent="0.15">
      <c r="A998" s="62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</row>
    <row r="999" spans="1:21" ht="13" x14ac:dyDescent="0.15">
      <c r="A999" s="62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</row>
    <row r="1000" spans="1:21" ht="13" x14ac:dyDescent="0.15">
      <c r="A1000" s="62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</row>
    <row r="1001" spans="1:21" ht="13" x14ac:dyDescent="0.15">
      <c r="A1001" s="62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</row>
    <row r="1002" spans="1:21" ht="13" x14ac:dyDescent="0.15">
      <c r="A1002" s="62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</row>
  </sheetData>
  <mergeCells count="1">
    <mergeCell ref="F1:U1"/>
  </mergeCells>
  <conditionalFormatting sqref="D3:E3">
    <cfRule type="containsText" dxfId="10" priority="1" operator="containsText" text="hosteller">
      <formula>NOT(ISERROR(SEARCH(("hosteller"),(D3))))</formula>
    </cfRule>
  </conditionalFormatting>
  <printOptions horizontalCentered="1" gridLines="1"/>
  <pageMargins left="0.7" right="0.7" top="0.75" bottom="0.75" header="0" footer="0"/>
  <pageSetup paperSize="9" scale="15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999"/>
  <sheetViews>
    <sheetView workbookViewId="0">
      <selection activeCell="T42" sqref="T42"/>
    </sheetView>
  </sheetViews>
  <sheetFormatPr baseColWidth="10" defaultColWidth="12.6640625" defaultRowHeight="15.75" customHeight="1" x14ac:dyDescent="0.15"/>
  <cols>
    <col min="1" max="1" width="14.33203125" customWidth="1"/>
    <col min="2" max="3" width="20.6640625" customWidth="1"/>
    <col min="4" max="4" width="10.1640625" customWidth="1"/>
    <col min="5" max="5" width="11.83203125" customWidth="1"/>
    <col min="6" max="6" width="5.1640625" customWidth="1"/>
    <col min="7" max="7" width="5" customWidth="1"/>
    <col min="8" max="8" width="3.5" customWidth="1"/>
    <col min="9" max="9" width="5.1640625" customWidth="1"/>
    <col min="10" max="11" width="5.6640625" customWidth="1"/>
    <col min="12" max="12" width="5.5" customWidth="1"/>
    <col min="13" max="13" width="3.6640625" customWidth="1"/>
    <col min="14" max="14" width="4.5" customWidth="1"/>
    <col min="15" max="15" width="4.83203125" customWidth="1"/>
    <col min="16" max="16" width="4.6640625" customWidth="1"/>
    <col min="17" max="17" width="4.1640625" customWidth="1"/>
    <col min="18" max="18" width="5.6640625" customWidth="1"/>
    <col min="19" max="19" width="4.83203125" customWidth="1"/>
    <col min="20" max="20" width="4.1640625" customWidth="1"/>
    <col min="21" max="21" width="6.6640625" customWidth="1"/>
  </cols>
  <sheetData>
    <row r="1" spans="1:32" ht="13" x14ac:dyDescent="0.15">
      <c r="A1" s="52" t="s">
        <v>571</v>
      </c>
      <c r="B1" s="52" t="s">
        <v>15</v>
      </c>
      <c r="C1" s="52" t="s">
        <v>22</v>
      </c>
      <c r="D1" s="63"/>
      <c r="E1" s="63" t="s">
        <v>567</v>
      </c>
      <c r="F1" s="100" t="s">
        <v>550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32" ht="13" x14ac:dyDescent="0.15">
      <c r="A2" s="54">
        <f>COUNT(A4:A363)</f>
        <v>13</v>
      </c>
      <c r="B2" s="2">
        <f t="shared" ref="B2:C2" si="0">COUNTIF($E$4:$E$189,B1)</f>
        <v>8</v>
      </c>
      <c r="C2" s="2">
        <f t="shared" si="0"/>
        <v>5</v>
      </c>
      <c r="D2" s="64"/>
      <c r="E2" s="64">
        <f>SUM(F2:U2)</f>
        <v>360752</v>
      </c>
      <c r="F2" s="55">
        <f t="shared" ref="F2:G2" si="1">SUM(F$4:F$1000)</f>
        <v>16000</v>
      </c>
      <c r="G2" s="55">
        <f t="shared" si="1"/>
        <v>21500</v>
      </c>
      <c r="H2" s="55">
        <f>SUM(H4:H16)</f>
        <v>1500</v>
      </c>
      <c r="I2" s="55">
        <f t="shared" ref="I2:U2" si="2">SUM(I$4:I$1000)</f>
        <v>32000</v>
      </c>
      <c r="J2" s="55">
        <f t="shared" si="2"/>
        <v>32000</v>
      </c>
      <c r="K2" s="55">
        <f t="shared" si="2"/>
        <v>31000</v>
      </c>
      <c r="L2" s="55">
        <f t="shared" si="2"/>
        <v>32000</v>
      </c>
      <c r="M2" s="55">
        <f t="shared" si="2"/>
        <v>1500</v>
      </c>
      <c r="N2" s="55">
        <f t="shared" si="2"/>
        <v>32000</v>
      </c>
      <c r="O2" s="55">
        <f t="shared" si="2"/>
        <v>32000</v>
      </c>
      <c r="P2" s="55">
        <f t="shared" si="2"/>
        <v>32000</v>
      </c>
      <c r="Q2" s="55">
        <f t="shared" si="2"/>
        <v>1400</v>
      </c>
      <c r="R2" s="55">
        <f t="shared" si="2"/>
        <v>32000</v>
      </c>
      <c r="S2" s="55">
        <f t="shared" si="2"/>
        <v>31400</v>
      </c>
      <c r="T2" s="55">
        <f t="shared" si="2"/>
        <v>1050</v>
      </c>
      <c r="U2" s="55">
        <f t="shared" si="2"/>
        <v>31402</v>
      </c>
    </row>
    <row r="3" spans="1:32" ht="13" x14ac:dyDescent="0.15">
      <c r="A3" s="56" t="s">
        <v>551</v>
      </c>
      <c r="B3" s="56" t="s">
        <v>3</v>
      </c>
      <c r="C3" s="56" t="s">
        <v>552</v>
      </c>
      <c r="D3" s="57" t="s">
        <v>568</v>
      </c>
      <c r="E3" s="56" t="s">
        <v>2</v>
      </c>
      <c r="F3" s="56" t="s">
        <v>557</v>
      </c>
      <c r="G3" s="56" t="s">
        <v>558</v>
      </c>
      <c r="H3" s="56"/>
      <c r="I3" s="56" t="s">
        <v>559</v>
      </c>
      <c r="J3" s="56" t="s">
        <v>560</v>
      </c>
      <c r="K3" s="56" t="s">
        <v>561</v>
      </c>
      <c r="L3" s="56" t="s">
        <v>562</v>
      </c>
      <c r="M3" s="57" t="s">
        <v>570</v>
      </c>
      <c r="N3" s="56" t="s">
        <v>563</v>
      </c>
      <c r="O3" s="56" t="s">
        <v>564</v>
      </c>
      <c r="P3" s="56" t="s">
        <v>565</v>
      </c>
      <c r="Q3" s="57" t="s">
        <v>570</v>
      </c>
      <c r="R3" s="56" t="s">
        <v>554</v>
      </c>
      <c r="S3" s="56" t="s">
        <v>555</v>
      </c>
      <c r="T3" s="57" t="s">
        <v>570</v>
      </c>
      <c r="U3" s="56" t="s">
        <v>556</v>
      </c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spans="1:32" ht="13" x14ac:dyDescent="0.15">
      <c r="A4" s="58">
        <v>25</v>
      </c>
      <c r="B4" s="59" t="str">
        <f>IFERROR(VLOOKUP($A4,Admission!$1:$998,4,0),"")</f>
        <v>AHRAR AHMAD</v>
      </c>
      <c r="C4" s="59" t="str">
        <f>IFERROR(VLOOKUP($A4,Admission!$1:$998,5,0),"")</f>
        <v>ABDUL HAKIM</v>
      </c>
      <c r="D4" s="59">
        <f>IFERROR(VLOOKUP($A4,Admission!$1:$998,10,0),"")</f>
        <v>9631552396</v>
      </c>
      <c r="E4" s="59" t="str">
        <f>IFERROR(VLOOKUP($A4,Admission!$1:$998,3,0),"")</f>
        <v>Day Scholar</v>
      </c>
      <c r="F4" s="25">
        <v>600</v>
      </c>
      <c r="G4" s="25">
        <v>600</v>
      </c>
      <c r="H4" s="25">
        <v>200</v>
      </c>
      <c r="I4" s="25">
        <v>600</v>
      </c>
      <c r="J4" s="25">
        <v>600</v>
      </c>
      <c r="K4" s="25">
        <v>600</v>
      </c>
      <c r="L4" s="25">
        <v>600</v>
      </c>
      <c r="M4" s="25">
        <v>200</v>
      </c>
      <c r="N4" s="25">
        <v>600</v>
      </c>
      <c r="O4" s="25">
        <v>600</v>
      </c>
      <c r="P4" s="25">
        <v>600</v>
      </c>
      <c r="Q4" s="25">
        <v>200</v>
      </c>
      <c r="R4" s="25">
        <v>600</v>
      </c>
      <c r="S4" s="25">
        <v>600</v>
      </c>
      <c r="T4" s="25">
        <v>200</v>
      </c>
      <c r="U4" s="25">
        <v>600</v>
      </c>
    </row>
    <row r="5" spans="1:32" ht="13" x14ac:dyDescent="0.15">
      <c r="A5" s="58">
        <v>118</v>
      </c>
      <c r="B5" s="59" t="str">
        <f>IFERROR(VLOOKUP($A5,Admission!$1:$998,4,0),"")</f>
        <v>SAJID AKHTAR</v>
      </c>
      <c r="C5" s="59" t="str">
        <f>IFERROR(VLOOKUP($A5,Admission!$1:$998,5,0),"")</f>
        <v>MD ZIYAUR RAHMAN</v>
      </c>
      <c r="D5" s="59">
        <f>IFERROR(VLOOKUP($A5,Admission!$1:$998,10,0),"")</f>
        <v>9199391535</v>
      </c>
      <c r="E5" s="59" t="str">
        <f>IFERROR(VLOOKUP($A5,Admission!$1:$998,3,0),"")</f>
        <v>Hosteller</v>
      </c>
      <c r="F5" s="25">
        <v>0</v>
      </c>
      <c r="G5" s="25">
        <v>600</v>
      </c>
      <c r="H5" s="25">
        <v>150</v>
      </c>
      <c r="I5" s="25">
        <v>3700</v>
      </c>
      <c r="J5" s="25">
        <v>3700</v>
      </c>
      <c r="K5" s="25">
        <v>3700</v>
      </c>
      <c r="L5" s="25">
        <v>3700</v>
      </c>
      <c r="M5" s="25">
        <v>150</v>
      </c>
      <c r="N5" s="25">
        <v>3700</v>
      </c>
      <c r="O5" s="25">
        <v>3700</v>
      </c>
      <c r="P5" s="25">
        <v>3700</v>
      </c>
      <c r="Q5" s="25"/>
      <c r="R5" s="25">
        <v>3700</v>
      </c>
      <c r="S5" s="25">
        <v>3700</v>
      </c>
      <c r="T5" s="25"/>
      <c r="U5" s="25">
        <v>3700</v>
      </c>
    </row>
    <row r="6" spans="1:32" ht="13" x14ac:dyDescent="0.15">
      <c r="A6" s="58">
        <v>34</v>
      </c>
      <c r="B6" s="59" t="str">
        <f>IFERROR(VLOOKUP($A6,Admission!$1:$998,4,0),"")</f>
        <v>SAKIB ANSARI</v>
      </c>
      <c r="C6" s="59" t="str">
        <f>IFERROR(VLOOKUP($A6,Admission!$1:$998,5,0),"")</f>
        <v>ABDUL GAFFAR ANSARI</v>
      </c>
      <c r="D6" s="59">
        <f>IFERROR(VLOOKUP($A6,Admission!$1:$998,10,0),"")</f>
        <v>9608682077</v>
      </c>
      <c r="E6" s="59" t="str">
        <f>IFERROR(VLOOKUP($A6,Admission!$1:$998,3,0),"")</f>
        <v>Hosteller</v>
      </c>
      <c r="F6" s="25">
        <v>3700</v>
      </c>
      <c r="G6" s="25">
        <v>3700</v>
      </c>
      <c r="H6" s="25">
        <v>150</v>
      </c>
      <c r="I6" s="25">
        <v>3700</v>
      </c>
      <c r="J6" s="25">
        <v>3700</v>
      </c>
      <c r="K6" s="25">
        <v>3700</v>
      </c>
      <c r="L6" s="25">
        <v>3700</v>
      </c>
      <c r="M6" s="25">
        <v>150</v>
      </c>
      <c r="N6" s="25">
        <v>3700</v>
      </c>
      <c r="O6" s="25">
        <v>3700</v>
      </c>
      <c r="P6" s="25">
        <v>3700</v>
      </c>
      <c r="Q6" s="25">
        <v>150</v>
      </c>
      <c r="R6" s="25">
        <v>3700</v>
      </c>
      <c r="S6" s="25">
        <v>3700</v>
      </c>
      <c r="T6" s="25">
        <v>150</v>
      </c>
      <c r="U6" s="25">
        <v>3700</v>
      </c>
    </row>
    <row r="7" spans="1:32" ht="13" x14ac:dyDescent="0.15">
      <c r="A7" s="58">
        <v>56</v>
      </c>
      <c r="B7" s="59" t="str">
        <f>IFERROR(VLOOKUP($A7,Admission!$1:$998,4,0),"")</f>
        <v>NAFISH IKBAL</v>
      </c>
      <c r="C7" s="59" t="str">
        <f>IFERROR(VLOOKUP($A7,Admission!$1:$998,5,0),"")</f>
        <v>AKMAL HUSSAIN</v>
      </c>
      <c r="D7" s="59">
        <f>IFERROR(VLOOKUP($A7,Admission!$1:$998,10,0),"")</f>
        <v>9507632035</v>
      </c>
      <c r="E7" s="59" t="str">
        <f>IFERROR(VLOOKUP($A7,Admission!$1:$998,3,0),"")</f>
        <v>Hosteller</v>
      </c>
      <c r="F7" s="25">
        <v>3700</v>
      </c>
      <c r="G7" s="25">
        <v>3700</v>
      </c>
      <c r="H7" s="25">
        <v>150</v>
      </c>
      <c r="I7" s="25">
        <v>3700</v>
      </c>
      <c r="J7" s="25">
        <v>3700</v>
      </c>
      <c r="K7" s="25">
        <v>3700</v>
      </c>
      <c r="L7" s="25">
        <v>3700</v>
      </c>
      <c r="M7" s="25">
        <v>150</v>
      </c>
      <c r="N7" s="25">
        <v>3700</v>
      </c>
      <c r="O7" s="25">
        <v>3700</v>
      </c>
      <c r="P7" s="25">
        <v>3700</v>
      </c>
      <c r="Q7" s="25">
        <v>150</v>
      </c>
      <c r="R7" s="25">
        <v>3700</v>
      </c>
      <c r="S7" s="25">
        <v>3700</v>
      </c>
      <c r="T7" s="25">
        <v>150</v>
      </c>
      <c r="U7" s="25">
        <v>3700</v>
      </c>
    </row>
    <row r="8" spans="1:32" ht="13" x14ac:dyDescent="0.15">
      <c r="A8" s="58">
        <v>7</v>
      </c>
      <c r="B8" s="59" t="str">
        <f>IFERROR(VLOOKUP($A8,Admission!$1:$998,4,0),"")</f>
        <v>PARWEJ ISLAM</v>
      </c>
      <c r="C8" s="59" t="str">
        <f>IFERROR(VLOOKUP($A8,Admission!$1:$998,5,0),"")</f>
        <v>RAFIKUL ISLAM</v>
      </c>
      <c r="D8" s="59">
        <f>IFERROR(VLOOKUP($A8,Admission!$1:$998,10,0),"")</f>
        <v>9142128216</v>
      </c>
      <c r="E8" s="59" t="str">
        <f>IFERROR(VLOOKUP($A8,Admission!$1:$998,3,0),"")</f>
        <v>Hosteller</v>
      </c>
      <c r="F8" s="25">
        <v>3700</v>
      </c>
      <c r="G8" s="25">
        <v>3700</v>
      </c>
      <c r="H8" s="25">
        <v>150</v>
      </c>
      <c r="I8" s="25">
        <v>3700</v>
      </c>
      <c r="J8" s="25">
        <v>3700</v>
      </c>
      <c r="K8" s="25">
        <v>3700</v>
      </c>
      <c r="L8" s="25">
        <v>3700</v>
      </c>
      <c r="M8" s="25"/>
      <c r="N8" s="25">
        <v>3700</v>
      </c>
      <c r="O8" s="25">
        <v>3700</v>
      </c>
      <c r="P8" s="25">
        <v>3700</v>
      </c>
      <c r="Q8" s="25"/>
      <c r="R8" s="25">
        <v>3700</v>
      </c>
      <c r="S8" s="25">
        <v>3700</v>
      </c>
      <c r="T8" s="25"/>
      <c r="U8" s="25">
        <v>3700</v>
      </c>
    </row>
    <row r="9" spans="1:32" ht="13" x14ac:dyDescent="0.15">
      <c r="A9" s="58">
        <v>74</v>
      </c>
      <c r="B9" s="59" t="str">
        <f>IFERROR(VLOOKUP($A9,Admission!$1:$998,4,0),"")</f>
        <v>MOHAMMAD AYAAN ANSARI</v>
      </c>
      <c r="C9" s="59" t="str">
        <f>IFERROR(VLOOKUP($A9,Admission!$1:$998,5,0),"")</f>
        <v>MOHAMMAD JIYAUL ANSARI</v>
      </c>
      <c r="D9" s="59">
        <f>IFERROR(VLOOKUP($A9,Admission!$1:$998,10,0),"")</f>
        <v>8809023587</v>
      </c>
      <c r="E9" s="59" t="str">
        <f>IFERROR(VLOOKUP($A9,Admission!$1:$998,3,0),"")</f>
        <v>Hosteller</v>
      </c>
      <c r="F9" s="25">
        <v>3700</v>
      </c>
      <c r="G9" s="25">
        <v>3700</v>
      </c>
      <c r="H9" s="25">
        <v>150</v>
      </c>
      <c r="I9" s="25">
        <v>3700</v>
      </c>
      <c r="J9" s="25">
        <v>3700</v>
      </c>
      <c r="K9" s="25">
        <v>3700</v>
      </c>
      <c r="L9" s="25">
        <v>3700</v>
      </c>
      <c r="M9" s="25">
        <v>150</v>
      </c>
      <c r="N9" s="25">
        <v>3700</v>
      </c>
      <c r="O9" s="25">
        <v>3700</v>
      </c>
      <c r="P9" s="25">
        <v>3700</v>
      </c>
      <c r="Q9" s="25">
        <v>150</v>
      </c>
      <c r="R9" s="25">
        <v>3700</v>
      </c>
      <c r="S9" s="25">
        <v>3700</v>
      </c>
      <c r="T9" s="25"/>
      <c r="U9" s="25">
        <v>3700</v>
      </c>
    </row>
    <row r="10" spans="1:32" ht="15" customHeight="1" x14ac:dyDescent="0.15">
      <c r="A10" s="58">
        <v>96</v>
      </c>
      <c r="B10" s="59" t="str">
        <f>IFERROR(VLOOKUP($A10,Admission!$1:$998,4,0),"")</f>
        <v xml:space="preserve">AHAD ANSARI </v>
      </c>
      <c r="C10" s="59" t="str">
        <f>IFERROR(VLOOKUP($A10,Admission!$1:$998,5,0),"")</f>
        <v>TAIMUR ANSARI</v>
      </c>
      <c r="D10" s="59">
        <f>IFERROR(VLOOKUP($A10,Admission!$1:$998,10,0),"")</f>
        <v>9708627203</v>
      </c>
      <c r="E10" s="59" t="str">
        <f>IFERROR(VLOOKUP($A10,Admission!$1:$998,3,0),"")</f>
        <v>Day Scholar</v>
      </c>
      <c r="F10" s="25">
        <v>0</v>
      </c>
      <c r="G10" s="25">
        <v>600</v>
      </c>
      <c r="H10" s="2"/>
      <c r="I10" s="2">
        <v>600</v>
      </c>
      <c r="J10" s="2">
        <v>600</v>
      </c>
      <c r="K10" s="2">
        <v>600</v>
      </c>
      <c r="L10" s="25">
        <v>600</v>
      </c>
      <c r="M10" s="25">
        <v>150</v>
      </c>
      <c r="N10" s="25">
        <v>600</v>
      </c>
      <c r="O10" s="25">
        <v>600</v>
      </c>
      <c r="P10" s="25">
        <v>600</v>
      </c>
      <c r="Q10" s="25">
        <v>150</v>
      </c>
      <c r="R10" s="25">
        <v>600</v>
      </c>
      <c r="S10" s="25">
        <v>600</v>
      </c>
      <c r="T10" s="25">
        <v>150</v>
      </c>
      <c r="U10" s="25">
        <v>600</v>
      </c>
    </row>
    <row r="11" spans="1:32" ht="13" x14ac:dyDescent="0.15">
      <c r="A11" s="58">
        <v>102</v>
      </c>
      <c r="B11" s="59" t="str">
        <f>IFERROR(VLOOKUP($A11,Admission!$1:$998,4,0),"")</f>
        <v>ABYAZ ALAM</v>
      </c>
      <c r="C11" s="59" t="str">
        <f>IFERROR(VLOOKUP($A11,Admission!$1:$998,5,0),"")</f>
        <v>MD MULEUDDIN</v>
      </c>
      <c r="D11" s="59">
        <f>IFERROR(VLOOKUP($A11,Admission!$1:$998,10,0),"")</f>
        <v>6205109895</v>
      </c>
      <c r="E11" s="59" t="str">
        <f>IFERROR(VLOOKUP($A11,Admission!$1:$998,3,0),"")</f>
        <v>Day Scholar</v>
      </c>
      <c r="F11" s="25">
        <v>0</v>
      </c>
      <c r="G11" s="25">
        <v>600</v>
      </c>
      <c r="H11" s="25">
        <v>200</v>
      </c>
      <c r="I11" s="25">
        <v>600</v>
      </c>
      <c r="J11" s="25">
        <v>600</v>
      </c>
      <c r="K11" s="25">
        <v>600</v>
      </c>
      <c r="L11" s="25">
        <v>600</v>
      </c>
      <c r="M11" s="25">
        <v>150</v>
      </c>
      <c r="N11" s="25">
        <v>600</v>
      </c>
      <c r="O11" s="25">
        <v>600</v>
      </c>
      <c r="P11" s="25">
        <v>600</v>
      </c>
      <c r="Q11" s="25">
        <v>200</v>
      </c>
      <c r="R11" s="25">
        <v>600</v>
      </c>
      <c r="S11" s="25"/>
      <c r="T11" s="25"/>
      <c r="U11" s="25"/>
    </row>
    <row r="12" spans="1:32" ht="13" x14ac:dyDescent="0.15">
      <c r="A12" s="58">
        <v>113</v>
      </c>
      <c r="B12" s="59" t="str">
        <f>IFERROR(VLOOKUP($A12,Admission!$1:$998,4,0),"")</f>
        <v>MD HUSEL NABIL</v>
      </c>
      <c r="C12" s="59" t="str">
        <f>IFERROR(VLOOKUP($A12,Admission!$1:$998,5,0),"")</f>
        <v>MD AMJAD ANSARI</v>
      </c>
      <c r="D12" s="59">
        <f>IFERROR(VLOOKUP($A12,Admission!$1:$998,10,0),"")</f>
        <v>9771026503</v>
      </c>
      <c r="E12" s="59" t="str">
        <f>IFERROR(VLOOKUP($A12,Admission!$1:$998,3,0),"")</f>
        <v>Hosteller</v>
      </c>
      <c r="F12" s="25">
        <v>0</v>
      </c>
      <c r="G12" s="25">
        <v>3700</v>
      </c>
      <c r="H12" s="25">
        <v>200</v>
      </c>
      <c r="I12" s="25">
        <v>3700</v>
      </c>
      <c r="J12" s="25">
        <v>3700</v>
      </c>
      <c r="K12" s="23">
        <v>3700</v>
      </c>
      <c r="L12" s="25">
        <v>3700</v>
      </c>
      <c r="M12" s="25">
        <v>200</v>
      </c>
      <c r="N12" s="25">
        <v>3700</v>
      </c>
      <c r="O12" s="25">
        <v>3700</v>
      </c>
      <c r="P12" s="25">
        <v>3700</v>
      </c>
      <c r="Q12" s="65">
        <v>200</v>
      </c>
      <c r="R12" s="25">
        <v>3700</v>
      </c>
      <c r="S12" s="25">
        <v>3700</v>
      </c>
      <c r="T12" s="25">
        <v>200</v>
      </c>
      <c r="U12" s="25">
        <v>3700</v>
      </c>
    </row>
    <row r="13" spans="1:32" ht="13" x14ac:dyDescent="0.15">
      <c r="A13" s="58">
        <v>120</v>
      </c>
      <c r="B13" s="59" t="str">
        <f>IFERROR(VLOOKUP($A13,Admission!$1:$998,4,0),"")</f>
        <v xml:space="preserve">MD FAHIM  </v>
      </c>
      <c r="C13" s="59" t="str">
        <f>IFERROR(VLOOKUP($A13,Admission!$1:$998,5,0),"")</f>
        <v>ABDUL HAMID  ANSARI</v>
      </c>
      <c r="D13" s="59">
        <f>IFERROR(VLOOKUP($A13,Admission!$1:$998,10,0),"")</f>
        <v>9835842208</v>
      </c>
      <c r="E13" s="59" t="str">
        <f>IFERROR(VLOOKUP($A13,Admission!$1:$998,3,0),"")</f>
        <v>Hosteller</v>
      </c>
      <c r="F13" s="25">
        <v>0</v>
      </c>
      <c r="G13" s="25">
        <v>0</v>
      </c>
      <c r="H13" s="25"/>
      <c r="I13" s="25">
        <v>3700</v>
      </c>
      <c r="J13" s="25">
        <v>3700</v>
      </c>
      <c r="K13" s="25">
        <v>2700</v>
      </c>
      <c r="L13" s="25">
        <v>3700</v>
      </c>
      <c r="M13" s="25"/>
      <c r="N13" s="25">
        <v>3700</v>
      </c>
      <c r="O13" s="25">
        <v>3700</v>
      </c>
      <c r="P13" s="25">
        <v>3700</v>
      </c>
      <c r="Q13" s="25"/>
      <c r="R13" s="25">
        <v>3700</v>
      </c>
      <c r="S13" s="25">
        <v>3700</v>
      </c>
      <c r="T13" s="25"/>
      <c r="U13" s="25">
        <v>3700</v>
      </c>
    </row>
    <row r="14" spans="1:32" ht="13" x14ac:dyDescent="0.15">
      <c r="A14" s="58">
        <v>156</v>
      </c>
      <c r="B14" s="59" t="str">
        <f>IFERROR(VLOOKUP($A14,Admission!$1:$998,4,0),"")</f>
        <v>NIYAZ AHMAD</v>
      </c>
      <c r="C14" s="59" t="str">
        <f>IFERROR(VLOOKUP($A14,Admission!$1:$998,5,0),"")</f>
        <v xml:space="preserve">MD SELIM </v>
      </c>
      <c r="D14" s="59">
        <f>IFERROR(VLOOKUP($A14,Admission!$1:$998,10,0),"")</f>
        <v>8789734647</v>
      </c>
      <c r="E14" s="59" t="str">
        <f>IFERROR(VLOOKUP($A14,Admission!$1:$998,3,0),"")</f>
        <v>Day Scholar</v>
      </c>
      <c r="F14" s="25">
        <v>600</v>
      </c>
      <c r="G14" s="25">
        <v>600</v>
      </c>
      <c r="H14" s="25">
        <v>150</v>
      </c>
      <c r="I14" s="25">
        <v>600</v>
      </c>
      <c r="J14" s="25">
        <v>600</v>
      </c>
      <c r="K14" s="25">
        <v>600</v>
      </c>
      <c r="L14" s="25">
        <v>600</v>
      </c>
      <c r="M14" s="25">
        <v>200</v>
      </c>
      <c r="N14" s="25">
        <v>600</v>
      </c>
      <c r="O14" s="25">
        <v>600</v>
      </c>
      <c r="P14" s="25">
        <v>600</v>
      </c>
      <c r="Q14" s="25">
        <v>200</v>
      </c>
      <c r="R14" s="25">
        <v>600</v>
      </c>
      <c r="S14" s="25">
        <v>600</v>
      </c>
      <c r="T14" s="25">
        <v>200</v>
      </c>
      <c r="U14" s="25">
        <v>600</v>
      </c>
    </row>
    <row r="15" spans="1:32" ht="13" x14ac:dyDescent="0.15">
      <c r="A15" s="58">
        <v>157</v>
      </c>
      <c r="B15" s="59" t="str">
        <f>IFERROR(VLOOKUP($A15,Admission!$1:$998,4,0),"")</f>
        <v>ARHAM ASAD</v>
      </c>
      <c r="C15" s="59" t="str">
        <f>IFERROR(VLOOKUP($A15,Admission!$1:$998,5,0),"")</f>
        <v>ASADULLAH</v>
      </c>
      <c r="D15" s="59">
        <f>IFERROR(VLOOKUP($A15,Admission!$1:$998,10,0),"")</f>
        <v>9955016677</v>
      </c>
      <c r="E15" s="59" t="str">
        <f>IFERROR(VLOOKUP($A15,Admission!$1:$998,3,0),"")</f>
        <v>Day Scholar</v>
      </c>
      <c r="F15" s="25" t="s">
        <v>572</v>
      </c>
      <c r="G15" s="25" t="s">
        <v>572</v>
      </c>
      <c r="H15" s="25" t="s">
        <v>572</v>
      </c>
      <c r="I15" s="25" t="s">
        <v>572</v>
      </c>
      <c r="J15" s="25" t="s">
        <v>572</v>
      </c>
      <c r="K15" s="25" t="s">
        <v>572</v>
      </c>
      <c r="L15" s="25" t="s">
        <v>572</v>
      </c>
      <c r="M15" s="25" t="s">
        <v>572</v>
      </c>
      <c r="N15" s="25" t="s">
        <v>572</v>
      </c>
      <c r="O15" s="25" t="s">
        <v>572</v>
      </c>
      <c r="P15" s="25" t="s">
        <v>572</v>
      </c>
      <c r="Q15" s="25" t="s">
        <v>572</v>
      </c>
      <c r="R15" s="25" t="s">
        <v>572</v>
      </c>
      <c r="S15" s="25" t="s">
        <v>572</v>
      </c>
      <c r="T15" s="25" t="s">
        <v>572</v>
      </c>
      <c r="U15" s="25">
        <v>2</v>
      </c>
    </row>
    <row r="16" spans="1:32" ht="13" x14ac:dyDescent="0.15">
      <c r="A16" s="58">
        <v>166</v>
      </c>
      <c r="B16" s="59" t="s">
        <v>495</v>
      </c>
      <c r="C16" s="59" t="str">
        <f>IFERROR(VLOOKUP($A16,Admission!$1:$998,5,0),"")</f>
        <v>JAUHAR ALAM</v>
      </c>
      <c r="D16" s="59">
        <f>IFERROR(VLOOKUP($A16,Admission!$1:$998,10,0),"")</f>
        <v>9304562957</v>
      </c>
      <c r="E16" s="59" t="str">
        <f>IFERROR(VLOOKUP($A16,Admission!$1:$998,3,0),"")</f>
        <v>Hosteller</v>
      </c>
      <c r="F16" s="25">
        <v>0</v>
      </c>
      <c r="G16" s="25">
        <v>0</v>
      </c>
      <c r="H16" s="25">
        <v>0</v>
      </c>
      <c r="I16" s="25">
        <v>3700</v>
      </c>
      <c r="J16" s="25">
        <v>3700</v>
      </c>
      <c r="K16" s="25">
        <v>3700</v>
      </c>
      <c r="L16" s="25">
        <v>3700</v>
      </c>
      <c r="M16" s="25"/>
      <c r="N16" s="25">
        <v>3700</v>
      </c>
      <c r="O16" s="25">
        <v>3700</v>
      </c>
      <c r="P16" s="25">
        <v>3700</v>
      </c>
      <c r="Q16" s="25"/>
      <c r="R16" s="25">
        <v>3700</v>
      </c>
      <c r="S16" s="25">
        <v>3700</v>
      </c>
      <c r="T16" s="25"/>
      <c r="U16" s="25">
        <v>3700</v>
      </c>
    </row>
    <row r="17" spans="1:21" ht="13" x14ac:dyDescent="0.15">
      <c r="A17" s="58"/>
      <c r="B17" s="59" t="str">
        <f>IFERROR(VLOOKUP($A17,Admission!$1:$998,4,0),"")</f>
        <v/>
      </c>
      <c r="C17" s="59" t="str">
        <f>IFERROR(VLOOKUP($A17,Admission!$1:$998,5,0),"")</f>
        <v/>
      </c>
      <c r="D17" s="59" t="str">
        <f>IFERROR(VLOOKUP($A17,Admission!$1:$998,10,0),"")</f>
        <v/>
      </c>
      <c r="E17" s="59" t="str">
        <f>IFERROR(VLOOKUP($A17,Admission!$1:$998,3,0),"")</f>
        <v/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spans="1:21" ht="13" x14ac:dyDescent="0.15">
      <c r="A18" s="58"/>
      <c r="B18" s="59" t="str">
        <f>IFERROR(VLOOKUP($A18,Admission!$1:$998,4,0),"")</f>
        <v/>
      </c>
      <c r="C18" s="59" t="str">
        <f>IFERROR(VLOOKUP($A18,Admission!$1:$998,5,0),"")</f>
        <v/>
      </c>
      <c r="D18" s="59" t="str">
        <f>IFERROR(VLOOKUP($A18,Admission!$1:$998,10,0),"")</f>
        <v/>
      </c>
      <c r="E18" s="59" t="str">
        <f>IFERROR(VLOOKUP($A18,Admission!$1:$998,3,0),"")</f>
        <v/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1:21" ht="13" x14ac:dyDescent="0.15">
      <c r="A19" s="58"/>
      <c r="B19" s="59" t="str">
        <f>IFERROR(VLOOKUP($A19,Admission!$1:$998,4,0),"")</f>
        <v/>
      </c>
      <c r="C19" s="59" t="str">
        <f>IFERROR(VLOOKUP($A19,Admission!$1:$998,5,0),"")</f>
        <v/>
      </c>
      <c r="D19" s="59" t="str">
        <f>IFERROR(VLOOKUP($A19,Admission!$1:$998,10,0),"")</f>
        <v/>
      </c>
      <c r="E19" s="59" t="str">
        <f>IFERROR(VLOOKUP($A19,Admission!$1:$998,3,0),"")</f>
        <v/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1:21" ht="13" x14ac:dyDescent="0.15">
      <c r="A20" s="58"/>
      <c r="B20" s="59" t="str">
        <f>IFERROR(VLOOKUP($A20,Admission!$1:$998,4,0),"")</f>
        <v/>
      </c>
      <c r="C20" s="59" t="str">
        <f>IFERROR(VLOOKUP($A20,Admission!$1:$998,5,0),"")</f>
        <v/>
      </c>
      <c r="D20" s="59" t="str">
        <f>IFERROR(VLOOKUP($A20,Admission!$1:$998,10,0),"")</f>
        <v/>
      </c>
      <c r="E20" s="59" t="str">
        <f>IFERROR(VLOOKUP($A20,Admission!$1:$998,3,0),"")</f>
        <v/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r="21" spans="1:21" ht="13" x14ac:dyDescent="0.15">
      <c r="A21" s="58"/>
      <c r="B21" s="59" t="str">
        <f>IFERROR(VLOOKUP($A21,Admission!$1:$998,4,0),"")</f>
        <v/>
      </c>
      <c r="C21" s="59" t="str">
        <f>IFERROR(VLOOKUP($A21,Admission!$1:$998,5,0),"")</f>
        <v/>
      </c>
      <c r="D21" s="59" t="str">
        <f>IFERROR(VLOOKUP($A21,Admission!$1:$998,10,0),"")</f>
        <v/>
      </c>
      <c r="E21" s="59" t="str">
        <f>IFERROR(VLOOKUP($A21,Admission!$1:$998,3,0),"")</f>
        <v/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</row>
    <row r="22" spans="1:21" ht="13" x14ac:dyDescent="0.15">
      <c r="A22" s="58"/>
      <c r="B22" s="59" t="str">
        <f>IFERROR(VLOOKUP($A22,Admission!$1:$998,4,0),"")</f>
        <v/>
      </c>
      <c r="C22" s="59" t="str">
        <f>IFERROR(VLOOKUP($A22,Admission!$1:$998,5,0),"")</f>
        <v/>
      </c>
      <c r="D22" s="59" t="str">
        <f>IFERROR(VLOOKUP($A22,Admission!$1:$998,10,0),"")</f>
        <v/>
      </c>
      <c r="E22" s="59" t="str">
        <f>IFERROR(VLOOKUP($A22,Admission!$1:$998,3,0),"")</f>
        <v/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1" ht="13" x14ac:dyDescent="0.15">
      <c r="A23" s="58"/>
      <c r="B23" s="59" t="str">
        <f>IFERROR(VLOOKUP($A23,Admission!$1:$998,4,0),"")</f>
        <v/>
      </c>
      <c r="C23" s="59" t="str">
        <f>IFERROR(VLOOKUP($A23,Admission!$1:$998,5,0),"")</f>
        <v/>
      </c>
      <c r="D23" s="59" t="str">
        <f>IFERROR(VLOOKUP($A23,Admission!$1:$998,10,0),"")</f>
        <v/>
      </c>
      <c r="E23" s="59" t="str">
        <f>IFERROR(VLOOKUP($A23,Admission!$1:$998,3,0),"")</f>
        <v/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1" ht="13" x14ac:dyDescent="0.15">
      <c r="A24" s="58"/>
      <c r="B24" s="59" t="str">
        <f>IFERROR(VLOOKUP($A24,Admission!$1:$998,4,0),"")</f>
        <v/>
      </c>
      <c r="C24" s="59" t="str">
        <f>IFERROR(VLOOKUP($A24,Admission!$1:$998,5,0),"")</f>
        <v/>
      </c>
      <c r="D24" s="59" t="str">
        <f>IFERROR(VLOOKUP($A24,Admission!$1:$998,10,0),"")</f>
        <v/>
      </c>
      <c r="E24" s="59" t="str">
        <f>IFERROR(VLOOKUP($A24,Admission!$1:$998,3,0),"")</f>
        <v/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1" ht="13" x14ac:dyDescent="0.15">
      <c r="A25" s="58"/>
      <c r="B25" s="59" t="str">
        <f>IFERROR(VLOOKUP($A25,Admission!$1:$998,4,0),"")</f>
        <v/>
      </c>
      <c r="C25" s="59" t="str">
        <f>IFERROR(VLOOKUP($A25,Admission!$1:$998,5,0),"")</f>
        <v/>
      </c>
      <c r="D25" s="59" t="str">
        <f>IFERROR(VLOOKUP($A25,Admission!$1:$998,10,0),"")</f>
        <v/>
      </c>
      <c r="E25" s="59" t="str">
        <f>IFERROR(VLOOKUP($A25,Admission!$1:$998,3,0),"")</f>
        <v/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1:21" ht="13" x14ac:dyDescent="0.15">
      <c r="A26" s="58"/>
      <c r="B26" s="59" t="str">
        <f>IFERROR(VLOOKUP($A26,Admission!$1:$998,4,0),"")</f>
        <v/>
      </c>
      <c r="C26" s="59" t="str">
        <f>IFERROR(VLOOKUP($A26,Admission!$1:$998,5,0),"")</f>
        <v/>
      </c>
      <c r="D26" s="59" t="str">
        <f>IFERROR(VLOOKUP($A26,Admission!$1:$998,10,0),"")</f>
        <v/>
      </c>
      <c r="E26" s="59" t="str">
        <f>IFERROR(VLOOKUP($A26,Admission!$1:$998,3,0),"")</f>
        <v/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ht="13" x14ac:dyDescent="0.15">
      <c r="A27" s="58"/>
      <c r="B27" s="59" t="str">
        <f>IFERROR(VLOOKUP($A27,Admission!$1:$998,4,0),"")</f>
        <v/>
      </c>
      <c r="C27" s="59" t="str">
        <f>IFERROR(VLOOKUP($A27,Admission!$1:$998,5,0),"")</f>
        <v/>
      </c>
      <c r="D27" s="59" t="str">
        <f>IFERROR(VLOOKUP($A27,Admission!$1:$998,10,0),"")</f>
        <v/>
      </c>
      <c r="E27" s="59" t="str">
        <f>IFERROR(VLOOKUP($A27,Admission!$1:$998,3,0),"")</f>
        <v/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1" ht="13" x14ac:dyDescent="0.15">
      <c r="A28" s="58"/>
      <c r="B28" s="59" t="str">
        <f>IFERROR(VLOOKUP($A28,Admission!$1:$998,4,0),"")</f>
        <v/>
      </c>
      <c r="C28" s="59" t="str">
        <f>IFERROR(VLOOKUP($A28,Admission!$1:$998,5,0),"")</f>
        <v/>
      </c>
      <c r="D28" s="59" t="str">
        <f>IFERROR(VLOOKUP($A28,Admission!$1:$998,10,0),"")</f>
        <v/>
      </c>
      <c r="E28" s="59" t="str">
        <f>IFERROR(VLOOKUP($A28,Admission!$1:$998,3,0),"")</f>
        <v/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ht="13" x14ac:dyDescent="0.15">
      <c r="A29" s="58"/>
      <c r="B29" s="59" t="str">
        <f>IFERROR(VLOOKUP($A29,Admission!$1:$998,4,0),"")</f>
        <v/>
      </c>
      <c r="C29" s="59" t="str">
        <f>IFERROR(VLOOKUP($A29,Admission!$1:$998,5,0),"")</f>
        <v/>
      </c>
      <c r="D29" s="59" t="str">
        <f>IFERROR(VLOOKUP($A29,Admission!$1:$998,10,0),"")</f>
        <v/>
      </c>
      <c r="E29" s="59" t="str">
        <f>IFERROR(VLOOKUP($A29,Admission!$1:$998,3,0),"")</f>
        <v/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ht="13" x14ac:dyDescent="0.15">
      <c r="A30" s="58"/>
      <c r="B30" s="59" t="str">
        <f>IFERROR(VLOOKUP($A30,Admission!$1:$998,4,0),"")</f>
        <v/>
      </c>
      <c r="C30" s="59" t="str">
        <f>IFERROR(VLOOKUP($A30,Admission!$1:$998,5,0),"")</f>
        <v/>
      </c>
      <c r="D30" s="59" t="str">
        <f>IFERROR(VLOOKUP($A30,Admission!$1:$998,10,0),"")</f>
        <v/>
      </c>
      <c r="E30" s="59" t="str">
        <f>IFERROR(VLOOKUP($A30,Admission!$1:$998,3,0),"")</f>
        <v/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 ht="13" x14ac:dyDescent="0.15">
      <c r="A31" s="58"/>
      <c r="B31" s="59" t="str">
        <f>IFERROR(VLOOKUP($A31,Admission!$1:$998,4,0),"")</f>
        <v/>
      </c>
      <c r="C31" s="59" t="str">
        <f>IFERROR(VLOOKUP($A31,Admission!$1:$998,5,0),"")</f>
        <v/>
      </c>
      <c r="D31" s="59" t="str">
        <f>IFERROR(VLOOKUP($A31,Admission!$1:$998,10,0),"")</f>
        <v/>
      </c>
      <c r="E31" s="59" t="str">
        <f>IFERROR(VLOOKUP($A31,Admission!$1:$998,3,0),"")</f>
        <v/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1:21" ht="13" x14ac:dyDescent="0.15">
      <c r="A32" s="58"/>
      <c r="B32" s="59" t="str">
        <f>IFERROR(VLOOKUP($A32,Admission!$1:$998,4,0),"")</f>
        <v/>
      </c>
      <c r="C32" s="59" t="str">
        <f>IFERROR(VLOOKUP($A32,Admission!$1:$998,5,0),"")</f>
        <v/>
      </c>
      <c r="D32" s="59" t="str">
        <f>IFERROR(VLOOKUP($A32,Admission!$1:$998,10,0),"")</f>
        <v/>
      </c>
      <c r="E32" s="59" t="str">
        <f>IFERROR(VLOOKUP($A32,Admission!$1:$998,3,0),"")</f>
        <v/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1:21" ht="13" x14ac:dyDescent="0.15">
      <c r="A33" s="58"/>
      <c r="B33" s="59" t="str">
        <f>IFERROR(VLOOKUP($A33,Admission!$1:$998,4,0),"")</f>
        <v/>
      </c>
      <c r="C33" s="59" t="str">
        <f>IFERROR(VLOOKUP($A33,Admission!$1:$998,5,0),"")</f>
        <v/>
      </c>
      <c r="D33" s="59" t="str">
        <f>IFERROR(VLOOKUP($A33,Admission!$1:$998,10,0),"")</f>
        <v/>
      </c>
      <c r="E33" s="59" t="str">
        <f>IFERROR(VLOOKUP($A33,Admission!$1:$998,3,0),"")</f>
        <v/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1:21" ht="13" x14ac:dyDescent="0.15">
      <c r="A34" s="58"/>
      <c r="B34" s="59" t="str">
        <f>IFERROR(VLOOKUP($A34,Admission!$1:$998,4,0),"")</f>
        <v/>
      </c>
      <c r="C34" s="59" t="str">
        <f>IFERROR(VLOOKUP($A34,Admission!$1:$998,5,0),"")</f>
        <v/>
      </c>
      <c r="D34" s="59" t="str">
        <f>IFERROR(VLOOKUP($A34,Admission!$1:$998,10,0),"")</f>
        <v/>
      </c>
      <c r="E34" s="59" t="str">
        <f>IFERROR(VLOOKUP($A34,Admission!$1:$998,3,0),"")</f>
        <v/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1:21" ht="13" x14ac:dyDescent="0.15">
      <c r="A35" s="58"/>
      <c r="B35" s="59" t="str">
        <f>IFERROR(VLOOKUP($A35,Admission!$1:$998,4,0),"")</f>
        <v/>
      </c>
      <c r="C35" s="59" t="str">
        <f>IFERROR(VLOOKUP($A35,Admission!$1:$998,5,0),"")</f>
        <v/>
      </c>
      <c r="D35" s="59" t="str">
        <f>IFERROR(VLOOKUP($A35,Admission!$1:$998,10,0),"")</f>
        <v/>
      </c>
      <c r="E35" s="59" t="str">
        <f>IFERROR(VLOOKUP($A35,Admission!$1:$998,3,0),"")</f>
        <v/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1:21" ht="13" x14ac:dyDescent="0.15">
      <c r="A36" s="58"/>
      <c r="B36" s="59" t="str">
        <f>IFERROR(VLOOKUP($A36,Admission!$1:$998,4,0),"")</f>
        <v/>
      </c>
      <c r="C36" s="59" t="str">
        <f>IFERROR(VLOOKUP($A36,Admission!$1:$998,5,0),"")</f>
        <v/>
      </c>
      <c r="D36" s="59" t="str">
        <f>IFERROR(VLOOKUP($A36,Admission!$1:$998,10,0),"")</f>
        <v/>
      </c>
      <c r="E36" s="59" t="str">
        <f>IFERROR(VLOOKUP($A36,Admission!$1:$998,3,0),"")</f>
        <v/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1:21" ht="13" x14ac:dyDescent="0.15">
      <c r="A37" s="58"/>
      <c r="B37" s="59" t="str">
        <f>IFERROR(VLOOKUP($A37,Admission!$1:$998,4,0),"")</f>
        <v/>
      </c>
      <c r="C37" s="59" t="str">
        <f>IFERROR(VLOOKUP($A37,Admission!$1:$998,5,0),"")</f>
        <v/>
      </c>
      <c r="D37" s="59" t="str">
        <f>IFERROR(VLOOKUP($A37,Admission!$1:$998,10,0),"")</f>
        <v/>
      </c>
      <c r="E37" s="59" t="str">
        <f>IFERROR(VLOOKUP($A37,Admission!$1:$998,3,0),"")</f>
        <v/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1:21" ht="13" x14ac:dyDescent="0.15">
      <c r="A38" s="58"/>
      <c r="B38" s="59" t="str">
        <f>IFERROR(VLOOKUP($A38,Admission!$1:$998,4,0),"")</f>
        <v/>
      </c>
      <c r="C38" s="59" t="str">
        <f>IFERROR(VLOOKUP($A38,Admission!$1:$998,5,0),"")</f>
        <v/>
      </c>
      <c r="D38" s="59" t="str">
        <f>IFERROR(VLOOKUP($A38,Admission!$1:$998,10,0),"")</f>
        <v/>
      </c>
      <c r="E38" s="59" t="str">
        <f>IFERROR(VLOOKUP($A38,Admission!$1:$998,3,0),"")</f>
        <v/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1:21" ht="13" x14ac:dyDescent="0.15">
      <c r="A39" s="58"/>
      <c r="B39" s="59" t="str">
        <f>IFERROR(VLOOKUP($A39,Admission!$1:$998,4,0),"")</f>
        <v/>
      </c>
      <c r="C39" s="59" t="str">
        <f>IFERROR(VLOOKUP($A39,Admission!$1:$998,5,0),"")</f>
        <v/>
      </c>
      <c r="D39" s="59" t="str">
        <f>IFERROR(VLOOKUP($A39,Admission!$1:$998,10,0),"")</f>
        <v/>
      </c>
      <c r="E39" s="59" t="str">
        <f>IFERROR(VLOOKUP($A39,Admission!$1:$998,3,0),"")</f>
        <v/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ht="13" x14ac:dyDescent="0.15">
      <c r="A40" s="58"/>
      <c r="B40" s="59" t="str">
        <f>IFERROR(VLOOKUP($A40,Admission!$1:$998,4,0),"")</f>
        <v/>
      </c>
      <c r="C40" s="59" t="str">
        <f>IFERROR(VLOOKUP($A40,Admission!$1:$998,5,0),"")</f>
        <v/>
      </c>
      <c r="D40" s="59" t="str">
        <f>IFERROR(VLOOKUP($A40,Admission!$1:$998,10,0),"")</f>
        <v/>
      </c>
      <c r="E40" s="59" t="str">
        <f>IFERROR(VLOOKUP($A40,Admission!$1:$998,3,0),"")</f>
        <v/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1:21" ht="13" x14ac:dyDescent="0.15">
      <c r="A41" s="58"/>
      <c r="B41" s="59" t="str">
        <f>IFERROR(VLOOKUP($A41,Admission!$1:$998,4,0),"")</f>
        <v/>
      </c>
      <c r="C41" s="59" t="str">
        <f>IFERROR(VLOOKUP($A41,Admission!$1:$998,5,0),"")</f>
        <v/>
      </c>
      <c r="D41" s="59" t="str">
        <f>IFERROR(VLOOKUP($A41,Admission!$1:$998,10,0),"")</f>
        <v/>
      </c>
      <c r="E41" s="59" t="str">
        <f>IFERROR(VLOOKUP($A41,Admission!$1:$998,3,0),"")</f>
        <v/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1:21" ht="13" x14ac:dyDescent="0.15">
      <c r="A42" s="58"/>
      <c r="B42" s="59" t="str">
        <f>IFERROR(VLOOKUP($A42,Admission!$1:$998,4,0),"")</f>
        <v/>
      </c>
      <c r="C42" s="59" t="str">
        <f>IFERROR(VLOOKUP($A42,Admission!$1:$998,5,0),"")</f>
        <v/>
      </c>
      <c r="D42" s="59" t="str">
        <f>IFERROR(VLOOKUP($A42,Admission!$1:$998,10,0),"")</f>
        <v/>
      </c>
      <c r="E42" s="59" t="str">
        <f>IFERROR(VLOOKUP($A42,Admission!$1:$998,3,0),"")</f>
        <v/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1:21" ht="13" x14ac:dyDescent="0.15">
      <c r="A43" s="58"/>
      <c r="B43" s="59" t="str">
        <f>IFERROR(VLOOKUP($A43,Admission!$1:$998,4,0),"")</f>
        <v/>
      </c>
      <c r="C43" s="59" t="str">
        <f>IFERROR(VLOOKUP($A43,Admission!$1:$998,5,0),"")</f>
        <v/>
      </c>
      <c r="D43" s="59" t="str">
        <f>IFERROR(VLOOKUP($A43,Admission!$1:$998,10,0),"")</f>
        <v/>
      </c>
      <c r="E43" s="59" t="str">
        <f>IFERROR(VLOOKUP($A43,Admission!$1:$998,3,0),"")</f>
        <v/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21" ht="13" x14ac:dyDescent="0.15">
      <c r="A44" s="58"/>
      <c r="B44" s="59" t="str">
        <f>IFERROR(VLOOKUP($A44,Admission!$1:$998,4,0),"")</f>
        <v/>
      </c>
      <c r="C44" s="59" t="str">
        <f>IFERROR(VLOOKUP($A44,Admission!$1:$998,5,0),"")</f>
        <v/>
      </c>
      <c r="D44" s="59" t="str">
        <f>IFERROR(VLOOKUP($A44,Admission!$1:$998,10,0),"")</f>
        <v/>
      </c>
      <c r="E44" s="59" t="str">
        <f>IFERROR(VLOOKUP($A44,Admission!$1:$998,3,0),"")</f>
        <v/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21" ht="13" x14ac:dyDescent="0.15">
      <c r="A45" s="58"/>
      <c r="B45" s="59" t="str">
        <f>IFERROR(VLOOKUP($A45,Admission!$1:$998,4,0),"")</f>
        <v/>
      </c>
      <c r="C45" s="59" t="str">
        <f>IFERROR(VLOOKUP($A45,Admission!$1:$998,5,0),"")</f>
        <v/>
      </c>
      <c r="D45" s="59" t="str">
        <f>IFERROR(VLOOKUP($A45,Admission!$1:$998,10,0),"")</f>
        <v/>
      </c>
      <c r="E45" s="59" t="str">
        <f>IFERROR(VLOOKUP($A45,Admission!$1:$998,3,0),"")</f>
        <v/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1:21" ht="13" x14ac:dyDescent="0.15">
      <c r="A46" s="58"/>
      <c r="B46" s="59" t="str">
        <f>IFERROR(VLOOKUP($A46,Admission!$1:$998,4,0),"")</f>
        <v/>
      </c>
      <c r="C46" s="59" t="str">
        <f>IFERROR(VLOOKUP($A46,Admission!$1:$998,5,0),"")</f>
        <v/>
      </c>
      <c r="D46" s="59" t="str">
        <f>IFERROR(VLOOKUP($A46,Admission!$1:$998,10,0),"")</f>
        <v/>
      </c>
      <c r="E46" s="59" t="str">
        <f>IFERROR(VLOOKUP($A46,Admission!$1:$998,3,0),"")</f>
        <v/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1:21" ht="13" x14ac:dyDescent="0.15">
      <c r="A47" s="58"/>
      <c r="B47" s="59" t="str">
        <f>IFERROR(VLOOKUP($A47,Admission!$1:$998,4,0),"")</f>
        <v/>
      </c>
      <c r="C47" s="59" t="str">
        <f>IFERROR(VLOOKUP($A47,Admission!$1:$998,5,0),"")</f>
        <v/>
      </c>
      <c r="D47" s="59" t="str">
        <f>IFERROR(VLOOKUP($A47,Admission!$1:$998,10,0),"")</f>
        <v/>
      </c>
      <c r="E47" s="59" t="str">
        <f>IFERROR(VLOOKUP($A47,Admission!$1:$998,3,0),"")</f>
        <v/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1:21" ht="13" x14ac:dyDescent="0.15">
      <c r="A48" s="58"/>
      <c r="B48" s="59" t="str">
        <f>IFERROR(VLOOKUP($A48,Admission!$1:$998,4,0),"")</f>
        <v/>
      </c>
      <c r="C48" s="59" t="str">
        <f>IFERROR(VLOOKUP($A48,Admission!$1:$998,5,0),"")</f>
        <v/>
      </c>
      <c r="D48" s="59" t="str">
        <f>IFERROR(VLOOKUP($A48,Admission!$1:$998,10,0),"")</f>
        <v/>
      </c>
      <c r="E48" s="59" t="str">
        <f>IFERROR(VLOOKUP($A48,Admission!$1:$998,3,0),"")</f>
        <v/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1:21" ht="13" x14ac:dyDescent="0.15">
      <c r="A49" s="58"/>
      <c r="B49" s="59" t="str">
        <f>IFERROR(VLOOKUP($A49,Admission!$1:$998,4,0),"")</f>
        <v/>
      </c>
      <c r="C49" s="59" t="str">
        <f>IFERROR(VLOOKUP($A49,Admission!$1:$998,5,0),"")</f>
        <v/>
      </c>
      <c r="D49" s="59" t="str">
        <f>IFERROR(VLOOKUP($A49,Admission!$1:$998,10,0),"")</f>
        <v/>
      </c>
      <c r="E49" s="59" t="str">
        <f>IFERROR(VLOOKUP($A49,Admission!$1:$998,3,0),"")</f>
        <v/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1:21" ht="13" x14ac:dyDescent="0.15">
      <c r="A50" s="58"/>
      <c r="B50" s="59" t="str">
        <f>IFERROR(VLOOKUP($A50,Admission!$1:$998,4,0),"")</f>
        <v/>
      </c>
      <c r="C50" s="59" t="str">
        <f>IFERROR(VLOOKUP($A50,Admission!$1:$998,5,0),"")</f>
        <v/>
      </c>
      <c r="D50" s="59" t="str">
        <f>IFERROR(VLOOKUP($A50,Admission!$1:$998,10,0),"")</f>
        <v/>
      </c>
      <c r="E50" s="59" t="str">
        <f>IFERROR(VLOOKUP($A50,Admission!$1:$998,3,0),"")</f>
        <v/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1:21" ht="13" x14ac:dyDescent="0.15">
      <c r="A51" s="58"/>
      <c r="B51" s="59" t="str">
        <f>IFERROR(VLOOKUP($A51,Admission!$1:$998,4,0),"")</f>
        <v/>
      </c>
      <c r="C51" s="59" t="str">
        <f>IFERROR(VLOOKUP($A51,Admission!$1:$998,5,0),"")</f>
        <v/>
      </c>
      <c r="D51" s="59"/>
      <c r="E51" s="59" t="str">
        <f>IFERROR(VLOOKUP($A51,Admission!$1:$998,3,0),"")</f>
        <v/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</row>
    <row r="52" spans="1:21" ht="13" x14ac:dyDescent="0.15">
      <c r="A52" s="58"/>
      <c r="B52" s="59" t="str">
        <f>IFERROR(VLOOKUP($A52,Admission!$1:$998,4,0),"")</f>
        <v/>
      </c>
      <c r="C52" s="59" t="str">
        <f>IFERROR(VLOOKUP($A52,Admission!$1:$998,5,0),"")</f>
        <v/>
      </c>
      <c r="D52" s="59"/>
      <c r="E52" s="59" t="str">
        <f>IFERROR(VLOOKUP($A52,Admission!$1:$998,3,0),"")</f>
        <v/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ht="13" x14ac:dyDescent="0.15">
      <c r="A53" s="58"/>
      <c r="B53" s="59" t="str">
        <f>IFERROR(VLOOKUP($A53,Admission!$1:$998,4,0),"")</f>
        <v/>
      </c>
      <c r="C53" s="59" t="str">
        <f>IFERROR(VLOOKUP($A53,Admission!$1:$998,5,0),"")</f>
        <v/>
      </c>
      <c r="D53" s="59"/>
      <c r="E53" s="59" t="str">
        <f>IFERROR(VLOOKUP($A53,Admission!$1:$998,3,0),"")</f>
        <v/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1:21" ht="13" x14ac:dyDescent="0.15">
      <c r="A54" s="58"/>
      <c r="B54" s="59" t="str">
        <f>IFERROR(VLOOKUP($A54,Admission!$1:$998,4,0),"")</f>
        <v/>
      </c>
      <c r="C54" s="59" t="str">
        <f>IFERROR(VLOOKUP($A54,Admission!$1:$998,5,0),"")</f>
        <v/>
      </c>
      <c r="D54" s="59"/>
      <c r="E54" s="59" t="str">
        <f>IFERROR(VLOOKUP($A54,Admission!$1:$998,3,0),"")</f>
        <v/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1:21" ht="13" x14ac:dyDescent="0.15">
      <c r="A55" s="58"/>
      <c r="B55" s="59" t="str">
        <f>IFERROR(VLOOKUP($A55,Admission!$1:$998,4,0),"")</f>
        <v/>
      </c>
      <c r="C55" s="59" t="str">
        <f>IFERROR(VLOOKUP($A55,Admission!$1:$998,5,0),"")</f>
        <v/>
      </c>
      <c r="D55" s="59"/>
      <c r="E55" s="59" t="str">
        <f>IFERROR(VLOOKUP($A55,Admission!$1:$998,3,0),"")</f>
        <v/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 spans="1:21" ht="13" x14ac:dyDescent="0.15">
      <c r="A56" s="58"/>
      <c r="B56" s="59" t="str">
        <f>IFERROR(VLOOKUP($A56,Admission!$1:$998,4,0),"")</f>
        <v/>
      </c>
      <c r="C56" s="59" t="str">
        <f>IFERROR(VLOOKUP($A56,Admission!$1:$998,5,0),"")</f>
        <v/>
      </c>
      <c r="D56" s="59"/>
      <c r="E56" s="59" t="str">
        <f>IFERROR(VLOOKUP($A56,Admission!$1:$998,3,0),"")</f>
        <v/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1:21" ht="13" x14ac:dyDescent="0.15">
      <c r="A57" s="58"/>
      <c r="B57" s="59" t="str">
        <f>IFERROR(VLOOKUP($A57,Admission!$1:$998,4,0),"")</f>
        <v/>
      </c>
      <c r="C57" s="59" t="str">
        <f>IFERROR(VLOOKUP($A57,Admission!$1:$998,5,0),"")</f>
        <v/>
      </c>
      <c r="D57" s="59"/>
      <c r="E57" s="59" t="str">
        <f>IFERROR(VLOOKUP($A57,Admission!$1:$998,3,0),"")</f>
        <v/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1:21" ht="13" x14ac:dyDescent="0.15">
      <c r="A58" s="58"/>
      <c r="B58" s="59" t="str">
        <f>IFERROR(VLOOKUP($A58,Admission!$1:$998,4,0),"")</f>
        <v/>
      </c>
      <c r="C58" s="59" t="str">
        <f>IFERROR(VLOOKUP($A58,Admission!$1:$998,5,0),"")</f>
        <v/>
      </c>
      <c r="D58" s="59"/>
      <c r="E58" s="59" t="str">
        <f>IFERROR(VLOOKUP($A58,Admission!$1:$998,3,0),"")</f>
        <v/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1:21" ht="13" x14ac:dyDescent="0.15">
      <c r="A59" s="58"/>
      <c r="B59" s="59" t="str">
        <f>IFERROR(VLOOKUP($A59,Admission!$1:$998,4,0),"")</f>
        <v/>
      </c>
      <c r="C59" s="59" t="str">
        <f>IFERROR(VLOOKUP($A59,Admission!$1:$998,5,0),"")</f>
        <v/>
      </c>
      <c r="D59" s="59"/>
      <c r="E59" s="59" t="str">
        <f>IFERROR(VLOOKUP($A59,Admission!$1:$998,3,0),"")</f>
        <v/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1:21" ht="13" x14ac:dyDescent="0.15">
      <c r="A60" s="58"/>
      <c r="B60" s="59" t="str">
        <f>IFERROR(VLOOKUP($A60,Admission!$1:$998,4,0),"")</f>
        <v/>
      </c>
      <c r="C60" s="59" t="str">
        <f>IFERROR(VLOOKUP($A60,Admission!$1:$998,5,0),"")</f>
        <v/>
      </c>
      <c r="D60" s="59"/>
      <c r="E60" s="59" t="str">
        <f>IFERROR(VLOOKUP($A60,Admission!$1:$998,3,0),"")</f>
        <v/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</row>
    <row r="61" spans="1:21" ht="13" x14ac:dyDescent="0.15">
      <c r="A61" s="58"/>
      <c r="B61" s="59" t="str">
        <f>IFERROR(VLOOKUP($A61,Admission!$1:$998,4,0),"")</f>
        <v/>
      </c>
      <c r="C61" s="59" t="str">
        <f>IFERROR(VLOOKUP($A61,Admission!$1:$998,5,0),"")</f>
        <v/>
      </c>
      <c r="D61" s="59"/>
      <c r="E61" s="59" t="str">
        <f>IFERROR(VLOOKUP($A61,Admission!$1:$998,3,0),"")</f>
        <v/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1:21" ht="13" x14ac:dyDescent="0.15">
      <c r="A62" s="58"/>
      <c r="B62" s="59" t="str">
        <f>IFERROR(VLOOKUP($A62,Admission!$1:$998,4,0),"")</f>
        <v/>
      </c>
      <c r="C62" s="59" t="str">
        <f>IFERROR(VLOOKUP($A62,Admission!$1:$998,5,0),"")</f>
        <v/>
      </c>
      <c r="D62" s="59"/>
      <c r="E62" s="59" t="str">
        <f>IFERROR(VLOOKUP($A62,Admission!$1:$998,3,0),"")</f>
        <v/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1:21" ht="13" x14ac:dyDescent="0.15">
      <c r="A63" s="58"/>
      <c r="B63" s="59" t="str">
        <f>IFERROR(VLOOKUP($A63,Admission!$1:$998,4,0),"")</f>
        <v/>
      </c>
      <c r="C63" s="59" t="str">
        <f>IFERROR(VLOOKUP($A63,Admission!$1:$998,5,0),"")</f>
        <v/>
      </c>
      <c r="D63" s="59"/>
      <c r="E63" s="59" t="str">
        <f>IFERROR(VLOOKUP($A63,Admission!$1:$998,3,0),"")</f>
        <v/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1:21" ht="13" x14ac:dyDescent="0.15">
      <c r="A64" s="58"/>
      <c r="B64" s="59" t="str">
        <f>IFERROR(VLOOKUP($A64,Admission!$1:$998,4,0),"")</f>
        <v/>
      </c>
      <c r="C64" s="59" t="str">
        <f>IFERROR(VLOOKUP($A64,Admission!$1:$998,5,0),"")</f>
        <v/>
      </c>
      <c r="D64" s="59"/>
      <c r="E64" s="59" t="str">
        <f>IFERROR(VLOOKUP($A64,Admission!$1:$998,3,0),"")</f>
        <v/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</row>
    <row r="65" spans="1:21" ht="13" x14ac:dyDescent="0.15">
      <c r="A65" s="58"/>
      <c r="B65" s="59" t="str">
        <f>IFERROR(VLOOKUP($A65,Admission!$1:$998,4,0),"")</f>
        <v/>
      </c>
      <c r="C65" s="59" t="str">
        <f>IFERROR(VLOOKUP($A65,Admission!$1:$998,5,0),"")</f>
        <v/>
      </c>
      <c r="D65" s="59"/>
      <c r="E65" s="59" t="str">
        <f>IFERROR(VLOOKUP($A65,Admission!$1:$998,3,0),"")</f>
        <v/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1:21" ht="13" x14ac:dyDescent="0.15">
      <c r="A66" s="58"/>
      <c r="B66" s="59" t="str">
        <f>IFERROR(VLOOKUP($A66,Admission!$1:$998,4,0),"")</f>
        <v/>
      </c>
      <c r="C66" s="59" t="str">
        <f>IFERROR(VLOOKUP($A66,Admission!$1:$998,5,0),"")</f>
        <v/>
      </c>
      <c r="D66" s="59"/>
      <c r="E66" s="59" t="str">
        <f>IFERROR(VLOOKUP($A66,Admission!$1:$998,3,0),"")</f>
        <v/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1:21" ht="13" x14ac:dyDescent="0.15">
      <c r="A67" s="58"/>
      <c r="B67" s="59" t="str">
        <f>IFERROR(VLOOKUP($A67,Admission!$1:$998,4,0),"")</f>
        <v/>
      </c>
      <c r="C67" s="59" t="str">
        <f>IFERROR(VLOOKUP($A67,Admission!$1:$998,5,0),"")</f>
        <v/>
      </c>
      <c r="D67" s="59"/>
      <c r="E67" s="59" t="str">
        <f>IFERROR(VLOOKUP($A67,Admission!$1:$998,3,0),"")</f>
        <v/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1:21" ht="13" x14ac:dyDescent="0.15">
      <c r="A68" s="58"/>
      <c r="B68" s="59" t="str">
        <f>IFERROR(VLOOKUP($A68,Admission!$1:$998,4,0),"")</f>
        <v/>
      </c>
      <c r="C68" s="59" t="str">
        <f>IFERROR(VLOOKUP($A68,Admission!$1:$998,5,0),"")</f>
        <v/>
      </c>
      <c r="D68" s="59"/>
      <c r="E68" s="59" t="str">
        <f>IFERROR(VLOOKUP($A68,Admission!$1:$998,3,0),"")</f>
        <v/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</row>
    <row r="69" spans="1:21" ht="13" x14ac:dyDescent="0.15">
      <c r="A69" s="58"/>
      <c r="B69" s="59" t="str">
        <f>IFERROR(VLOOKUP($A69,Admission!$1:$998,4,0),"")</f>
        <v/>
      </c>
      <c r="C69" s="59" t="str">
        <f>IFERROR(VLOOKUP($A69,Admission!$1:$998,5,0),"")</f>
        <v/>
      </c>
      <c r="D69" s="59"/>
      <c r="E69" s="59" t="str">
        <f>IFERROR(VLOOKUP($A69,Admission!$1:$998,3,0),"")</f>
        <v/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1:21" ht="13" x14ac:dyDescent="0.15">
      <c r="A70" s="58"/>
      <c r="B70" s="59" t="str">
        <f>IFERROR(VLOOKUP($A70,Admission!$1:$998,4,0),"")</f>
        <v/>
      </c>
      <c r="C70" s="59" t="str">
        <f>IFERROR(VLOOKUP($A70,Admission!$1:$998,5,0),"")</f>
        <v/>
      </c>
      <c r="D70" s="59"/>
      <c r="E70" s="59" t="str">
        <f>IFERROR(VLOOKUP($A70,Admission!$1:$998,3,0),"")</f>
        <v/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1:21" ht="13" x14ac:dyDescent="0.15">
      <c r="A71" s="58"/>
      <c r="B71" s="59" t="str">
        <f>IFERROR(VLOOKUP($A71,Admission!$1:$998,4,0),"")</f>
        <v/>
      </c>
      <c r="C71" s="59" t="str">
        <f>IFERROR(VLOOKUP($A71,Admission!$1:$998,5,0),"")</f>
        <v/>
      </c>
      <c r="D71" s="59"/>
      <c r="E71" s="59" t="str">
        <f>IFERROR(VLOOKUP($A71,Admission!$1:$998,3,0),"")</f>
        <v/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1:21" ht="13" x14ac:dyDescent="0.15">
      <c r="A72" s="58"/>
      <c r="B72" s="59" t="str">
        <f>IFERROR(VLOOKUP($A72,Admission!$1:$998,4,0),"")</f>
        <v/>
      </c>
      <c r="C72" s="59" t="str">
        <f>IFERROR(VLOOKUP($A72,Admission!$1:$998,5,0),"")</f>
        <v/>
      </c>
      <c r="D72" s="59"/>
      <c r="E72" s="59" t="str">
        <f>IFERROR(VLOOKUP($A72,Admission!$1:$998,3,0),"")</f>
        <v/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1:21" ht="13" x14ac:dyDescent="0.15">
      <c r="A73" s="58"/>
      <c r="B73" s="59" t="str">
        <f>IFERROR(VLOOKUP($A73,Admission!$1:$998,4,0),"")</f>
        <v/>
      </c>
      <c r="C73" s="59" t="str">
        <f>IFERROR(VLOOKUP($A73,Admission!$1:$998,5,0),"")</f>
        <v/>
      </c>
      <c r="D73" s="59"/>
      <c r="E73" s="59" t="str">
        <f>IFERROR(VLOOKUP($A73,Admission!$1:$998,3,0),"")</f>
        <v/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</row>
    <row r="74" spans="1:21" ht="13" x14ac:dyDescent="0.15">
      <c r="A74" s="58"/>
      <c r="B74" s="59" t="str">
        <f>IFERROR(VLOOKUP($A74,Admission!$1:$998,4,0),"")</f>
        <v/>
      </c>
      <c r="C74" s="59" t="str">
        <f>IFERROR(VLOOKUP($A74,Admission!$1:$998,5,0),"")</f>
        <v/>
      </c>
      <c r="D74" s="59"/>
      <c r="E74" s="59" t="str">
        <f>IFERROR(VLOOKUP($A74,Admission!$1:$998,3,0),"")</f>
        <v/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1:21" ht="13" x14ac:dyDescent="0.15">
      <c r="A75" s="58"/>
      <c r="B75" s="59" t="str">
        <f>IFERROR(VLOOKUP($A75,Admission!$1:$998,4,0),"")</f>
        <v/>
      </c>
      <c r="C75" s="59" t="str">
        <f>IFERROR(VLOOKUP($A75,Admission!$1:$998,5,0),"")</f>
        <v/>
      </c>
      <c r="D75" s="59"/>
      <c r="E75" s="59" t="str">
        <f>IFERROR(VLOOKUP($A75,Admission!$1:$998,3,0),"")</f>
        <v/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1:21" ht="13" x14ac:dyDescent="0.15">
      <c r="A76" s="58"/>
      <c r="B76" s="59" t="str">
        <f>IFERROR(VLOOKUP($A76,Admission!$1:$998,4,0),"")</f>
        <v/>
      </c>
      <c r="C76" s="59" t="str">
        <f>IFERROR(VLOOKUP($A76,Admission!$1:$998,5,0),"")</f>
        <v/>
      </c>
      <c r="D76" s="59"/>
      <c r="E76" s="59" t="str">
        <f>IFERROR(VLOOKUP($A76,Admission!$1:$998,3,0),"")</f>
        <v/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1:21" ht="13" x14ac:dyDescent="0.15">
      <c r="A77" s="58"/>
      <c r="B77" s="59" t="str">
        <f>IFERROR(VLOOKUP($A77,Admission!$1:$998,4,0),"")</f>
        <v/>
      </c>
      <c r="C77" s="59" t="str">
        <f>IFERROR(VLOOKUP($A77,Admission!$1:$998,5,0),"")</f>
        <v/>
      </c>
      <c r="D77" s="59"/>
      <c r="E77" s="59" t="str">
        <f>IFERROR(VLOOKUP($A77,Admission!$1:$998,3,0),"")</f>
        <v/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1:21" ht="13" x14ac:dyDescent="0.15">
      <c r="A78" s="58"/>
      <c r="B78" s="59" t="str">
        <f>IFERROR(VLOOKUP($A78,Admission!$1:$998,4,0),"")</f>
        <v/>
      </c>
      <c r="C78" s="59" t="str">
        <f>IFERROR(VLOOKUP($A78,Admission!$1:$998,5,0),"")</f>
        <v/>
      </c>
      <c r="D78" s="59"/>
      <c r="E78" s="59" t="str">
        <f>IFERROR(VLOOKUP($A78,Admission!$1:$998,3,0),"")</f>
        <v/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1:21" ht="13" x14ac:dyDescent="0.15">
      <c r="A79" s="58"/>
      <c r="B79" s="59" t="str">
        <f>IFERROR(VLOOKUP($A79,Admission!$1:$998,4,0),"")</f>
        <v/>
      </c>
      <c r="C79" s="59" t="str">
        <f>IFERROR(VLOOKUP($A79,Admission!$1:$998,5,0),"")</f>
        <v/>
      </c>
      <c r="D79" s="59"/>
      <c r="E79" s="59" t="str">
        <f>IFERROR(VLOOKUP($A79,Admission!$1:$998,3,0),"")</f>
        <v/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1:21" ht="13" x14ac:dyDescent="0.15">
      <c r="A80" s="58"/>
      <c r="B80" s="59" t="str">
        <f>IFERROR(VLOOKUP($A80,Admission!$1:$998,4,0),"")</f>
        <v/>
      </c>
      <c r="C80" s="59" t="str">
        <f>IFERROR(VLOOKUP($A80,Admission!$1:$998,5,0),"")</f>
        <v/>
      </c>
      <c r="D80" s="59"/>
      <c r="E80" s="59" t="str">
        <f>IFERROR(VLOOKUP($A80,Admission!$1:$998,3,0),"")</f>
        <v/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1:21" ht="13" x14ac:dyDescent="0.15">
      <c r="A81" s="58"/>
      <c r="B81" s="59" t="str">
        <f>IFERROR(VLOOKUP($A81,Admission!$1:$998,4,0),"")</f>
        <v/>
      </c>
      <c r="C81" s="59" t="str">
        <f>IFERROR(VLOOKUP($A81,Admission!$1:$998,5,0),"")</f>
        <v/>
      </c>
      <c r="D81" s="59"/>
      <c r="E81" s="59" t="str">
        <f>IFERROR(VLOOKUP($A81,Admission!$1:$998,3,0),"")</f>
        <v/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1:21" ht="13" x14ac:dyDescent="0.15">
      <c r="A82" s="58"/>
      <c r="B82" s="59" t="str">
        <f>IFERROR(VLOOKUP($A82,Admission!$1:$998,4,0),"")</f>
        <v/>
      </c>
      <c r="C82" s="59" t="str">
        <f>IFERROR(VLOOKUP($A82,Admission!$1:$998,5,0),"")</f>
        <v/>
      </c>
      <c r="D82" s="59"/>
      <c r="E82" s="59" t="str">
        <f>IFERROR(VLOOKUP($A82,Admission!$1:$998,3,0),"")</f>
        <v/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1:21" ht="13" x14ac:dyDescent="0.15">
      <c r="A83" s="58"/>
      <c r="B83" s="59" t="str">
        <f>IFERROR(VLOOKUP($A83,Admission!$1:$998,4,0),"")</f>
        <v/>
      </c>
      <c r="C83" s="59" t="str">
        <f>IFERROR(VLOOKUP($A83,Admission!$1:$998,5,0),"")</f>
        <v/>
      </c>
      <c r="D83" s="59"/>
      <c r="E83" s="59" t="str">
        <f>IFERROR(VLOOKUP($A83,Admission!$1:$998,3,0),"")</f>
        <v/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1:21" ht="13" x14ac:dyDescent="0.15">
      <c r="A84" s="58"/>
      <c r="B84" s="59" t="str">
        <f>IFERROR(VLOOKUP($A84,Admission!$1:$998,4,0),"")</f>
        <v/>
      </c>
      <c r="C84" s="59" t="str">
        <f>IFERROR(VLOOKUP($A84,Admission!$1:$998,5,0),"")</f>
        <v/>
      </c>
      <c r="D84" s="59"/>
      <c r="E84" s="59" t="str">
        <f>IFERROR(VLOOKUP($A84,Admission!$1:$998,3,0),"")</f>
        <v/>
      </c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1:21" ht="13" x14ac:dyDescent="0.15">
      <c r="A85" s="58"/>
      <c r="B85" s="59" t="str">
        <f>IFERROR(VLOOKUP($A85,Admission!$1:$998,4,0),"")</f>
        <v/>
      </c>
      <c r="C85" s="59" t="str">
        <f>IFERROR(VLOOKUP($A85,Admission!$1:$998,5,0),"")</f>
        <v/>
      </c>
      <c r="D85" s="59"/>
      <c r="E85" s="59" t="str">
        <f>IFERROR(VLOOKUP($A85,Admission!$1:$998,3,0),"")</f>
        <v/>
      </c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1:21" ht="13" x14ac:dyDescent="0.15">
      <c r="A86" s="58"/>
      <c r="B86" s="59" t="str">
        <f>IFERROR(VLOOKUP($A86,Admission!$1:$998,4,0),"")</f>
        <v/>
      </c>
      <c r="C86" s="59" t="str">
        <f>IFERROR(VLOOKUP($A86,Admission!$1:$998,5,0),"")</f>
        <v/>
      </c>
      <c r="D86" s="59"/>
      <c r="E86" s="59" t="str">
        <f>IFERROR(VLOOKUP($A86,Admission!$1:$998,3,0),"")</f>
        <v/>
      </c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1:21" ht="13" x14ac:dyDescent="0.15">
      <c r="A87" s="58"/>
      <c r="B87" s="59" t="str">
        <f>IFERROR(VLOOKUP($A87,Admission!$1:$998,4,0),"")</f>
        <v/>
      </c>
      <c r="C87" s="59" t="str">
        <f>IFERROR(VLOOKUP($A87,Admission!$1:$998,5,0),"")</f>
        <v/>
      </c>
      <c r="D87" s="59"/>
      <c r="E87" s="59" t="str">
        <f>IFERROR(VLOOKUP($A87,Admission!$1:$998,3,0),"")</f>
        <v/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1:21" ht="13" x14ac:dyDescent="0.15">
      <c r="A88" s="58"/>
      <c r="B88" s="59" t="str">
        <f>IFERROR(VLOOKUP($A88,Admission!$1:$998,4,0),"")</f>
        <v/>
      </c>
      <c r="C88" s="59" t="str">
        <f>IFERROR(VLOOKUP($A88,Admission!$1:$998,5,0),"")</f>
        <v/>
      </c>
      <c r="D88" s="59"/>
      <c r="E88" s="59" t="str">
        <f>IFERROR(VLOOKUP($A88,Admission!$1:$998,3,0),"")</f>
        <v/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1:21" ht="13" x14ac:dyDescent="0.15">
      <c r="A89" s="58"/>
      <c r="B89" s="59" t="str">
        <f>IFERROR(VLOOKUP($A89,Admission!$1:$998,4,0),"")</f>
        <v/>
      </c>
      <c r="C89" s="59" t="str">
        <f>IFERROR(VLOOKUP($A89,Admission!$1:$998,5,0),"")</f>
        <v/>
      </c>
      <c r="D89" s="59"/>
      <c r="E89" s="59" t="str">
        <f>IFERROR(VLOOKUP($A89,Admission!$1:$998,3,0),"")</f>
        <v/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1:21" ht="13" x14ac:dyDescent="0.15">
      <c r="A90" s="58"/>
      <c r="B90" s="59" t="str">
        <f>IFERROR(VLOOKUP($A90,Admission!$1:$998,4,0),"")</f>
        <v/>
      </c>
      <c r="C90" s="59" t="str">
        <f>IFERROR(VLOOKUP($A90,Admission!$1:$998,5,0),"")</f>
        <v/>
      </c>
      <c r="D90" s="59"/>
      <c r="E90" s="59" t="str">
        <f>IFERROR(VLOOKUP($A90,Admission!$1:$998,3,0),"")</f>
        <v/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1:21" ht="13" x14ac:dyDescent="0.15">
      <c r="A91" s="58"/>
      <c r="B91" s="59" t="str">
        <f>IFERROR(VLOOKUP($A91,Admission!$1:$998,4,0),"")</f>
        <v/>
      </c>
      <c r="C91" s="59" t="str">
        <f>IFERROR(VLOOKUP($A91,Admission!$1:$998,5,0),"")</f>
        <v/>
      </c>
      <c r="D91" s="59"/>
      <c r="E91" s="59" t="str">
        <f>IFERROR(VLOOKUP($A91,Admission!$1:$998,3,0),"")</f>
        <v/>
      </c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1:21" ht="13" x14ac:dyDescent="0.15">
      <c r="A92" s="58"/>
      <c r="B92" s="59" t="str">
        <f>IFERROR(VLOOKUP($A92,Admission!$1:$998,4,0),"")</f>
        <v/>
      </c>
      <c r="C92" s="59" t="str">
        <f>IFERROR(VLOOKUP($A92,Admission!$1:$998,5,0),"")</f>
        <v/>
      </c>
      <c r="D92" s="59"/>
      <c r="E92" s="59" t="str">
        <f>IFERROR(VLOOKUP($A92,Admission!$1:$998,3,0),"")</f>
        <v/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1:21" ht="13" x14ac:dyDescent="0.15">
      <c r="A93" s="58"/>
      <c r="B93" s="59" t="str">
        <f>IFERROR(VLOOKUP($A93,Admission!$1:$998,4,0),"")</f>
        <v/>
      </c>
      <c r="C93" s="59" t="str">
        <f>IFERROR(VLOOKUP($A93,Admission!$1:$998,5,0),"")</f>
        <v/>
      </c>
      <c r="D93" s="59"/>
      <c r="E93" s="59" t="str">
        <f>IFERROR(VLOOKUP($A93,Admission!$1:$998,3,0),"")</f>
        <v/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1:21" ht="13" x14ac:dyDescent="0.15">
      <c r="A94" s="58"/>
      <c r="B94" s="59" t="str">
        <f>IFERROR(VLOOKUP($A94,Admission!$1:$998,4,0),"")</f>
        <v/>
      </c>
      <c r="C94" s="59" t="str">
        <f>IFERROR(VLOOKUP($A94,Admission!$1:$998,5,0),"")</f>
        <v/>
      </c>
      <c r="D94" s="59"/>
      <c r="E94" s="59" t="str">
        <f>IFERROR(VLOOKUP($A94,Admission!$1:$998,3,0),"")</f>
        <v/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1:21" ht="13" x14ac:dyDescent="0.15">
      <c r="A95" s="58"/>
      <c r="B95" s="59" t="str">
        <f>IFERROR(VLOOKUP($A95,Admission!$1:$998,4,0),"")</f>
        <v/>
      </c>
      <c r="C95" s="59" t="str">
        <f>IFERROR(VLOOKUP($A95,Admission!$1:$998,5,0),"")</f>
        <v/>
      </c>
      <c r="D95" s="59"/>
      <c r="E95" s="59" t="str">
        <f>IFERROR(VLOOKUP($A95,Admission!$1:$998,3,0),"")</f>
        <v/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1:21" ht="13" x14ac:dyDescent="0.15">
      <c r="A96" s="58"/>
      <c r="B96" s="59" t="str">
        <f>IFERROR(VLOOKUP($A96,Admission!$1:$998,4,0),"")</f>
        <v/>
      </c>
      <c r="C96" s="59" t="str">
        <f>IFERROR(VLOOKUP($A96,Admission!$1:$998,5,0),"")</f>
        <v/>
      </c>
      <c r="D96" s="59"/>
      <c r="E96" s="59" t="str">
        <f>IFERROR(VLOOKUP($A96,Admission!$1:$998,3,0),"")</f>
        <v/>
      </c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1:21" ht="13" x14ac:dyDescent="0.15">
      <c r="A97" s="58"/>
      <c r="B97" s="59" t="str">
        <f>IFERROR(VLOOKUP($A97,Admission!$1:$998,4,0),"")</f>
        <v/>
      </c>
      <c r="C97" s="59" t="str">
        <f>IFERROR(VLOOKUP($A97,Admission!$1:$998,5,0),"")</f>
        <v/>
      </c>
      <c r="D97" s="59"/>
      <c r="E97" s="59" t="str">
        <f>IFERROR(VLOOKUP($A97,Admission!$1:$998,3,0),"")</f>
        <v/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1:21" ht="13" x14ac:dyDescent="0.15">
      <c r="A98" s="58"/>
      <c r="B98" s="59" t="str">
        <f>IFERROR(VLOOKUP($A98,Admission!$1:$998,4,0),"")</f>
        <v/>
      </c>
      <c r="C98" s="59" t="str">
        <f>IFERROR(VLOOKUP($A98,Admission!$1:$998,5,0),"")</f>
        <v/>
      </c>
      <c r="D98" s="59"/>
      <c r="E98" s="59" t="str">
        <f>IFERROR(VLOOKUP($A98,Admission!$1:$998,3,0),"")</f>
        <v/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1:21" ht="13" x14ac:dyDescent="0.15">
      <c r="A99" s="58"/>
      <c r="B99" s="59" t="str">
        <f>IFERROR(VLOOKUP($A99,Admission!$1:$998,4,0),"")</f>
        <v/>
      </c>
      <c r="C99" s="59" t="str">
        <f>IFERROR(VLOOKUP($A99,Admission!$1:$998,5,0),"")</f>
        <v/>
      </c>
      <c r="D99" s="59"/>
      <c r="E99" s="59" t="str">
        <f>IFERROR(VLOOKUP($A99,Admission!$1:$998,3,0),"")</f>
        <v/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1:21" ht="13" x14ac:dyDescent="0.15">
      <c r="A100" s="58"/>
      <c r="B100" s="59" t="str">
        <f>IFERROR(VLOOKUP($A100,Admission!$1:$998,4,0),"")</f>
        <v/>
      </c>
      <c r="C100" s="59" t="str">
        <f>IFERROR(VLOOKUP($A100,Admission!$1:$998,5,0),"")</f>
        <v/>
      </c>
      <c r="D100" s="59"/>
      <c r="E100" s="59" t="str">
        <f>IFERROR(VLOOKUP($A100,Admission!$1:$998,3,0),"")</f>
        <v/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1:21" ht="13" x14ac:dyDescent="0.15">
      <c r="A101" s="58"/>
      <c r="B101" s="59" t="str">
        <f>IFERROR(VLOOKUP($A101,Admission!$1:$998,4,0),"")</f>
        <v/>
      </c>
      <c r="C101" s="59" t="str">
        <f>IFERROR(VLOOKUP($A101,Admission!$1:$998,5,0),"")</f>
        <v/>
      </c>
      <c r="D101" s="59"/>
      <c r="E101" s="59" t="str">
        <f>IFERROR(VLOOKUP($A101,Admission!$1:$998,3,0),"")</f>
        <v/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1:21" ht="13" x14ac:dyDescent="0.15">
      <c r="A102" s="58"/>
      <c r="B102" s="59" t="str">
        <f>IFERROR(VLOOKUP($A102,Admission!$1:$998,4,0),"")</f>
        <v/>
      </c>
      <c r="C102" s="59" t="str">
        <f>IFERROR(VLOOKUP($A102,Admission!$1:$998,5,0),"")</f>
        <v/>
      </c>
      <c r="D102" s="59"/>
      <c r="E102" s="59" t="str">
        <f>IFERROR(VLOOKUP($A102,Admission!$1:$998,3,0),"")</f>
        <v/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1:21" ht="13" x14ac:dyDescent="0.15">
      <c r="A103" s="58"/>
      <c r="B103" s="59" t="str">
        <f>IFERROR(VLOOKUP($A103,Admission!$1:$998,4,0),"")</f>
        <v/>
      </c>
      <c r="C103" s="59" t="str">
        <f>IFERROR(VLOOKUP($A103,Admission!$1:$998,5,0),"")</f>
        <v/>
      </c>
      <c r="D103" s="59"/>
      <c r="E103" s="59" t="str">
        <f>IFERROR(VLOOKUP($A103,Admission!$1:$998,3,0),"")</f>
        <v/>
      </c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1:21" ht="13" x14ac:dyDescent="0.15">
      <c r="A104" s="58"/>
      <c r="B104" s="59" t="str">
        <f>IFERROR(VLOOKUP($A104,Admission!$1:$998,4,0),"")</f>
        <v/>
      </c>
      <c r="C104" s="59" t="str">
        <f>IFERROR(VLOOKUP($A104,Admission!$1:$998,5,0),"")</f>
        <v/>
      </c>
      <c r="D104" s="59"/>
      <c r="E104" s="59" t="str">
        <f>IFERROR(VLOOKUP($A104,Admission!$1:$998,3,0),"")</f>
        <v/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1:21" ht="13" x14ac:dyDescent="0.15">
      <c r="A105" s="58"/>
      <c r="B105" s="59" t="str">
        <f>IFERROR(VLOOKUP($A105,Admission!$1:$998,4,0),"")</f>
        <v/>
      </c>
      <c r="C105" s="59" t="str">
        <f>IFERROR(VLOOKUP($A105,Admission!$1:$998,5,0),"")</f>
        <v/>
      </c>
      <c r="D105" s="59"/>
      <c r="E105" s="59" t="str">
        <f>IFERROR(VLOOKUP($A105,Admission!$1:$998,3,0),"")</f>
        <v/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1:21" ht="13" x14ac:dyDescent="0.15">
      <c r="A106" s="58"/>
      <c r="B106" s="59" t="str">
        <f>IFERROR(VLOOKUP($A106,Admission!$1:$998,4,0),"")</f>
        <v/>
      </c>
      <c r="C106" s="59" t="str">
        <f>IFERROR(VLOOKUP($A106,Admission!$1:$998,5,0),"")</f>
        <v/>
      </c>
      <c r="D106" s="59"/>
      <c r="E106" s="59" t="str">
        <f>IFERROR(VLOOKUP($A106,Admission!$1:$998,3,0),"")</f>
        <v/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1:21" ht="13" x14ac:dyDescent="0.15">
      <c r="A107" s="58"/>
      <c r="B107" s="59" t="str">
        <f>IFERROR(VLOOKUP($A107,Admission!$1:$998,4,0),"")</f>
        <v/>
      </c>
      <c r="C107" s="59" t="str">
        <f>IFERROR(VLOOKUP($A107,Admission!$1:$998,5,0),"")</f>
        <v/>
      </c>
      <c r="D107" s="59"/>
      <c r="E107" s="59" t="str">
        <f>IFERROR(VLOOKUP($A107,Admission!$1:$998,3,0),"")</f>
        <v/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 ht="13" x14ac:dyDescent="0.15">
      <c r="A108" s="58"/>
      <c r="B108" s="59" t="str">
        <f>IFERROR(VLOOKUP($A108,Admission!$1:$998,4,0),"")</f>
        <v/>
      </c>
      <c r="C108" s="59" t="str">
        <f>IFERROR(VLOOKUP($A108,Admission!$1:$998,5,0),"")</f>
        <v/>
      </c>
      <c r="D108" s="59"/>
      <c r="E108" s="59" t="str">
        <f>IFERROR(VLOOKUP($A108,Admission!$1:$998,3,0),"")</f>
        <v/>
      </c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1:21" ht="13" x14ac:dyDescent="0.15">
      <c r="A109" s="58"/>
      <c r="B109" s="59" t="str">
        <f>IFERROR(VLOOKUP($A109,Admission!$1:$998,4,0),"")</f>
        <v/>
      </c>
      <c r="C109" s="59" t="str">
        <f>IFERROR(VLOOKUP($A109,Admission!$1:$998,5,0),"")</f>
        <v/>
      </c>
      <c r="D109" s="59"/>
      <c r="E109" s="59" t="str">
        <f>IFERROR(VLOOKUP($A109,Admission!$1:$998,3,0),"")</f>
        <v/>
      </c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1:21" ht="13" x14ac:dyDescent="0.15">
      <c r="A110" s="58"/>
      <c r="B110" s="59" t="str">
        <f>IFERROR(VLOOKUP($A110,Admission!$1:$998,4,0),"")</f>
        <v/>
      </c>
      <c r="C110" s="59" t="str">
        <f>IFERROR(VLOOKUP($A110,Admission!$1:$998,5,0),"")</f>
        <v/>
      </c>
      <c r="D110" s="59"/>
      <c r="E110" s="59" t="str">
        <f>IFERROR(VLOOKUP($A110,Admission!$1:$998,3,0),"")</f>
        <v/>
      </c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ht="13" x14ac:dyDescent="0.15">
      <c r="A111" s="58"/>
      <c r="B111" s="59" t="str">
        <f>IFERROR(VLOOKUP($A111,Admission!$1:$998,4,0),"")</f>
        <v/>
      </c>
      <c r="C111" s="59" t="str">
        <f>IFERROR(VLOOKUP($A111,Admission!$1:$998,5,0),"")</f>
        <v/>
      </c>
      <c r="D111" s="59"/>
      <c r="E111" s="59" t="str">
        <f>IFERROR(VLOOKUP($A111,Admission!$1:$998,3,0),"")</f>
        <v/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1:21" ht="13" x14ac:dyDescent="0.15">
      <c r="A112" s="58"/>
      <c r="B112" s="59" t="str">
        <f>IFERROR(VLOOKUP($A112,Admission!$1:$998,4,0),"")</f>
        <v/>
      </c>
      <c r="C112" s="59" t="str">
        <f>IFERROR(VLOOKUP($A112,Admission!$1:$998,5,0),"")</f>
        <v/>
      </c>
      <c r="D112" s="59"/>
      <c r="E112" s="59" t="str">
        <f>IFERROR(VLOOKUP($A112,Admission!$1:$998,3,0),"")</f>
        <v/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1:21" ht="13" x14ac:dyDescent="0.15">
      <c r="A113" s="58"/>
      <c r="B113" s="59" t="str">
        <f>IFERROR(VLOOKUP($A113,Admission!$1:$998,4,0),"")</f>
        <v/>
      </c>
      <c r="C113" s="59" t="str">
        <f>IFERROR(VLOOKUP($A113,Admission!$1:$998,5,0),"")</f>
        <v/>
      </c>
      <c r="D113" s="59"/>
      <c r="E113" s="59" t="str">
        <f>IFERROR(VLOOKUP($A113,Admission!$1:$998,3,0),"")</f>
        <v/>
      </c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1:21" ht="13" x14ac:dyDescent="0.15">
      <c r="A114" s="58"/>
      <c r="B114" s="59" t="str">
        <f>IFERROR(VLOOKUP($A114,Admission!$1:$998,4,0),"")</f>
        <v/>
      </c>
      <c r="C114" s="59" t="str">
        <f>IFERROR(VLOOKUP($A114,Admission!$1:$998,5,0),"")</f>
        <v/>
      </c>
      <c r="D114" s="59"/>
      <c r="E114" s="59" t="str">
        <f>IFERROR(VLOOKUP($A114,Admission!$1:$998,3,0),"")</f>
        <v/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1:21" ht="13" x14ac:dyDescent="0.15">
      <c r="A115" s="58"/>
      <c r="B115" s="59" t="str">
        <f>IFERROR(VLOOKUP($A115,Admission!$1:$998,4,0),"")</f>
        <v/>
      </c>
      <c r="C115" s="59" t="str">
        <f>IFERROR(VLOOKUP($A115,Admission!$1:$998,5,0),"")</f>
        <v/>
      </c>
      <c r="D115" s="59"/>
      <c r="E115" s="59" t="str">
        <f>IFERROR(VLOOKUP($A115,Admission!$1:$998,3,0),"")</f>
        <v/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1:21" ht="13" x14ac:dyDescent="0.15">
      <c r="A116" s="58"/>
      <c r="B116" s="59" t="str">
        <f>IFERROR(VLOOKUP($A116,Admission!$1:$998,4,0),"")</f>
        <v/>
      </c>
      <c r="C116" s="59" t="str">
        <f>IFERROR(VLOOKUP($A116,Admission!$1:$998,5,0),"")</f>
        <v/>
      </c>
      <c r="D116" s="59"/>
      <c r="E116" s="59" t="str">
        <f>IFERROR(VLOOKUP($A116,Admission!$1:$998,3,0),"")</f>
        <v/>
      </c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1:21" ht="13" x14ac:dyDescent="0.15">
      <c r="A117" s="58"/>
      <c r="B117" s="59" t="str">
        <f>IFERROR(VLOOKUP($A117,Admission!$1:$998,4,0),"")</f>
        <v/>
      </c>
      <c r="C117" s="59" t="str">
        <f>IFERROR(VLOOKUP($A117,Admission!$1:$998,5,0),"")</f>
        <v/>
      </c>
      <c r="D117" s="59"/>
      <c r="E117" s="59" t="str">
        <f>IFERROR(VLOOKUP($A117,Admission!$1:$998,3,0),"")</f>
        <v/>
      </c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1:21" ht="13" x14ac:dyDescent="0.15">
      <c r="A118" s="58"/>
      <c r="B118" s="59" t="str">
        <f>IFERROR(VLOOKUP($A118,Admission!$1:$998,4,0),"")</f>
        <v/>
      </c>
      <c r="C118" s="59" t="str">
        <f>IFERROR(VLOOKUP($A118,Admission!$1:$998,5,0),"")</f>
        <v/>
      </c>
      <c r="D118" s="59"/>
      <c r="E118" s="59" t="str">
        <f>IFERROR(VLOOKUP($A118,Admission!$1:$998,3,0),"")</f>
        <v/>
      </c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1:21" ht="13" x14ac:dyDescent="0.15">
      <c r="A119" s="58"/>
      <c r="B119" s="59" t="str">
        <f>IFERROR(VLOOKUP($A119,Admission!$1:$998,4,0),"")</f>
        <v/>
      </c>
      <c r="C119" s="59" t="str">
        <f>IFERROR(VLOOKUP($A119,Admission!$1:$998,5,0),"")</f>
        <v/>
      </c>
      <c r="D119" s="59"/>
      <c r="E119" s="59" t="str">
        <f>IFERROR(VLOOKUP($A119,Admission!$1:$998,3,0),"")</f>
        <v/>
      </c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1:21" ht="13" x14ac:dyDescent="0.15">
      <c r="A120" s="62"/>
      <c r="B120" s="59" t="str">
        <f>IFERROR(VLOOKUP($A120,Admission!$1:$998,4,0),"")</f>
        <v/>
      </c>
      <c r="C120" s="59" t="str">
        <f>IFERROR(VLOOKUP($A120,Admission!$1:$998,5,0),"")</f>
        <v/>
      </c>
      <c r="D120" s="59"/>
      <c r="E120" s="59" t="str">
        <f>IFERROR(VLOOKUP($A120,Admission!$1:$998,3,0),"")</f>
        <v/>
      </c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1:21" ht="13" x14ac:dyDescent="0.15">
      <c r="A121" s="62"/>
      <c r="B121" s="59" t="str">
        <f>IFERROR(VLOOKUP($A121,Admission!$1:$998,4,0),"")</f>
        <v/>
      </c>
      <c r="C121" s="59" t="str">
        <f>IFERROR(VLOOKUP($A121,Admission!$1:$998,5,0),"")</f>
        <v/>
      </c>
      <c r="D121" s="59"/>
      <c r="E121" s="59" t="str">
        <f>IFERROR(VLOOKUP($A121,Admission!$1:$998,3,0),"")</f>
        <v/>
      </c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1:21" ht="13" x14ac:dyDescent="0.15">
      <c r="A122" s="62"/>
      <c r="B122" s="59" t="str">
        <f>IFERROR(VLOOKUP($A122,Admission!$1:$998,4,0),"")</f>
        <v/>
      </c>
      <c r="C122" s="59" t="str">
        <f>IFERROR(VLOOKUP($A122,Admission!$1:$998,5,0),"")</f>
        <v/>
      </c>
      <c r="D122" s="59"/>
      <c r="E122" s="59" t="str">
        <f>IFERROR(VLOOKUP($A122,Admission!$1:$998,3,0),"")</f>
        <v/>
      </c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1:21" ht="13" x14ac:dyDescent="0.15">
      <c r="A123" s="62"/>
      <c r="B123" s="59" t="str">
        <f>IFERROR(VLOOKUP($A123,Admission!$1:$998,4,0),"")</f>
        <v/>
      </c>
      <c r="C123" s="59" t="str">
        <f>IFERROR(VLOOKUP($A123,Admission!$1:$998,5,0),"")</f>
        <v/>
      </c>
      <c r="D123" s="59"/>
      <c r="E123" s="59" t="str">
        <f>IFERROR(VLOOKUP($A123,Admission!$1:$998,3,0),"")</f>
        <v/>
      </c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1:21" ht="13" x14ac:dyDescent="0.15">
      <c r="A124" s="62"/>
      <c r="B124" s="59" t="str">
        <f>IFERROR(VLOOKUP($A124,Admission!$1:$998,4,0),"")</f>
        <v/>
      </c>
      <c r="C124" s="59" t="str">
        <f>IFERROR(VLOOKUP($A124,Admission!$1:$998,5,0),"")</f>
        <v/>
      </c>
      <c r="D124" s="59"/>
      <c r="E124" s="59" t="str">
        <f>IFERROR(VLOOKUP($A124,Admission!$1:$998,3,0),"")</f>
        <v/>
      </c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1:21" ht="13" x14ac:dyDescent="0.15">
      <c r="A125" s="62"/>
      <c r="B125" s="59" t="str">
        <f>IFERROR(VLOOKUP($A125,Admission!$1:$998,4,0),"")</f>
        <v/>
      </c>
      <c r="C125" s="59" t="str">
        <f>IFERROR(VLOOKUP($A125,Admission!$1:$998,5,0),"")</f>
        <v/>
      </c>
      <c r="D125" s="59"/>
      <c r="E125" s="59" t="str">
        <f>IFERROR(VLOOKUP($A125,Admission!$1:$998,3,0),"")</f>
        <v/>
      </c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1:21" ht="13" x14ac:dyDescent="0.15">
      <c r="A126" s="62"/>
      <c r="B126" s="59" t="str">
        <f>IFERROR(VLOOKUP($A126,Admission!$1:$998,4,0),"")</f>
        <v/>
      </c>
      <c r="C126" s="59" t="str">
        <f>IFERROR(VLOOKUP($A126,Admission!$1:$998,5,0),"")</f>
        <v/>
      </c>
      <c r="D126" s="59"/>
      <c r="E126" s="59" t="str">
        <f>IFERROR(VLOOKUP($A126,Admission!$1:$998,3,0),"")</f>
        <v/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1:21" ht="13" x14ac:dyDescent="0.15">
      <c r="A127" s="62"/>
      <c r="B127" s="59" t="str">
        <f>IFERROR(VLOOKUP($A127,Admission!$1:$998,4,0),"")</f>
        <v/>
      </c>
      <c r="C127" s="59" t="str">
        <f>IFERROR(VLOOKUP($A127,Admission!$1:$998,5,0),"")</f>
        <v/>
      </c>
      <c r="D127" s="59"/>
      <c r="E127" s="59" t="str">
        <f>IFERROR(VLOOKUP($A127,Admission!$1:$998,3,0),"")</f>
        <v/>
      </c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1:21" ht="13" x14ac:dyDescent="0.15">
      <c r="A128" s="62"/>
      <c r="B128" s="59" t="str">
        <f>IFERROR(VLOOKUP($A128,Admission!$1:$998,4,0),"")</f>
        <v/>
      </c>
      <c r="C128" s="59" t="str">
        <f>IFERROR(VLOOKUP($A128,Admission!$1:$998,5,0),"")</f>
        <v/>
      </c>
      <c r="D128" s="59"/>
      <c r="E128" s="59" t="str">
        <f>IFERROR(VLOOKUP($A128,Admission!$1:$998,3,0),"")</f>
        <v/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1:21" ht="13" x14ac:dyDescent="0.15">
      <c r="A129" s="62"/>
      <c r="B129" s="59" t="str">
        <f>IFERROR(VLOOKUP($A129,Admission!$1:$998,4,0),"")</f>
        <v/>
      </c>
      <c r="C129" s="59" t="str">
        <f>IFERROR(VLOOKUP($A129,Admission!$1:$998,5,0),"")</f>
        <v/>
      </c>
      <c r="D129" s="59"/>
      <c r="E129" s="59" t="str">
        <f>IFERROR(VLOOKUP($A129,Admission!$1:$998,3,0),"")</f>
        <v/>
      </c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1:21" ht="13" x14ac:dyDescent="0.15">
      <c r="A130" s="62"/>
      <c r="B130" s="59" t="str">
        <f>IFERROR(VLOOKUP($A130,Admission!$1:$998,4,0),"")</f>
        <v/>
      </c>
      <c r="C130" s="59" t="str">
        <f>IFERROR(VLOOKUP($A130,Admission!$1:$998,5,0),"")</f>
        <v/>
      </c>
      <c r="D130" s="59"/>
      <c r="E130" s="59" t="str">
        <f>IFERROR(VLOOKUP($A130,Admission!$1:$998,3,0),"")</f>
        <v/>
      </c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1:21" ht="13" x14ac:dyDescent="0.15">
      <c r="A131" s="62"/>
      <c r="B131" s="59" t="str">
        <f>IFERROR(VLOOKUP($A131,Admission!$1:$998,4,0),"")</f>
        <v/>
      </c>
      <c r="C131" s="59" t="str">
        <f>IFERROR(VLOOKUP($A131,Admission!$1:$998,5,0),"")</f>
        <v/>
      </c>
      <c r="D131" s="59"/>
      <c r="E131" s="59" t="str">
        <f>IFERROR(VLOOKUP($A131,Admission!$1:$998,3,0),"")</f>
        <v/>
      </c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1:21" ht="13" x14ac:dyDescent="0.15">
      <c r="A132" s="62"/>
      <c r="B132" s="59" t="str">
        <f>IFERROR(VLOOKUP($A132,Admission!$1:$998,4,0),"")</f>
        <v/>
      </c>
      <c r="C132" s="59" t="str">
        <f>IFERROR(VLOOKUP($A132,Admission!$1:$998,5,0),"")</f>
        <v/>
      </c>
      <c r="D132" s="59"/>
      <c r="E132" s="59" t="str">
        <f>IFERROR(VLOOKUP($A132,Admission!$1:$998,3,0),"")</f>
        <v/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1:21" ht="13" x14ac:dyDescent="0.15">
      <c r="A133" s="62"/>
      <c r="B133" s="59" t="str">
        <f>IFERROR(VLOOKUP($A133,Admission!$1:$998,4,0),"")</f>
        <v/>
      </c>
      <c r="C133" s="59" t="str">
        <f>IFERROR(VLOOKUP($A133,Admission!$1:$998,5,0),"")</f>
        <v/>
      </c>
      <c r="D133" s="59"/>
      <c r="E133" s="59" t="str">
        <f>IFERROR(VLOOKUP($A133,Admission!$1:$998,3,0),"")</f>
        <v/>
      </c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1:21" ht="13" x14ac:dyDescent="0.15">
      <c r="A134" s="62"/>
      <c r="B134" s="59" t="str">
        <f>IFERROR(VLOOKUP($A134,Admission!$1:$998,4,0),"")</f>
        <v/>
      </c>
      <c r="C134" s="59" t="str">
        <f>IFERROR(VLOOKUP($A134,Admission!$1:$998,5,0),"")</f>
        <v/>
      </c>
      <c r="D134" s="59"/>
      <c r="E134" s="59" t="str">
        <f>IFERROR(VLOOKUP($A134,Admission!$1:$998,3,0),"")</f>
        <v/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1:21" ht="13" x14ac:dyDescent="0.15">
      <c r="A135" s="62"/>
      <c r="B135" s="59" t="str">
        <f>IFERROR(VLOOKUP($A135,Admission!$1:$998,4,0),"")</f>
        <v/>
      </c>
      <c r="C135" s="59" t="str">
        <f>IFERROR(VLOOKUP($A135,Admission!$1:$998,5,0),"")</f>
        <v/>
      </c>
      <c r="D135" s="59"/>
      <c r="E135" s="59" t="str">
        <f>IFERROR(VLOOKUP($A135,Admission!$1:$998,3,0),"")</f>
        <v/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1:21" ht="13" x14ac:dyDescent="0.15">
      <c r="A136" s="62"/>
      <c r="B136" s="59" t="str">
        <f>IFERROR(VLOOKUP($A136,Admission!$1:$998,4,0),"")</f>
        <v/>
      </c>
      <c r="C136" s="59" t="str">
        <f>IFERROR(VLOOKUP($A136,Admission!$1:$998,5,0),"")</f>
        <v/>
      </c>
      <c r="D136" s="59"/>
      <c r="E136" s="59" t="str">
        <f>IFERROR(VLOOKUP($A136,Admission!$1:$998,3,0),"")</f>
        <v/>
      </c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1:21" ht="13" x14ac:dyDescent="0.15">
      <c r="A137" s="62"/>
      <c r="B137" s="59" t="str">
        <f>IFERROR(VLOOKUP($A137,Admission!$1:$998,4,0),"")</f>
        <v/>
      </c>
      <c r="C137" s="59" t="str">
        <f>IFERROR(VLOOKUP($A137,Admission!$1:$998,5,0),"")</f>
        <v/>
      </c>
      <c r="D137" s="59"/>
      <c r="E137" s="59" t="str">
        <f>IFERROR(VLOOKUP($A137,Admission!$1:$998,3,0),"")</f>
        <v/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1:21" ht="13" x14ac:dyDescent="0.15">
      <c r="A138" s="62"/>
      <c r="B138" s="59" t="str">
        <f>IFERROR(VLOOKUP($A138,Admission!$1:$998,4,0),"")</f>
        <v/>
      </c>
      <c r="C138" s="59" t="str">
        <f>IFERROR(VLOOKUP($A138,Admission!$1:$998,5,0),"")</f>
        <v/>
      </c>
      <c r="D138" s="59"/>
      <c r="E138" s="59" t="str">
        <f>IFERROR(VLOOKUP($A138,Admission!$1:$998,3,0),"")</f>
        <v/>
      </c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1:21" ht="13" x14ac:dyDescent="0.15">
      <c r="A139" s="62"/>
      <c r="B139" s="59" t="str">
        <f>IFERROR(VLOOKUP($A139,Admission!$1:$998,4,0),"")</f>
        <v/>
      </c>
      <c r="C139" s="59" t="str">
        <f>IFERROR(VLOOKUP($A139,Admission!$1:$998,5,0),"")</f>
        <v/>
      </c>
      <c r="D139" s="59"/>
      <c r="E139" s="59" t="str">
        <f>IFERROR(VLOOKUP($A139,Admission!$1:$998,3,0),"")</f>
        <v/>
      </c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1:21" ht="13" x14ac:dyDescent="0.15">
      <c r="A140" s="62"/>
      <c r="B140" s="59" t="str">
        <f>IFERROR(VLOOKUP($A140,Admission!$1:$998,4,0),"")</f>
        <v/>
      </c>
      <c r="C140" s="59" t="str">
        <f>IFERROR(VLOOKUP($A140,Admission!$1:$998,5,0),"")</f>
        <v/>
      </c>
      <c r="D140" s="59"/>
      <c r="E140" s="59" t="str">
        <f>IFERROR(VLOOKUP($A140,Admission!$1:$998,3,0),"")</f>
        <v/>
      </c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1:21" ht="13" x14ac:dyDescent="0.15">
      <c r="A141" s="62"/>
      <c r="B141" s="59" t="str">
        <f>IFERROR(VLOOKUP($A141,Admission!$1:$998,4,0),"")</f>
        <v/>
      </c>
      <c r="C141" s="59" t="str">
        <f>IFERROR(VLOOKUP($A141,Admission!$1:$998,5,0),"")</f>
        <v/>
      </c>
      <c r="D141" s="59"/>
      <c r="E141" s="59" t="str">
        <f>IFERROR(VLOOKUP($A141,Admission!$1:$998,3,0),"")</f>
        <v/>
      </c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1:21" ht="13" x14ac:dyDescent="0.15">
      <c r="A142" s="62"/>
      <c r="B142" s="59" t="str">
        <f>IFERROR(VLOOKUP($A142,Admission!$1:$998,4,0),"")</f>
        <v/>
      </c>
      <c r="C142" s="59" t="str">
        <f>IFERROR(VLOOKUP($A142,Admission!$1:$998,5,0),"")</f>
        <v/>
      </c>
      <c r="D142" s="59"/>
      <c r="E142" s="59" t="str">
        <f>IFERROR(VLOOKUP($A142,Admission!$1:$998,3,0),"")</f>
        <v/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1:21" ht="13" x14ac:dyDescent="0.15">
      <c r="A143" s="62"/>
      <c r="B143" s="59" t="str">
        <f>IFERROR(VLOOKUP($A143,Admission!$1:$998,4,0),"")</f>
        <v/>
      </c>
      <c r="C143" s="59" t="str">
        <f>IFERROR(VLOOKUP($A143,Admission!$1:$998,5,0),"")</f>
        <v/>
      </c>
      <c r="D143" s="59"/>
      <c r="E143" s="59" t="str">
        <f>IFERROR(VLOOKUP($A143,Admission!$1:$998,3,0),"")</f>
        <v/>
      </c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1:21" ht="13" x14ac:dyDescent="0.15">
      <c r="A144" s="62"/>
      <c r="B144" s="59" t="str">
        <f>IFERROR(VLOOKUP($A144,Admission!$1:$998,4,0),"")</f>
        <v/>
      </c>
      <c r="C144" s="59" t="str">
        <f>IFERROR(VLOOKUP($A144,Admission!$1:$998,5,0),"")</f>
        <v/>
      </c>
      <c r="D144" s="59"/>
      <c r="E144" s="59" t="str">
        <f>IFERROR(VLOOKUP($A144,Admission!$1:$998,3,0),"")</f>
        <v/>
      </c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1:21" ht="13" x14ac:dyDescent="0.15">
      <c r="A145" s="62"/>
      <c r="B145" s="59" t="str">
        <f>IFERROR(VLOOKUP($A145,Admission!$1:$998,4,0),"")</f>
        <v/>
      </c>
      <c r="C145" s="59" t="str">
        <f>IFERROR(VLOOKUP($A145,Admission!$1:$998,5,0),"")</f>
        <v/>
      </c>
      <c r="D145" s="59"/>
      <c r="E145" s="59" t="str">
        <f>IFERROR(VLOOKUP($A145,Admission!$1:$998,3,0),"")</f>
        <v/>
      </c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spans="1:21" ht="13" x14ac:dyDescent="0.15">
      <c r="A146" s="62"/>
      <c r="B146" s="59" t="str">
        <f>IFERROR(VLOOKUP($A146,Admission!$1:$998,4,0),"")</f>
        <v/>
      </c>
      <c r="C146" s="59" t="str">
        <f>IFERROR(VLOOKUP($A146,Admission!$1:$998,5,0),"")</f>
        <v/>
      </c>
      <c r="D146" s="59"/>
      <c r="E146" s="59" t="str">
        <f>IFERROR(VLOOKUP($A146,Admission!$1:$998,3,0),"")</f>
        <v/>
      </c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1:21" ht="13" x14ac:dyDescent="0.15">
      <c r="A147" s="62"/>
      <c r="B147" s="59" t="str">
        <f>IFERROR(VLOOKUP($A147,Admission!$1:$998,4,0),"")</f>
        <v/>
      </c>
      <c r="C147" s="59" t="str">
        <f>IFERROR(VLOOKUP($A147,Admission!$1:$998,5,0),"")</f>
        <v/>
      </c>
      <c r="D147" s="59"/>
      <c r="E147" s="59" t="str">
        <f>IFERROR(VLOOKUP($A147,Admission!$1:$998,3,0),"")</f>
        <v/>
      </c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spans="1:21" ht="13" x14ac:dyDescent="0.15">
      <c r="A148" s="62"/>
      <c r="E148" s="23" t="str">
        <f>IFERROR(VLOOKUP($A148,Admission!150:1145,3,0),"")</f>
        <v/>
      </c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1:21" ht="13" x14ac:dyDescent="0.15">
      <c r="A149" s="62"/>
      <c r="E149" s="23" t="str">
        <f>IFERROR(VLOOKUP($A149,Admission!151:1146,3,0),"")</f>
        <v/>
      </c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1:21" ht="13" x14ac:dyDescent="0.15">
      <c r="A150" s="62"/>
      <c r="E150" s="23" t="str">
        <f>IFERROR(VLOOKUP($A150,Admission!152:1147,3,0),"")</f>
        <v/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spans="1:21" ht="13" x14ac:dyDescent="0.15">
      <c r="A151" s="62"/>
      <c r="E151" s="23" t="str">
        <f>IFERROR(VLOOKUP($A151,Admission!153:1148,3,0),"")</f>
        <v/>
      </c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 spans="1:21" ht="13" x14ac:dyDescent="0.15">
      <c r="A152" s="62"/>
      <c r="E152" s="23" t="str">
        <f>IFERROR(VLOOKUP($A152,Admission!154:1149,3,0),"")</f>
        <v/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 spans="1:21" ht="13" x14ac:dyDescent="0.15">
      <c r="A153" s="62"/>
      <c r="E153" s="23" t="str">
        <f>IFERROR(VLOOKUP($A153,Admission!155:1150,3,0),"")</f>
        <v/>
      </c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 spans="1:21" ht="13" x14ac:dyDescent="0.15">
      <c r="A154" s="62"/>
      <c r="E154" s="23" t="str">
        <f>IFERROR(VLOOKUP($A154,Admission!156:1151,3,0),"")</f>
        <v/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 spans="1:21" ht="13" x14ac:dyDescent="0.15">
      <c r="A155" s="62"/>
      <c r="E155" s="23" t="str">
        <f>IFERROR(VLOOKUP($A155,Admission!157:1152,3,0),"")</f>
        <v/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 spans="1:21" ht="13" x14ac:dyDescent="0.15">
      <c r="A156" s="62"/>
      <c r="E156" s="23" t="str">
        <f>IFERROR(VLOOKUP($A156,Admission!158:1153,3,0),"")</f>
        <v/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 spans="1:21" ht="13" x14ac:dyDescent="0.15">
      <c r="A157" s="62"/>
      <c r="E157" s="23" t="str">
        <f>IFERROR(VLOOKUP($A157,Admission!159:1154,3,0),"")</f>
        <v/>
      </c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 spans="1:21" ht="13" x14ac:dyDescent="0.15">
      <c r="A158" s="62"/>
      <c r="E158" s="23" t="str">
        <f>IFERROR(VLOOKUP($A158,Admission!160:1155,3,0),"")</f>
        <v/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 spans="1:21" ht="13" x14ac:dyDescent="0.15">
      <c r="A159" s="62"/>
      <c r="E159" s="23" t="str">
        <f>IFERROR(VLOOKUP($A159,Admission!161:1156,3,0),"")</f>
        <v/>
      </c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 spans="1:21" ht="13" x14ac:dyDescent="0.15">
      <c r="A160" s="62"/>
      <c r="E160" s="23" t="str">
        <f>IFERROR(VLOOKUP($A160,Admission!162:1157,3,0),"")</f>
        <v/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</row>
    <row r="161" spans="1:21" ht="13" x14ac:dyDescent="0.15">
      <c r="A161" s="62"/>
      <c r="E161" s="23" t="str">
        <f>IFERROR(VLOOKUP($A161,Admission!163:1158,3,0),"")</f>
        <v/>
      </c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 spans="1:21" ht="13" x14ac:dyDescent="0.15">
      <c r="A162" s="62"/>
      <c r="E162" s="23" t="str">
        <f>IFERROR(VLOOKUP($A162,Admission!164:1159,3,0),"")</f>
        <v/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</row>
    <row r="163" spans="1:21" ht="13" x14ac:dyDescent="0.15">
      <c r="A163" s="62"/>
      <c r="E163" s="23" t="str">
        <f>IFERROR(VLOOKUP($A163,Admission!165:1160,3,0),"")</f>
        <v/>
      </c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 spans="1:21" ht="13" x14ac:dyDescent="0.15">
      <c r="A164" s="62"/>
      <c r="E164" s="23" t="str">
        <f>IFERROR(VLOOKUP($A164,Admission!166:1161,3,0),"")</f>
        <v/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 spans="1:21" ht="13" x14ac:dyDescent="0.15">
      <c r="A165" s="62"/>
      <c r="E165" s="23" t="str">
        <f>IFERROR(VLOOKUP($A165,Admission!167:1162,3,0),"")</f>
        <v/>
      </c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 spans="1:21" ht="13" x14ac:dyDescent="0.15">
      <c r="A166" s="62"/>
      <c r="E166" s="23" t="str">
        <f>IFERROR(VLOOKUP($A166,Admission!168:1163,3,0),"")</f>
        <v/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</row>
    <row r="167" spans="1:21" ht="13" x14ac:dyDescent="0.15">
      <c r="A167" s="62"/>
      <c r="E167" s="23" t="str">
        <f>IFERROR(VLOOKUP($A167,Admission!169:1164,3,0),"")</f>
        <v/>
      </c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</row>
    <row r="168" spans="1:21" ht="13" x14ac:dyDescent="0.15">
      <c r="A168" s="62"/>
      <c r="E168" s="23" t="str">
        <f>IFERROR(VLOOKUP($A168,Admission!170:1165,3,0),"")</f>
        <v/>
      </c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</row>
    <row r="169" spans="1:21" ht="13" x14ac:dyDescent="0.15">
      <c r="A169" s="62"/>
      <c r="E169" s="23" t="str">
        <f>IFERROR(VLOOKUP($A169,Admission!171:1166,3,0),"")</f>
        <v/>
      </c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</row>
    <row r="170" spans="1:21" ht="13" x14ac:dyDescent="0.15">
      <c r="A170" s="62"/>
      <c r="E170" s="23" t="str">
        <f>IFERROR(VLOOKUP($A170,Admission!172:1167,3,0),"")</f>
        <v/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 spans="1:21" ht="13" x14ac:dyDescent="0.15">
      <c r="A171" s="62"/>
      <c r="E171" s="23" t="str">
        <f>IFERROR(VLOOKUP($A171,Admission!173:1168,3,0),"")</f>
        <v/>
      </c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</row>
    <row r="172" spans="1:21" ht="13" x14ac:dyDescent="0.15">
      <c r="A172" s="62"/>
      <c r="E172" s="23" t="str">
        <f>IFERROR(VLOOKUP($A172,Admission!174:1169,3,0),"")</f>
        <v/>
      </c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</row>
    <row r="173" spans="1:21" ht="13" x14ac:dyDescent="0.15">
      <c r="A173" s="62"/>
      <c r="E173" s="23" t="str">
        <f>IFERROR(VLOOKUP($A173,Admission!175:1170,3,0),"")</f>
        <v/>
      </c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</row>
    <row r="174" spans="1:21" ht="13" x14ac:dyDescent="0.15">
      <c r="A174" s="62"/>
      <c r="E174" s="23" t="str">
        <f>IFERROR(VLOOKUP($A174,Admission!176:1171,3,0),"")</f>
        <v/>
      </c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 spans="1:21" ht="13" x14ac:dyDescent="0.15">
      <c r="A175" s="62"/>
      <c r="E175" s="23" t="str">
        <f>IFERROR(VLOOKUP($A175,Admission!177:1172,3,0),"")</f>
        <v/>
      </c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 spans="1:21" ht="13" x14ac:dyDescent="0.15">
      <c r="A176" s="62"/>
      <c r="E176" s="23" t="str">
        <f>IFERROR(VLOOKUP($A176,Admission!178:1173,3,0),"")</f>
        <v/>
      </c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spans="1:21" ht="13" x14ac:dyDescent="0.15">
      <c r="A177" s="62"/>
      <c r="E177" s="23" t="str">
        <f>IFERROR(VLOOKUP($A177,Admission!178:1174,3,0),"")</f>
        <v/>
      </c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spans="1:21" ht="13" x14ac:dyDescent="0.15">
      <c r="A178" s="62"/>
      <c r="E178" s="23" t="str">
        <f>IFERROR(VLOOKUP($A178,Admission!178:1175,3,0),"")</f>
        <v/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</row>
    <row r="179" spans="1:21" ht="13" x14ac:dyDescent="0.15">
      <c r="A179" s="62"/>
      <c r="E179" s="23" t="str">
        <f>IFERROR(VLOOKUP($A179,Admission!178:1176,3,0),"")</f>
        <v/>
      </c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</row>
    <row r="180" spans="1:21" ht="13" x14ac:dyDescent="0.15">
      <c r="A180" s="62"/>
      <c r="E180" s="23" t="str">
        <f>IFERROR(VLOOKUP($A180,Admission!178:1177,3,0),"")</f>
        <v/>
      </c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spans="1:21" ht="13" x14ac:dyDescent="0.15">
      <c r="A181" s="62"/>
      <c r="E181" s="23" t="str">
        <f>IFERROR(VLOOKUP($A181,Admission!179:1178,3,0),"")</f>
        <v/>
      </c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 spans="1:21" ht="13" x14ac:dyDescent="0.15">
      <c r="A182" s="62"/>
      <c r="E182" s="23" t="str">
        <f>IFERROR(VLOOKUP($A182,Admission!180:1179,3,0),"")</f>
        <v/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</row>
    <row r="183" spans="1:21" ht="13" x14ac:dyDescent="0.15">
      <c r="A183" s="62"/>
      <c r="E183" s="23" t="str">
        <f>IFERROR(VLOOKUP($A183,Admission!181:1180,3,0),"")</f>
        <v/>
      </c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</row>
    <row r="184" spans="1:21" ht="13" x14ac:dyDescent="0.15">
      <c r="A184" s="62"/>
      <c r="E184" s="23" t="str">
        <f>IFERROR(VLOOKUP($A184,Admission!182:1181,3,0),"")</f>
        <v/>
      </c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</row>
    <row r="185" spans="1:21" ht="13" x14ac:dyDescent="0.15">
      <c r="A185" s="62"/>
      <c r="E185" s="23" t="str">
        <f>IFERROR(VLOOKUP($A185,Admission!183:1182,3,0),"")</f>
        <v/>
      </c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</row>
    <row r="186" spans="1:21" ht="13" x14ac:dyDescent="0.15">
      <c r="A186" s="62"/>
      <c r="E186" s="23" t="str">
        <f>IFERROR(VLOOKUP($A186,Admission!184:1183,3,0),"")</f>
        <v/>
      </c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</row>
    <row r="187" spans="1:21" ht="13" x14ac:dyDescent="0.15">
      <c r="A187" s="62"/>
      <c r="E187" s="23" t="str">
        <f>IFERROR(VLOOKUP($A187,Admission!181:1184,3,0),"")</f>
        <v/>
      </c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</row>
    <row r="188" spans="1:21" ht="13" x14ac:dyDescent="0.15">
      <c r="A188" s="62"/>
      <c r="E188" s="23" t="str">
        <f>IFERROR(VLOOKUP($A188,Admission!178:1185,3,0),"")</f>
        <v/>
      </c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</row>
    <row r="189" spans="1:21" ht="13" x14ac:dyDescent="0.15">
      <c r="A189" s="62"/>
      <c r="E189" s="23" t="str">
        <f>IFERROR(VLOOKUP($A189,Admission!179:1186,3,0),"")</f>
        <v/>
      </c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</row>
    <row r="190" spans="1:21" ht="13" x14ac:dyDescent="0.15">
      <c r="A190" s="62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</row>
    <row r="191" spans="1:21" ht="13" x14ac:dyDescent="0.15">
      <c r="A191" s="62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</row>
    <row r="192" spans="1:21" ht="13" x14ac:dyDescent="0.15">
      <c r="A192" s="62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</row>
    <row r="193" spans="1:21" ht="13" x14ac:dyDescent="0.15">
      <c r="A193" s="6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</row>
    <row r="194" spans="1:21" ht="13" x14ac:dyDescent="0.15">
      <c r="A194" s="6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</row>
    <row r="195" spans="1:21" ht="13" x14ac:dyDescent="0.15">
      <c r="A195" s="6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</row>
    <row r="196" spans="1:21" ht="13" x14ac:dyDescent="0.15">
      <c r="A196" s="6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</row>
    <row r="197" spans="1:21" ht="13" x14ac:dyDescent="0.15">
      <c r="A197" s="6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</row>
    <row r="198" spans="1:21" ht="13" x14ac:dyDescent="0.15">
      <c r="A198" s="6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</row>
    <row r="199" spans="1:21" ht="13" x14ac:dyDescent="0.15">
      <c r="A199" s="6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</row>
    <row r="200" spans="1:21" ht="13" x14ac:dyDescent="0.15">
      <c r="A200" s="6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</row>
    <row r="201" spans="1:21" ht="13" x14ac:dyDescent="0.15">
      <c r="A201" s="6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</row>
    <row r="202" spans="1:21" ht="13" x14ac:dyDescent="0.15">
      <c r="A202" s="6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</row>
    <row r="203" spans="1:21" ht="13" x14ac:dyDescent="0.15">
      <c r="A203" s="6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</row>
    <row r="204" spans="1:21" ht="13" x14ac:dyDescent="0.15">
      <c r="A204" s="6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</row>
    <row r="205" spans="1:21" ht="13" x14ac:dyDescent="0.15">
      <c r="A205" s="6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</row>
    <row r="206" spans="1:21" ht="13" x14ac:dyDescent="0.15">
      <c r="A206" s="6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</row>
    <row r="207" spans="1:21" ht="13" x14ac:dyDescent="0.15">
      <c r="A207" s="6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</row>
    <row r="208" spans="1:21" ht="13" x14ac:dyDescent="0.15">
      <c r="A208" s="6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</row>
    <row r="209" spans="1:21" ht="13" x14ac:dyDescent="0.15">
      <c r="A209" s="6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</row>
    <row r="210" spans="1:21" ht="13" x14ac:dyDescent="0.15">
      <c r="A210" s="6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</row>
    <row r="211" spans="1:21" ht="13" x14ac:dyDescent="0.15">
      <c r="A211" s="6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</row>
    <row r="212" spans="1:21" ht="13" x14ac:dyDescent="0.15">
      <c r="A212" s="6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</row>
    <row r="213" spans="1:21" ht="13" x14ac:dyDescent="0.15">
      <c r="A213" s="6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</row>
    <row r="214" spans="1:21" ht="13" x14ac:dyDescent="0.15">
      <c r="A214" s="6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</row>
    <row r="215" spans="1:21" ht="13" x14ac:dyDescent="0.15">
      <c r="A215" s="6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</row>
    <row r="216" spans="1:21" ht="13" x14ac:dyDescent="0.15">
      <c r="A216" s="6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</row>
    <row r="217" spans="1:21" ht="13" x14ac:dyDescent="0.15">
      <c r="A217" s="6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</row>
    <row r="218" spans="1:21" ht="13" x14ac:dyDescent="0.15">
      <c r="A218" s="6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</row>
    <row r="219" spans="1:21" ht="13" x14ac:dyDescent="0.15">
      <c r="A219" s="6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</row>
    <row r="220" spans="1:21" ht="13" x14ac:dyDescent="0.15">
      <c r="A220" s="6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</row>
    <row r="221" spans="1:21" ht="13" x14ac:dyDescent="0.15">
      <c r="A221" s="6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</row>
    <row r="222" spans="1:21" ht="13" x14ac:dyDescent="0.15">
      <c r="A222" s="6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</row>
    <row r="223" spans="1:21" ht="13" x14ac:dyDescent="0.15">
      <c r="A223" s="6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</row>
    <row r="224" spans="1:21" ht="13" x14ac:dyDescent="0.15">
      <c r="A224" s="6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</row>
    <row r="225" spans="1:21" ht="13" x14ac:dyDescent="0.15">
      <c r="A225" s="6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</row>
    <row r="226" spans="1:21" ht="13" x14ac:dyDescent="0.15">
      <c r="A226" s="6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</row>
    <row r="227" spans="1:21" ht="13" x14ac:dyDescent="0.15">
      <c r="A227" s="6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</row>
    <row r="228" spans="1:21" ht="13" x14ac:dyDescent="0.15">
      <c r="A228" s="6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</row>
    <row r="229" spans="1:21" ht="13" x14ac:dyDescent="0.15">
      <c r="A229" s="6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</row>
    <row r="230" spans="1:21" ht="13" x14ac:dyDescent="0.15">
      <c r="A230" s="6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</row>
    <row r="231" spans="1:21" ht="13" x14ac:dyDescent="0.15">
      <c r="A231" s="6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</row>
    <row r="232" spans="1:21" ht="13" x14ac:dyDescent="0.15">
      <c r="A232" s="6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</row>
    <row r="233" spans="1:21" ht="13" x14ac:dyDescent="0.15">
      <c r="A233" s="6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</row>
    <row r="234" spans="1:21" ht="13" x14ac:dyDescent="0.15">
      <c r="A234" s="6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</row>
    <row r="235" spans="1:21" ht="13" x14ac:dyDescent="0.15">
      <c r="A235" s="6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</row>
    <row r="236" spans="1:21" ht="13" x14ac:dyDescent="0.15">
      <c r="A236" s="6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</row>
    <row r="237" spans="1:21" ht="13" x14ac:dyDescent="0.15">
      <c r="A237" s="6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</row>
    <row r="238" spans="1:21" ht="13" x14ac:dyDescent="0.15">
      <c r="A238" s="6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</row>
    <row r="239" spans="1:21" ht="13" x14ac:dyDescent="0.15">
      <c r="A239" s="6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</row>
    <row r="240" spans="1:21" ht="13" x14ac:dyDescent="0.15">
      <c r="A240" s="6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</row>
    <row r="241" spans="1:21" ht="13" x14ac:dyDescent="0.15">
      <c r="A241" s="6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</row>
    <row r="242" spans="1:21" ht="13" x14ac:dyDescent="0.15">
      <c r="A242" s="6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</row>
    <row r="243" spans="1:21" ht="13" x14ac:dyDescent="0.15">
      <c r="A243" s="6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</row>
    <row r="244" spans="1:21" ht="13" x14ac:dyDescent="0.15">
      <c r="A244" s="6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</row>
    <row r="245" spans="1:21" ht="13" x14ac:dyDescent="0.15">
      <c r="A245" s="6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</row>
    <row r="246" spans="1:21" ht="13" x14ac:dyDescent="0.15">
      <c r="A246" s="6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</row>
    <row r="247" spans="1:21" ht="13" x14ac:dyDescent="0.15">
      <c r="A247" s="6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</row>
    <row r="248" spans="1:21" ht="13" x14ac:dyDescent="0.15">
      <c r="A248" s="6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</row>
    <row r="249" spans="1:21" ht="13" x14ac:dyDescent="0.15">
      <c r="A249" s="6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</row>
    <row r="250" spans="1:21" ht="13" x14ac:dyDescent="0.15">
      <c r="A250" s="6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</row>
    <row r="251" spans="1:21" ht="13" x14ac:dyDescent="0.15">
      <c r="A251" s="6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</row>
    <row r="252" spans="1:21" ht="13" x14ac:dyDescent="0.15">
      <c r="A252" s="6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</row>
    <row r="253" spans="1:21" ht="13" x14ac:dyDescent="0.15">
      <c r="A253" s="6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</row>
    <row r="254" spans="1:21" ht="13" x14ac:dyDescent="0.15">
      <c r="A254" s="6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</row>
    <row r="255" spans="1:21" ht="13" x14ac:dyDescent="0.15">
      <c r="A255" s="6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</row>
    <row r="256" spans="1:21" ht="13" x14ac:dyDescent="0.15">
      <c r="A256" s="6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</row>
    <row r="257" spans="1:21" ht="13" x14ac:dyDescent="0.15">
      <c r="A257" s="6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</row>
    <row r="258" spans="1:21" ht="13" x14ac:dyDescent="0.15">
      <c r="A258" s="6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</row>
    <row r="259" spans="1:21" ht="13" x14ac:dyDescent="0.15">
      <c r="A259" s="6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</row>
    <row r="260" spans="1:21" ht="13" x14ac:dyDescent="0.15">
      <c r="A260" s="6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</row>
    <row r="261" spans="1:21" ht="13" x14ac:dyDescent="0.15">
      <c r="A261" s="6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</row>
    <row r="262" spans="1:21" ht="13" x14ac:dyDescent="0.15">
      <c r="A262" s="6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</row>
    <row r="263" spans="1:21" ht="13" x14ac:dyDescent="0.15">
      <c r="A263" s="6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</row>
    <row r="264" spans="1:21" ht="13" x14ac:dyDescent="0.15">
      <c r="A264" s="6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</row>
    <row r="265" spans="1:21" ht="13" x14ac:dyDescent="0.15">
      <c r="A265" s="6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</row>
    <row r="266" spans="1:21" ht="13" x14ac:dyDescent="0.15">
      <c r="A266" s="6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</row>
    <row r="267" spans="1:21" ht="13" x14ac:dyDescent="0.15">
      <c r="A267" s="6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</row>
    <row r="268" spans="1:21" ht="13" x14ac:dyDescent="0.15">
      <c r="A268" s="6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</row>
    <row r="269" spans="1:21" ht="13" x14ac:dyDescent="0.15">
      <c r="A269" s="6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</row>
    <row r="270" spans="1:21" ht="13" x14ac:dyDescent="0.15">
      <c r="A270" s="6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</row>
    <row r="271" spans="1:21" ht="13" x14ac:dyDescent="0.15">
      <c r="A271" s="6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</row>
    <row r="272" spans="1:21" ht="13" x14ac:dyDescent="0.15">
      <c r="A272" s="6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</row>
    <row r="273" spans="1:21" ht="13" x14ac:dyDescent="0.15">
      <c r="A273" s="6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</row>
    <row r="274" spans="1:21" ht="13" x14ac:dyDescent="0.15">
      <c r="A274" s="6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</row>
    <row r="275" spans="1:21" ht="13" x14ac:dyDescent="0.15">
      <c r="A275" s="6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</row>
    <row r="276" spans="1:21" ht="13" x14ac:dyDescent="0.15">
      <c r="A276" s="6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</row>
    <row r="277" spans="1:21" ht="13" x14ac:dyDescent="0.15">
      <c r="A277" s="6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</row>
    <row r="278" spans="1:21" ht="13" x14ac:dyDescent="0.15">
      <c r="A278" s="6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</row>
    <row r="279" spans="1:21" ht="13" x14ac:dyDescent="0.15">
      <c r="A279" s="6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</row>
    <row r="280" spans="1:21" ht="13" x14ac:dyDescent="0.15">
      <c r="A280" s="6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</row>
    <row r="281" spans="1:21" ht="13" x14ac:dyDescent="0.15">
      <c r="A281" s="6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</row>
    <row r="282" spans="1:21" ht="13" x14ac:dyDescent="0.15">
      <c r="A282" s="6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</row>
    <row r="283" spans="1:21" ht="13" x14ac:dyDescent="0.15">
      <c r="A283" s="6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</row>
    <row r="284" spans="1:21" ht="13" x14ac:dyDescent="0.15">
      <c r="A284" s="6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</row>
    <row r="285" spans="1:21" ht="13" x14ac:dyDescent="0.15">
      <c r="A285" s="6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</row>
    <row r="286" spans="1:21" ht="13" x14ac:dyDescent="0.15">
      <c r="A286" s="6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</row>
    <row r="287" spans="1:21" ht="13" x14ac:dyDescent="0.15">
      <c r="A287" s="6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</row>
    <row r="288" spans="1:21" ht="13" x14ac:dyDescent="0.15">
      <c r="A288" s="6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</row>
    <row r="289" spans="1:21" ht="13" x14ac:dyDescent="0.15">
      <c r="A289" s="6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</row>
    <row r="290" spans="1:21" ht="13" x14ac:dyDescent="0.15">
      <c r="A290" s="6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</row>
    <row r="291" spans="1:21" ht="13" x14ac:dyDescent="0.15">
      <c r="A291" s="6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</row>
    <row r="292" spans="1:21" ht="13" x14ac:dyDescent="0.15">
      <c r="A292" s="6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</row>
    <row r="293" spans="1:21" ht="13" x14ac:dyDescent="0.15">
      <c r="A293" s="6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</row>
    <row r="294" spans="1:21" ht="13" x14ac:dyDescent="0.15">
      <c r="A294" s="6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</row>
    <row r="295" spans="1:21" ht="13" x14ac:dyDescent="0.15">
      <c r="A295" s="6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</row>
    <row r="296" spans="1:21" ht="13" x14ac:dyDescent="0.15">
      <c r="A296" s="6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</row>
    <row r="297" spans="1:21" ht="13" x14ac:dyDescent="0.15">
      <c r="A297" s="6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</row>
    <row r="298" spans="1:21" ht="13" x14ac:dyDescent="0.15">
      <c r="A298" s="6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</row>
    <row r="299" spans="1:21" ht="13" x14ac:dyDescent="0.15">
      <c r="A299" s="6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</row>
    <row r="300" spans="1:21" ht="13" x14ac:dyDescent="0.15">
      <c r="A300" s="6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</row>
    <row r="301" spans="1:21" ht="13" x14ac:dyDescent="0.15">
      <c r="A301" s="6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</row>
    <row r="302" spans="1:21" ht="13" x14ac:dyDescent="0.15">
      <c r="A302" s="6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</row>
    <row r="303" spans="1:21" ht="13" x14ac:dyDescent="0.15">
      <c r="A303" s="6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</row>
    <row r="304" spans="1:21" ht="13" x14ac:dyDescent="0.15">
      <c r="A304" s="6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</row>
    <row r="305" spans="1:21" ht="13" x14ac:dyDescent="0.15">
      <c r="A305" s="6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</row>
    <row r="306" spans="1:21" ht="13" x14ac:dyDescent="0.15">
      <c r="A306" s="6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</row>
    <row r="307" spans="1:21" ht="13" x14ac:dyDescent="0.15">
      <c r="A307" s="6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</row>
    <row r="308" spans="1:21" ht="13" x14ac:dyDescent="0.15">
      <c r="A308" s="6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</row>
    <row r="309" spans="1:21" ht="13" x14ac:dyDescent="0.15">
      <c r="A309" s="6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</row>
    <row r="310" spans="1:21" ht="13" x14ac:dyDescent="0.15">
      <c r="A310" s="6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</row>
    <row r="311" spans="1:21" ht="13" x14ac:dyDescent="0.15">
      <c r="A311" s="6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</row>
    <row r="312" spans="1:21" ht="13" x14ac:dyDescent="0.15">
      <c r="A312" s="6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</row>
    <row r="313" spans="1:21" ht="13" x14ac:dyDescent="0.15">
      <c r="A313" s="6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</row>
    <row r="314" spans="1:21" ht="13" x14ac:dyDescent="0.15">
      <c r="A314" s="6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</row>
    <row r="315" spans="1:21" ht="13" x14ac:dyDescent="0.15">
      <c r="A315" s="6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</row>
    <row r="316" spans="1:21" ht="13" x14ac:dyDescent="0.15">
      <c r="A316" s="6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</row>
    <row r="317" spans="1:21" ht="13" x14ac:dyDescent="0.15">
      <c r="A317" s="6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</row>
    <row r="318" spans="1:21" ht="13" x14ac:dyDescent="0.15">
      <c r="A318" s="6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</row>
    <row r="319" spans="1:21" ht="13" x14ac:dyDescent="0.15">
      <c r="A319" s="6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</row>
    <row r="320" spans="1:21" ht="13" x14ac:dyDescent="0.15">
      <c r="A320" s="6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</row>
    <row r="321" spans="1:21" ht="13" x14ac:dyDescent="0.15">
      <c r="A321" s="6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</row>
    <row r="322" spans="1:21" ht="13" x14ac:dyDescent="0.15">
      <c r="A322" s="6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</row>
    <row r="323" spans="1:21" ht="13" x14ac:dyDescent="0.15">
      <c r="A323" s="6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</row>
    <row r="324" spans="1:21" ht="13" x14ac:dyDescent="0.15">
      <c r="A324" s="6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</row>
    <row r="325" spans="1:21" ht="13" x14ac:dyDescent="0.15">
      <c r="A325" s="6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</row>
    <row r="326" spans="1:21" ht="13" x14ac:dyDescent="0.15">
      <c r="A326" s="6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</row>
    <row r="327" spans="1:21" ht="13" x14ac:dyDescent="0.15">
      <c r="A327" s="6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</row>
    <row r="328" spans="1:21" ht="13" x14ac:dyDescent="0.15">
      <c r="A328" s="6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</row>
    <row r="329" spans="1:21" ht="13" x14ac:dyDescent="0.15">
      <c r="A329" s="6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</row>
    <row r="330" spans="1:21" ht="13" x14ac:dyDescent="0.15">
      <c r="A330" s="6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</row>
    <row r="331" spans="1:21" ht="13" x14ac:dyDescent="0.15">
      <c r="A331" s="6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</row>
    <row r="332" spans="1:21" ht="13" x14ac:dyDescent="0.15">
      <c r="A332" s="6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</row>
    <row r="333" spans="1:21" ht="13" x14ac:dyDescent="0.15">
      <c r="A333" s="6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</row>
    <row r="334" spans="1:21" ht="13" x14ac:dyDescent="0.15">
      <c r="A334" s="6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</row>
    <row r="335" spans="1:21" ht="13" x14ac:dyDescent="0.15">
      <c r="A335" s="6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</row>
    <row r="336" spans="1:21" ht="13" x14ac:dyDescent="0.15">
      <c r="A336" s="6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</row>
    <row r="337" spans="1:21" ht="13" x14ac:dyDescent="0.15">
      <c r="A337" s="6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</row>
    <row r="338" spans="1:21" ht="13" x14ac:dyDescent="0.15">
      <c r="A338" s="6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</row>
    <row r="339" spans="1:21" ht="13" x14ac:dyDescent="0.15">
      <c r="A339" s="6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</row>
    <row r="340" spans="1:21" ht="13" x14ac:dyDescent="0.15">
      <c r="A340" s="6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</row>
    <row r="341" spans="1:21" ht="13" x14ac:dyDescent="0.15">
      <c r="A341" s="6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</row>
    <row r="342" spans="1:21" ht="13" x14ac:dyDescent="0.15">
      <c r="A342" s="6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</row>
    <row r="343" spans="1:21" ht="13" x14ac:dyDescent="0.15">
      <c r="A343" s="6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</row>
    <row r="344" spans="1:21" ht="13" x14ac:dyDescent="0.15">
      <c r="A344" s="6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</row>
    <row r="345" spans="1:21" ht="13" x14ac:dyDescent="0.15">
      <c r="A345" s="6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</row>
    <row r="346" spans="1:21" ht="13" x14ac:dyDescent="0.15">
      <c r="A346" s="6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</row>
    <row r="347" spans="1:21" ht="13" x14ac:dyDescent="0.15">
      <c r="A347" s="6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</row>
    <row r="348" spans="1:21" ht="13" x14ac:dyDescent="0.15">
      <c r="A348" s="6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</row>
    <row r="349" spans="1:21" ht="13" x14ac:dyDescent="0.15">
      <c r="A349" s="6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</row>
    <row r="350" spans="1:21" ht="13" x14ac:dyDescent="0.15">
      <c r="A350" s="6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</row>
    <row r="351" spans="1:21" ht="13" x14ac:dyDescent="0.15">
      <c r="A351" s="6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</row>
    <row r="352" spans="1:21" ht="13" x14ac:dyDescent="0.15">
      <c r="A352" s="6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</row>
    <row r="353" spans="1:21" ht="13" x14ac:dyDescent="0.15">
      <c r="A353" s="6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</row>
    <row r="354" spans="1:21" ht="13" x14ac:dyDescent="0.15">
      <c r="A354" s="6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</row>
    <row r="355" spans="1:21" ht="13" x14ac:dyDescent="0.15">
      <c r="A355" s="6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</row>
    <row r="356" spans="1:21" ht="13" x14ac:dyDescent="0.15">
      <c r="A356" s="6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</row>
    <row r="357" spans="1:21" ht="13" x14ac:dyDescent="0.15">
      <c r="A357" s="6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</row>
    <row r="358" spans="1:21" ht="13" x14ac:dyDescent="0.15">
      <c r="A358" s="6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</row>
    <row r="359" spans="1:21" ht="13" x14ac:dyDescent="0.15">
      <c r="A359" s="6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</row>
    <row r="360" spans="1:21" ht="13" x14ac:dyDescent="0.15">
      <c r="A360" s="6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</row>
    <row r="361" spans="1:21" ht="13" x14ac:dyDescent="0.15">
      <c r="A361" s="6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</row>
    <row r="362" spans="1:21" ht="13" x14ac:dyDescent="0.15">
      <c r="A362" s="6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</row>
    <row r="363" spans="1:21" ht="13" x14ac:dyDescent="0.15">
      <c r="A363" s="6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</row>
    <row r="364" spans="1:21" ht="13" x14ac:dyDescent="0.15">
      <c r="A364" s="6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</row>
    <row r="365" spans="1:21" ht="13" x14ac:dyDescent="0.15">
      <c r="A365" s="6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</row>
    <row r="366" spans="1:21" ht="13" x14ac:dyDescent="0.15">
      <c r="A366" s="6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</row>
    <row r="367" spans="1:21" ht="13" x14ac:dyDescent="0.15">
      <c r="A367" s="6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</row>
    <row r="368" spans="1:21" ht="13" x14ac:dyDescent="0.15">
      <c r="A368" s="6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</row>
    <row r="369" spans="1:21" ht="13" x14ac:dyDescent="0.15">
      <c r="A369" s="6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</row>
    <row r="370" spans="1:21" ht="13" x14ac:dyDescent="0.15">
      <c r="A370" s="6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</row>
    <row r="371" spans="1:21" ht="13" x14ac:dyDescent="0.15">
      <c r="A371" s="6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</row>
    <row r="372" spans="1:21" ht="13" x14ac:dyDescent="0.15">
      <c r="A372" s="6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</row>
    <row r="373" spans="1:21" ht="13" x14ac:dyDescent="0.15">
      <c r="A373" s="6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</row>
    <row r="374" spans="1:21" ht="13" x14ac:dyDescent="0.15">
      <c r="A374" s="6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</row>
    <row r="375" spans="1:21" ht="13" x14ac:dyDescent="0.15">
      <c r="A375" s="6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</row>
    <row r="376" spans="1:21" ht="13" x14ac:dyDescent="0.15">
      <c r="A376" s="6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</row>
    <row r="377" spans="1:21" ht="13" x14ac:dyDescent="0.15">
      <c r="A377" s="6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</row>
    <row r="378" spans="1:21" ht="13" x14ac:dyDescent="0.15">
      <c r="A378" s="6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</row>
    <row r="379" spans="1:21" ht="13" x14ac:dyDescent="0.15">
      <c r="A379" s="6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</row>
    <row r="380" spans="1:21" ht="13" x14ac:dyDescent="0.15">
      <c r="A380" s="6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</row>
    <row r="381" spans="1:21" ht="13" x14ac:dyDescent="0.15">
      <c r="A381" s="6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</row>
    <row r="382" spans="1:21" ht="13" x14ac:dyDescent="0.15">
      <c r="A382" s="6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</row>
    <row r="383" spans="1:21" ht="13" x14ac:dyDescent="0.15">
      <c r="A383" s="6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</row>
    <row r="384" spans="1:21" ht="13" x14ac:dyDescent="0.15">
      <c r="A384" s="6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</row>
    <row r="385" spans="1:21" ht="13" x14ac:dyDescent="0.15">
      <c r="A385" s="6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</row>
    <row r="386" spans="1:21" ht="13" x14ac:dyDescent="0.15">
      <c r="A386" s="6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</row>
    <row r="387" spans="1:21" ht="13" x14ac:dyDescent="0.15">
      <c r="A387" s="6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</row>
    <row r="388" spans="1:21" ht="13" x14ac:dyDescent="0.15">
      <c r="A388" s="6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</row>
    <row r="389" spans="1:21" ht="13" x14ac:dyDescent="0.15">
      <c r="A389" s="6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</row>
    <row r="390" spans="1:21" ht="13" x14ac:dyDescent="0.15">
      <c r="A390" s="6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</row>
    <row r="391" spans="1:21" ht="13" x14ac:dyDescent="0.15">
      <c r="A391" s="6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</row>
    <row r="392" spans="1:21" ht="13" x14ac:dyDescent="0.15">
      <c r="A392" s="6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</row>
    <row r="393" spans="1:21" ht="13" x14ac:dyDescent="0.15">
      <c r="A393" s="6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</row>
    <row r="394" spans="1:21" ht="13" x14ac:dyDescent="0.15">
      <c r="A394" s="6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</row>
    <row r="395" spans="1:21" ht="13" x14ac:dyDescent="0.15">
      <c r="A395" s="6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</row>
    <row r="396" spans="1:21" ht="13" x14ac:dyDescent="0.15">
      <c r="A396" s="6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</row>
    <row r="397" spans="1:21" ht="13" x14ac:dyDescent="0.15">
      <c r="A397" s="6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</row>
    <row r="398" spans="1:21" ht="13" x14ac:dyDescent="0.15">
      <c r="A398" s="6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</row>
    <row r="399" spans="1:21" ht="13" x14ac:dyDescent="0.15">
      <c r="A399" s="6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</row>
    <row r="400" spans="1:21" ht="13" x14ac:dyDescent="0.15">
      <c r="A400" s="6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</row>
    <row r="401" spans="1:21" ht="13" x14ac:dyDescent="0.15">
      <c r="A401" s="6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</row>
    <row r="402" spans="1:21" ht="13" x14ac:dyDescent="0.15">
      <c r="A402" s="6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</row>
    <row r="403" spans="1:21" ht="13" x14ac:dyDescent="0.15">
      <c r="A403" s="6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</row>
    <row r="404" spans="1:21" ht="13" x14ac:dyDescent="0.15">
      <c r="A404" s="6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</row>
    <row r="405" spans="1:21" ht="13" x14ac:dyDescent="0.15">
      <c r="A405" s="6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</row>
    <row r="406" spans="1:21" ht="13" x14ac:dyDescent="0.15">
      <c r="A406" s="6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</row>
    <row r="407" spans="1:21" ht="13" x14ac:dyDescent="0.15">
      <c r="A407" s="6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</row>
    <row r="408" spans="1:21" ht="13" x14ac:dyDescent="0.15">
      <c r="A408" s="6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</row>
    <row r="409" spans="1:21" ht="13" x14ac:dyDescent="0.15">
      <c r="A409" s="6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</row>
    <row r="410" spans="1:21" ht="13" x14ac:dyDescent="0.15">
      <c r="A410" s="6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</row>
    <row r="411" spans="1:21" ht="13" x14ac:dyDescent="0.15">
      <c r="A411" s="6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</row>
    <row r="412" spans="1:21" ht="13" x14ac:dyDescent="0.15">
      <c r="A412" s="6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</row>
    <row r="413" spans="1:21" ht="13" x14ac:dyDescent="0.15">
      <c r="A413" s="6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</row>
    <row r="414" spans="1:21" ht="13" x14ac:dyDescent="0.15">
      <c r="A414" s="6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</row>
    <row r="415" spans="1:21" ht="13" x14ac:dyDescent="0.15">
      <c r="A415" s="6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</row>
    <row r="416" spans="1:21" ht="13" x14ac:dyDescent="0.15">
      <c r="A416" s="6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</row>
    <row r="417" spans="1:21" ht="13" x14ac:dyDescent="0.15">
      <c r="A417" s="6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</row>
    <row r="418" spans="1:21" ht="13" x14ac:dyDescent="0.15">
      <c r="A418" s="6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</row>
    <row r="419" spans="1:21" ht="13" x14ac:dyDescent="0.15">
      <c r="A419" s="6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</row>
    <row r="420" spans="1:21" ht="13" x14ac:dyDescent="0.15">
      <c r="A420" s="6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</row>
    <row r="421" spans="1:21" ht="13" x14ac:dyDescent="0.15">
      <c r="A421" s="6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</row>
    <row r="422" spans="1:21" ht="13" x14ac:dyDescent="0.15">
      <c r="A422" s="6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</row>
    <row r="423" spans="1:21" ht="13" x14ac:dyDescent="0.15">
      <c r="A423" s="6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</row>
    <row r="424" spans="1:21" ht="13" x14ac:dyDescent="0.15">
      <c r="A424" s="6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</row>
    <row r="425" spans="1:21" ht="13" x14ac:dyDescent="0.15">
      <c r="A425" s="6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</row>
    <row r="426" spans="1:21" ht="13" x14ac:dyDescent="0.15">
      <c r="A426" s="6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</row>
    <row r="427" spans="1:21" ht="13" x14ac:dyDescent="0.15">
      <c r="A427" s="6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</row>
    <row r="428" spans="1:21" ht="13" x14ac:dyDescent="0.15">
      <c r="A428" s="6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</row>
    <row r="429" spans="1:21" ht="13" x14ac:dyDescent="0.15">
      <c r="A429" s="6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</row>
    <row r="430" spans="1:21" ht="13" x14ac:dyDescent="0.15">
      <c r="A430" s="6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</row>
    <row r="431" spans="1:21" ht="13" x14ac:dyDescent="0.15">
      <c r="A431" s="6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</row>
    <row r="432" spans="1:21" ht="13" x14ac:dyDescent="0.15">
      <c r="A432" s="6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</row>
    <row r="433" spans="1:21" ht="13" x14ac:dyDescent="0.15">
      <c r="A433" s="6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</row>
    <row r="434" spans="1:21" ht="13" x14ac:dyDescent="0.15">
      <c r="A434" s="6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</row>
    <row r="435" spans="1:21" ht="13" x14ac:dyDescent="0.15">
      <c r="A435" s="6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</row>
    <row r="436" spans="1:21" ht="13" x14ac:dyDescent="0.15">
      <c r="A436" s="6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</row>
    <row r="437" spans="1:21" ht="13" x14ac:dyDescent="0.15">
      <c r="A437" s="6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</row>
    <row r="438" spans="1:21" ht="13" x14ac:dyDescent="0.15">
      <c r="A438" s="6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</row>
    <row r="439" spans="1:21" ht="13" x14ac:dyDescent="0.15">
      <c r="A439" s="6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</row>
    <row r="440" spans="1:21" ht="13" x14ac:dyDescent="0.15">
      <c r="A440" s="6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</row>
    <row r="441" spans="1:21" ht="13" x14ac:dyDescent="0.15">
      <c r="A441" s="6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</row>
    <row r="442" spans="1:21" ht="13" x14ac:dyDescent="0.15">
      <c r="A442" s="6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</row>
    <row r="443" spans="1:21" ht="13" x14ac:dyDescent="0.15">
      <c r="A443" s="6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</row>
    <row r="444" spans="1:21" ht="13" x14ac:dyDescent="0.15">
      <c r="A444" s="6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</row>
    <row r="445" spans="1:21" ht="13" x14ac:dyDescent="0.15">
      <c r="A445" s="6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</row>
    <row r="446" spans="1:21" ht="13" x14ac:dyDescent="0.15">
      <c r="A446" s="6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</row>
    <row r="447" spans="1:21" ht="13" x14ac:dyDescent="0.15">
      <c r="A447" s="6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</row>
    <row r="448" spans="1:21" ht="13" x14ac:dyDescent="0.15">
      <c r="A448" s="6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</row>
    <row r="449" spans="1:21" ht="13" x14ac:dyDescent="0.15">
      <c r="A449" s="6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</row>
    <row r="450" spans="1:21" ht="13" x14ac:dyDescent="0.15">
      <c r="A450" s="6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</row>
    <row r="451" spans="1:21" ht="13" x14ac:dyDescent="0.15">
      <c r="A451" s="6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</row>
    <row r="452" spans="1:21" ht="13" x14ac:dyDescent="0.15">
      <c r="A452" s="6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</row>
    <row r="453" spans="1:21" ht="13" x14ac:dyDescent="0.15">
      <c r="A453" s="6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</row>
    <row r="454" spans="1:21" ht="13" x14ac:dyDescent="0.15">
      <c r="A454" s="6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</row>
    <row r="455" spans="1:21" ht="13" x14ac:dyDescent="0.15">
      <c r="A455" s="6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</row>
    <row r="456" spans="1:21" ht="13" x14ac:dyDescent="0.15">
      <c r="A456" s="6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</row>
    <row r="457" spans="1:21" ht="13" x14ac:dyDescent="0.15">
      <c r="A457" s="6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</row>
    <row r="458" spans="1:21" ht="13" x14ac:dyDescent="0.15">
      <c r="A458" s="6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</row>
    <row r="459" spans="1:21" ht="13" x14ac:dyDescent="0.15">
      <c r="A459" s="6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</row>
    <row r="460" spans="1:21" ht="13" x14ac:dyDescent="0.15">
      <c r="A460" s="6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</row>
    <row r="461" spans="1:21" ht="13" x14ac:dyDescent="0.15">
      <c r="A461" s="6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</row>
    <row r="462" spans="1:21" ht="13" x14ac:dyDescent="0.15">
      <c r="A462" s="6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</row>
    <row r="463" spans="1:21" ht="13" x14ac:dyDescent="0.15">
      <c r="A463" s="6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</row>
    <row r="464" spans="1:21" ht="13" x14ac:dyDescent="0.15">
      <c r="A464" s="6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</row>
    <row r="465" spans="1:21" ht="13" x14ac:dyDescent="0.15">
      <c r="A465" s="6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</row>
    <row r="466" spans="1:21" ht="13" x14ac:dyDescent="0.15">
      <c r="A466" s="6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</row>
    <row r="467" spans="1:21" ht="13" x14ac:dyDescent="0.15">
      <c r="A467" s="6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</row>
    <row r="468" spans="1:21" ht="13" x14ac:dyDescent="0.15">
      <c r="A468" s="6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</row>
    <row r="469" spans="1:21" ht="13" x14ac:dyDescent="0.15">
      <c r="A469" s="6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</row>
    <row r="470" spans="1:21" ht="13" x14ac:dyDescent="0.15">
      <c r="A470" s="6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</row>
    <row r="471" spans="1:21" ht="13" x14ac:dyDescent="0.15">
      <c r="A471" s="6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</row>
    <row r="472" spans="1:21" ht="13" x14ac:dyDescent="0.15">
      <c r="A472" s="6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</row>
    <row r="473" spans="1:21" ht="13" x14ac:dyDescent="0.15">
      <c r="A473" s="6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</row>
    <row r="474" spans="1:21" ht="13" x14ac:dyDescent="0.15">
      <c r="A474" s="6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</row>
    <row r="475" spans="1:21" ht="13" x14ac:dyDescent="0.15">
      <c r="A475" s="6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</row>
    <row r="476" spans="1:21" ht="13" x14ac:dyDescent="0.15">
      <c r="A476" s="6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</row>
    <row r="477" spans="1:21" ht="13" x14ac:dyDescent="0.15">
      <c r="A477" s="6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</row>
    <row r="478" spans="1:21" ht="13" x14ac:dyDescent="0.15">
      <c r="A478" s="6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</row>
    <row r="479" spans="1:21" ht="13" x14ac:dyDescent="0.15">
      <c r="A479" s="6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</row>
    <row r="480" spans="1:21" ht="13" x14ac:dyDescent="0.15">
      <c r="A480" s="6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</row>
    <row r="481" spans="1:21" ht="13" x14ac:dyDescent="0.15">
      <c r="A481" s="6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</row>
    <row r="482" spans="1:21" ht="13" x14ac:dyDescent="0.15">
      <c r="A482" s="6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</row>
    <row r="483" spans="1:21" ht="13" x14ac:dyDescent="0.15">
      <c r="A483" s="6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</row>
    <row r="484" spans="1:21" ht="13" x14ac:dyDescent="0.15">
      <c r="A484" s="6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</row>
    <row r="485" spans="1:21" ht="13" x14ac:dyDescent="0.15">
      <c r="A485" s="6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</row>
    <row r="486" spans="1:21" ht="13" x14ac:dyDescent="0.15">
      <c r="A486" s="6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</row>
    <row r="487" spans="1:21" ht="13" x14ac:dyDescent="0.15">
      <c r="A487" s="6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</row>
    <row r="488" spans="1:21" ht="13" x14ac:dyDescent="0.15">
      <c r="A488" s="6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</row>
    <row r="489" spans="1:21" ht="13" x14ac:dyDescent="0.15">
      <c r="A489" s="6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</row>
    <row r="490" spans="1:21" ht="13" x14ac:dyDescent="0.15">
      <c r="A490" s="6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</row>
    <row r="491" spans="1:21" ht="13" x14ac:dyDescent="0.15">
      <c r="A491" s="6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</row>
    <row r="492" spans="1:21" ht="13" x14ac:dyDescent="0.15">
      <c r="A492" s="6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</row>
    <row r="493" spans="1:21" ht="13" x14ac:dyDescent="0.15">
      <c r="A493" s="6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</row>
    <row r="494" spans="1:21" ht="13" x14ac:dyDescent="0.15">
      <c r="A494" s="6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</row>
    <row r="495" spans="1:21" ht="13" x14ac:dyDescent="0.15">
      <c r="A495" s="6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</row>
    <row r="496" spans="1:21" ht="13" x14ac:dyDescent="0.15">
      <c r="A496" s="6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</row>
    <row r="497" spans="1:21" ht="13" x14ac:dyDescent="0.15">
      <c r="A497" s="6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</row>
    <row r="498" spans="1:21" ht="13" x14ac:dyDescent="0.15">
      <c r="A498" s="6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</row>
    <row r="499" spans="1:21" ht="13" x14ac:dyDescent="0.15">
      <c r="A499" s="6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</row>
    <row r="500" spans="1:21" ht="13" x14ac:dyDescent="0.15">
      <c r="A500" s="6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</row>
    <row r="501" spans="1:21" ht="13" x14ac:dyDescent="0.15">
      <c r="A501" s="6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</row>
    <row r="502" spans="1:21" ht="13" x14ac:dyDescent="0.15">
      <c r="A502" s="6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</row>
    <row r="503" spans="1:21" ht="13" x14ac:dyDescent="0.15">
      <c r="A503" s="6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</row>
    <row r="504" spans="1:21" ht="13" x14ac:dyDescent="0.15">
      <c r="A504" s="6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</row>
    <row r="505" spans="1:21" ht="13" x14ac:dyDescent="0.15">
      <c r="A505" s="6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</row>
    <row r="506" spans="1:21" ht="13" x14ac:dyDescent="0.15">
      <c r="A506" s="6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</row>
    <row r="507" spans="1:21" ht="13" x14ac:dyDescent="0.15">
      <c r="A507" s="6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</row>
    <row r="508" spans="1:21" ht="13" x14ac:dyDescent="0.15">
      <c r="A508" s="6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</row>
    <row r="509" spans="1:21" ht="13" x14ac:dyDescent="0.15">
      <c r="A509" s="6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</row>
    <row r="510" spans="1:21" ht="13" x14ac:dyDescent="0.15">
      <c r="A510" s="6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</row>
    <row r="511" spans="1:21" ht="13" x14ac:dyDescent="0.15">
      <c r="A511" s="6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</row>
    <row r="512" spans="1:21" ht="13" x14ac:dyDescent="0.15">
      <c r="A512" s="6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</row>
    <row r="513" spans="1:21" ht="13" x14ac:dyDescent="0.15">
      <c r="A513" s="6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</row>
    <row r="514" spans="1:21" ht="13" x14ac:dyDescent="0.15">
      <c r="A514" s="6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</row>
    <row r="515" spans="1:21" ht="13" x14ac:dyDescent="0.15">
      <c r="A515" s="6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</row>
    <row r="516" spans="1:21" ht="13" x14ac:dyDescent="0.15">
      <c r="A516" s="6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</row>
    <row r="517" spans="1:21" ht="13" x14ac:dyDescent="0.15">
      <c r="A517" s="6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</row>
    <row r="518" spans="1:21" ht="13" x14ac:dyDescent="0.15">
      <c r="A518" s="6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</row>
    <row r="519" spans="1:21" ht="13" x14ac:dyDescent="0.15">
      <c r="A519" s="6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</row>
    <row r="520" spans="1:21" ht="13" x14ac:dyDescent="0.15">
      <c r="A520" s="6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</row>
    <row r="521" spans="1:21" ht="13" x14ac:dyDescent="0.15">
      <c r="A521" s="6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</row>
    <row r="522" spans="1:21" ht="13" x14ac:dyDescent="0.15">
      <c r="A522" s="6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</row>
    <row r="523" spans="1:21" ht="13" x14ac:dyDescent="0.15">
      <c r="A523" s="6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</row>
    <row r="524" spans="1:21" ht="13" x14ac:dyDescent="0.15">
      <c r="A524" s="6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</row>
    <row r="525" spans="1:21" ht="13" x14ac:dyDescent="0.15">
      <c r="A525" s="6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</row>
    <row r="526" spans="1:21" ht="13" x14ac:dyDescent="0.15">
      <c r="A526" s="6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</row>
    <row r="527" spans="1:21" ht="13" x14ac:dyDescent="0.15">
      <c r="A527" s="6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</row>
    <row r="528" spans="1:21" ht="13" x14ac:dyDescent="0.15">
      <c r="A528" s="6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</row>
    <row r="529" spans="1:21" ht="13" x14ac:dyDescent="0.15">
      <c r="A529" s="6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</row>
    <row r="530" spans="1:21" ht="13" x14ac:dyDescent="0.15">
      <c r="A530" s="6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</row>
    <row r="531" spans="1:21" ht="13" x14ac:dyDescent="0.15">
      <c r="A531" s="6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</row>
    <row r="532" spans="1:21" ht="13" x14ac:dyDescent="0.15">
      <c r="A532" s="6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</row>
    <row r="533" spans="1:21" ht="13" x14ac:dyDescent="0.15">
      <c r="A533" s="6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</row>
    <row r="534" spans="1:21" ht="13" x14ac:dyDescent="0.15">
      <c r="A534" s="6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</row>
    <row r="535" spans="1:21" ht="13" x14ac:dyDescent="0.15">
      <c r="A535" s="6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</row>
    <row r="536" spans="1:21" ht="13" x14ac:dyDescent="0.15">
      <c r="A536" s="6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</row>
    <row r="537" spans="1:21" ht="13" x14ac:dyDescent="0.15">
      <c r="A537" s="6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</row>
    <row r="538" spans="1:21" ht="13" x14ac:dyDescent="0.15">
      <c r="A538" s="6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</row>
    <row r="539" spans="1:21" ht="13" x14ac:dyDescent="0.15">
      <c r="A539" s="6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</row>
    <row r="540" spans="1:21" ht="13" x14ac:dyDescent="0.15">
      <c r="A540" s="6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</row>
    <row r="541" spans="1:21" ht="13" x14ac:dyDescent="0.15">
      <c r="A541" s="6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</row>
    <row r="542" spans="1:21" ht="13" x14ac:dyDescent="0.15">
      <c r="A542" s="6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</row>
    <row r="543" spans="1:21" ht="13" x14ac:dyDescent="0.15">
      <c r="A543" s="6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</row>
    <row r="544" spans="1:21" ht="13" x14ac:dyDescent="0.15">
      <c r="A544" s="6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</row>
    <row r="545" spans="1:21" ht="13" x14ac:dyDescent="0.15">
      <c r="A545" s="6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</row>
    <row r="546" spans="1:21" ht="13" x14ac:dyDescent="0.15">
      <c r="A546" s="6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</row>
    <row r="547" spans="1:21" ht="13" x14ac:dyDescent="0.15">
      <c r="A547" s="6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</row>
    <row r="548" spans="1:21" ht="13" x14ac:dyDescent="0.15">
      <c r="A548" s="6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</row>
    <row r="549" spans="1:21" ht="13" x14ac:dyDescent="0.15">
      <c r="A549" s="6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</row>
    <row r="550" spans="1:21" ht="13" x14ac:dyDescent="0.15">
      <c r="A550" s="6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</row>
    <row r="551" spans="1:21" ht="13" x14ac:dyDescent="0.15">
      <c r="A551" s="6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</row>
    <row r="552" spans="1:21" ht="13" x14ac:dyDescent="0.15">
      <c r="A552" s="6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</row>
    <row r="553" spans="1:21" ht="13" x14ac:dyDescent="0.15">
      <c r="A553" s="6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</row>
    <row r="554" spans="1:21" ht="13" x14ac:dyDescent="0.15">
      <c r="A554" s="6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</row>
    <row r="555" spans="1:21" ht="13" x14ac:dyDescent="0.15">
      <c r="A555" s="6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</row>
    <row r="556" spans="1:21" ht="13" x14ac:dyDescent="0.15">
      <c r="A556" s="6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</row>
    <row r="557" spans="1:21" ht="13" x14ac:dyDescent="0.15">
      <c r="A557" s="6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</row>
    <row r="558" spans="1:21" ht="13" x14ac:dyDescent="0.15">
      <c r="A558" s="6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</row>
    <row r="559" spans="1:21" ht="13" x14ac:dyDescent="0.15">
      <c r="A559" s="6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</row>
    <row r="560" spans="1:21" ht="13" x14ac:dyDescent="0.15">
      <c r="A560" s="6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</row>
    <row r="561" spans="1:21" ht="13" x14ac:dyDescent="0.15">
      <c r="A561" s="6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</row>
    <row r="562" spans="1:21" ht="13" x14ac:dyDescent="0.15">
      <c r="A562" s="6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</row>
    <row r="563" spans="1:21" ht="13" x14ac:dyDescent="0.15">
      <c r="A563" s="6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</row>
    <row r="564" spans="1:21" ht="13" x14ac:dyDescent="0.15">
      <c r="A564" s="6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</row>
    <row r="565" spans="1:21" ht="13" x14ac:dyDescent="0.15">
      <c r="A565" s="6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</row>
    <row r="566" spans="1:21" ht="13" x14ac:dyDescent="0.15">
      <c r="A566" s="6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</row>
    <row r="567" spans="1:21" ht="13" x14ac:dyDescent="0.15">
      <c r="A567" s="6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</row>
    <row r="568" spans="1:21" ht="13" x14ac:dyDescent="0.15">
      <c r="A568" s="6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</row>
    <row r="569" spans="1:21" ht="13" x14ac:dyDescent="0.15">
      <c r="A569" s="6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</row>
    <row r="570" spans="1:21" ht="13" x14ac:dyDescent="0.15">
      <c r="A570" s="6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</row>
    <row r="571" spans="1:21" ht="13" x14ac:dyDescent="0.15">
      <c r="A571" s="6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</row>
    <row r="572" spans="1:21" ht="13" x14ac:dyDescent="0.15">
      <c r="A572" s="6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</row>
    <row r="573" spans="1:21" ht="13" x14ac:dyDescent="0.15">
      <c r="A573" s="6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</row>
    <row r="574" spans="1:21" ht="13" x14ac:dyDescent="0.15">
      <c r="A574" s="6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</row>
    <row r="575" spans="1:21" ht="13" x14ac:dyDescent="0.15">
      <c r="A575" s="6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</row>
    <row r="576" spans="1:21" ht="13" x14ac:dyDescent="0.15">
      <c r="A576" s="6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</row>
    <row r="577" spans="1:21" ht="13" x14ac:dyDescent="0.15">
      <c r="A577" s="6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</row>
    <row r="578" spans="1:21" ht="13" x14ac:dyDescent="0.15">
      <c r="A578" s="6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</row>
    <row r="579" spans="1:21" ht="13" x14ac:dyDescent="0.15">
      <c r="A579" s="6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</row>
    <row r="580" spans="1:21" ht="13" x14ac:dyDescent="0.15">
      <c r="A580" s="6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</row>
    <row r="581" spans="1:21" ht="13" x14ac:dyDescent="0.15">
      <c r="A581" s="6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</row>
    <row r="582" spans="1:21" ht="13" x14ac:dyDescent="0.15">
      <c r="A582" s="6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</row>
    <row r="583" spans="1:21" ht="13" x14ac:dyDescent="0.15">
      <c r="A583" s="6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</row>
    <row r="584" spans="1:21" ht="13" x14ac:dyDescent="0.15">
      <c r="A584" s="6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</row>
    <row r="585" spans="1:21" ht="13" x14ac:dyDescent="0.15">
      <c r="A585" s="6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</row>
    <row r="586" spans="1:21" ht="13" x14ac:dyDescent="0.15">
      <c r="A586" s="6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</row>
    <row r="587" spans="1:21" ht="13" x14ac:dyDescent="0.15">
      <c r="A587" s="6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</row>
    <row r="588" spans="1:21" ht="13" x14ac:dyDescent="0.15">
      <c r="A588" s="6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</row>
    <row r="589" spans="1:21" ht="13" x14ac:dyDescent="0.15">
      <c r="A589" s="6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</row>
    <row r="590" spans="1:21" ht="13" x14ac:dyDescent="0.15">
      <c r="A590" s="6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</row>
    <row r="591" spans="1:21" ht="13" x14ac:dyDescent="0.15">
      <c r="A591" s="6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</row>
    <row r="592" spans="1:21" ht="13" x14ac:dyDescent="0.15">
      <c r="A592" s="6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</row>
    <row r="593" spans="1:21" ht="13" x14ac:dyDescent="0.15">
      <c r="A593" s="6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</row>
    <row r="594" spans="1:21" ht="13" x14ac:dyDescent="0.15">
      <c r="A594" s="6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</row>
    <row r="595" spans="1:21" ht="13" x14ac:dyDescent="0.15">
      <c r="A595" s="6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</row>
    <row r="596" spans="1:21" ht="13" x14ac:dyDescent="0.15">
      <c r="A596" s="6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</row>
    <row r="597" spans="1:21" ht="13" x14ac:dyDescent="0.15">
      <c r="A597" s="6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</row>
    <row r="598" spans="1:21" ht="13" x14ac:dyDescent="0.15">
      <c r="A598" s="6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</row>
    <row r="599" spans="1:21" ht="13" x14ac:dyDescent="0.15">
      <c r="A599" s="6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</row>
    <row r="600" spans="1:21" ht="13" x14ac:dyDescent="0.15">
      <c r="A600" s="6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</row>
    <row r="601" spans="1:21" ht="13" x14ac:dyDescent="0.15">
      <c r="A601" s="6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</row>
    <row r="602" spans="1:21" ht="13" x14ac:dyDescent="0.15">
      <c r="A602" s="6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</row>
    <row r="603" spans="1:21" ht="13" x14ac:dyDescent="0.15">
      <c r="A603" s="6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</row>
    <row r="604" spans="1:21" ht="13" x14ac:dyDescent="0.15">
      <c r="A604" s="6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</row>
    <row r="605" spans="1:21" ht="13" x14ac:dyDescent="0.15">
      <c r="A605" s="6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</row>
    <row r="606" spans="1:21" ht="13" x14ac:dyDescent="0.15">
      <c r="A606" s="6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</row>
    <row r="607" spans="1:21" ht="13" x14ac:dyDescent="0.15">
      <c r="A607" s="6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</row>
    <row r="608" spans="1:21" ht="13" x14ac:dyDescent="0.15">
      <c r="A608" s="6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</row>
    <row r="609" spans="1:21" ht="13" x14ac:dyDescent="0.15">
      <c r="A609" s="6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</row>
    <row r="610" spans="1:21" ht="13" x14ac:dyDescent="0.15">
      <c r="A610" s="6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</row>
    <row r="611" spans="1:21" ht="13" x14ac:dyDescent="0.15">
      <c r="A611" s="6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</row>
    <row r="612" spans="1:21" ht="13" x14ac:dyDescent="0.15">
      <c r="A612" s="6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</row>
    <row r="613" spans="1:21" ht="13" x14ac:dyDescent="0.15">
      <c r="A613" s="6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</row>
    <row r="614" spans="1:21" ht="13" x14ac:dyDescent="0.15">
      <c r="A614" s="6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</row>
    <row r="615" spans="1:21" ht="13" x14ac:dyDescent="0.15">
      <c r="A615" s="6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</row>
    <row r="616" spans="1:21" ht="13" x14ac:dyDescent="0.15">
      <c r="A616" s="6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</row>
    <row r="617" spans="1:21" ht="13" x14ac:dyDescent="0.15">
      <c r="A617" s="6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</row>
    <row r="618" spans="1:21" ht="13" x14ac:dyDescent="0.15">
      <c r="A618" s="6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</row>
    <row r="619" spans="1:21" ht="13" x14ac:dyDescent="0.15">
      <c r="A619" s="6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</row>
    <row r="620" spans="1:21" ht="13" x14ac:dyDescent="0.15">
      <c r="A620" s="6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</row>
    <row r="621" spans="1:21" ht="13" x14ac:dyDescent="0.15">
      <c r="A621" s="6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</row>
    <row r="622" spans="1:21" ht="13" x14ac:dyDescent="0.15">
      <c r="A622" s="6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</row>
    <row r="623" spans="1:21" ht="13" x14ac:dyDescent="0.15">
      <c r="A623" s="6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</row>
    <row r="624" spans="1:21" ht="13" x14ac:dyDescent="0.15">
      <c r="A624" s="6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</row>
    <row r="625" spans="1:21" ht="13" x14ac:dyDescent="0.15">
      <c r="A625" s="6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</row>
    <row r="626" spans="1:21" ht="13" x14ac:dyDescent="0.15">
      <c r="A626" s="6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</row>
    <row r="627" spans="1:21" ht="13" x14ac:dyDescent="0.15">
      <c r="A627" s="6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</row>
    <row r="628" spans="1:21" ht="13" x14ac:dyDescent="0.15">
      <c r="A628" s="6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</row>
    <row r="629" spans="1:21" ht="13" x14ac:dyDescent="0.15">
      <c r="A629" s="6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</row>
    <row r="630" spans="1:21" ht="13" x14ac:dyDescent="0.15">
      <c r="A630" s="6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</row>
    <row r="631" spans="1:21" ht="13" x14ac:dyDescent="0.15">
      <c r="A631" s="6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</row>
    <row r="632" spans="1:21" ht="13" x14ac:dyDescent="0.15">
      <c r="A632" s="6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</row>
    <row r="633" spans="1:21" ht="13" x14ac:dyDescent="0.15">
      <c r="A633" s="6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</row>
    <row r="634" spans="1:21" ht="13" x14ac:dyDescent="0.15">
      <c r="A634" s="6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</row>
    <row r="635" spans="1:21" ht="13" x14ac:dyDescent="0.15">
      <c r="A635" s="6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</row>
    <row r="636" spans="1:21" ht="13" x14ac:dyDescent="0.15">
      <c r="A636" s="6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</row>
    <row r="637" spans="1:21" ht="13" x14ac:dyDescent="0.15">
      <c r="A637" s="6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</row>
    <row r="638" spans="1:21" ht="13" x14ac:dyDescent="0.15">
      <c r="A638" s="6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</row>
    <row r="639" spans="1:21" ht="13" x14ac:dyDescent="0.15">
      <c r="A639" s="6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</row>
    <row r="640" spans="1:21" ht="13" x14ac:dyDescent="0.15">
      <c r="A640" s="6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</row>
    <row r="641" spans="1:21" ht="13" x14ac:dyDescent="0.15">
      <c r="A641" s="6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</row>
    <row r="642" spans="1:21" ht="13" x14ac:dyDescent="0.15">
      <c r="A642" s="6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</row>
    <row r="643" spans="1:21" ht="13" x14ac:dyDescent="0.15">
      <c r="A643" s="6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</row>
    <row r="644" spans="1:21" ht="13" x14ac:dyDescent="0.15">
      <c r="A644" s="6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</row>
    <row r="645" spans="1:21" ht="13" x14ac:dyDescent="0.15">
      <c r="A645" s="6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</row>
    <row r="646" spans="1:21" ht="13" x14ac:dyDescent="0.15">
      <c r="A646" s="6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</row>
    <row r="647" spans="1:21" ht="13" x14ac:dyDescent="0.15">
      <c r="A647" s="6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</row>
    <row r="648" spans="1:21" ht="13" x14ac:dyDescent="0.15">
      <c r="A648" s="6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</row>
    <row r="649" spans="1:21" ht="13" x14ac:dyDescent="0.15">
      <c r="A649" s="6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</row>
    <row r="650" spans="1:21" ht="13" x14ac:dyDescent="0.15">
      <c r="A650" s="6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</row>
    <row r="651" spans="1:21" ht="13" x14ac:dyDescent="0.15">
      <c r="A651" s="6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</row>
    <row r="652" spans="1:21" ht="13" x14ac:dyDescent="0.15">
      <c r="A652" s="6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</row>
    <row r="653" spans="1:21" ht="13" x14ac:dyDescent="0.15">
      <c r="A653" s="6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</row>
    <row r="654" spans="1:21" ht="13" x14ac:dyDescent="0.15">
      <c r="A654" s="6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</row>
    <row r="655" spans="1:21" ht="13" x14ac:dyDescent="0.15">
      <c r="A655" s="6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</row>
    <row r="656" spans="1:21" ht="13" x14ac:dyDescent="0.15">
      <c r="A656" s="6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</row>
    <row r="657" spans="1:21" ht="13" x14ac:dyDescent="0.15">
      <c r="A657" s="6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</row>
    <row r="658" spans="1:21" ht="13" x14ac:dyDescent="0.15">
      <c r="A658" s="6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</row>
    <row r="659" spans="1:21" ht="13" x14ac:dyDescent="0.15">
      <c r="A659" s="6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</row>
    <row r="660" spans="1:21" ht="13" x14ac:dyDescent="0.15">
      <c r="A660" s="6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</row>
    <row r="661" spans="1:21" ht="13" x14ac:dyDescent="0.15">
      <c r="A661" s="6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</row>
    <row r="662" spans="1:21" ht="13" x14ac:dyDescent="0.15">
      <c r="A662" s="6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</row>
    <row r="663" spans="1:21" ht="13" x14ac:dyDescent="0.15">
      <c r="A663" s="6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</row>
    <row r="664" spans="1:21" ht="13" x14ac:dyDescent="0.15">
      <c r="A664" s="6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</row>
    <row r="665" spans="1:21" ht="13" x14ac:dyDescent="0.15">
      <c r="A665" s="6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</row>
    <row r="666" spans="1:21" ht="13" x14ac:dyDescent="0.15">
      <c r="A666" s="6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</row>
    <row r="667" spans="1:21" ht="13" x14ac:dyDescent="0.15">
      <c r="A667" s="6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</row>
    <row r="668" spans="1:21" ht="13" x14ac:dyDescent="0.15">
      <c r="A668" s="6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</row>
    <row r="669" spans="1:21" ht="13" x14ac:dyDescent="0.15">
      <c r="A669" s="6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</row>
    <row r="670" spans="1:21" ht="13" x14ac:dyDescent="0.15">
      <c r="A670" s="6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</row>
    <row r="671" spans="1:21" ht="13" x14ac:dyDescent="0.15">
      <c r="A671" s="6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</row>
    <row r="672" spans="1:21" ht="13" x14ac:dyDescent="0.15">
      <c r="A672" s="6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</row>
    <row r="673" spans="1:21" ht="13" x14ac:dyDescent="0.15">
      <c r="A673" s="6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</row>
    <row r="674" spans="1:21" ht="13" x14ac:dyDescent="0.15">
      <c r="A674" s="6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</row>
    <row r="675" spans="1:21" ht="13" x14ac:dyDescent="0.15">
      <c r="A675" s="62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</row>
    <row r="676" spans="1:21" ht="13" x14ac:dyDescent="0.15">
      <c r="A676" s="62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</row>
    <row r="677" spans="1:21" ht="13" x14ac:dyDescent="0.15">
      <c r="A677" s="62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</row>
    <row r="678" spans="1:21" ht="13" x14ac:dyDescent="0.15">
      <c r="A678" s="62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</row>
    <row r="679" spans="1:21" ht="13" x14ac:dyDescent="0.15">
      <c r="A679" s="62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</row>
    <row r="680" spans="1:21" ht="13" x14ac:dyDescent="0.15">
      <c r="A680" s="62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</row>
    <row r="681" spans="1:21" ht="13" x14ac:dyDescent="0.15">
      <c r="A681" s="62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</row>
    <row r="682" spans="1:21" ht="13" x14ac:dyDescent="0.15">
      <c r="A682" s="62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</row>
    <row r="683" spans="1:21" ht="13" x14ac:dyDescent="0.15">
      <c r="A683" s="62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</row>
    <row r="684" spans="1:21" ht="13" x14ac:dyDescent="0.15">
      <c r="A684" s="62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</row>
    <row r="685" spans="1:21" ht="13" x14ac:dyDescent="0.15">
      <c r="A685" s="62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</row>
    <row r="686" spans="1:21" ht="13" x14ac:dyDescent="0.15">
      <c r="A686" s="62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</row>
    <row r="687" spans="1:21" ht="13" x14ac:dyDescent="0.15">
      <c r="A687" s="62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</row>
    <row r="688" spans="1:21" ht="13" x14ac:dyDescent="0.15">
      <c r="A688" s="62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</row>
    <row r="689" spans="1:21" ht="13" x14ac:dyDescent="0.15">
      <c r="A689" s="62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</row>
    <row r="690" spans="1:21" ht="13" x14ac:dyDescent="0.15">
      <c r="A690" s="62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</row>
    <row r="691" spans="1:21" ht="13" x14ac:dyDescent="0.15">
      <c r="A691" s="62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</row>
    <row r="692" spans="1:21" ht="13" x14ac:dyDescent="0.15">
      <c r="A692" s="62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</row>
    <row r="693" spans="1:21" ht="13" x14ac:dyDescent="0.15">
      <c r="A693" s="62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</row>
    <row r="694" spans="1:21" ht="13" x14ac:dyDescent="0.15">
      <c r="A694" s="62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</row>
    <row r="695" spans="1:21" ht="13" x14ac:dyDescent="0.15">
      <c r="A695" s="62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</row>
    <row r="696" spans="1:21" ht="13" x14ac:dyDescent="0.15">
      <c r="A696" s="62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</row>
    <row r="697" spans="1:21" ht="13" x14ac:dyDescent="0.15">
      <c r="A697" s="62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</row>
    <row r="698" spans="1:21" ht="13" x14ac:dyDescent="0.15">
      <c r="A698" s="62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</row>
    <row r="699" spans="1:21" ht="13" x14ac:dyDescent="0.15">
      <c r="A699" s="62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</row>
    <row r="700" spans="1:21" ht="13" x14ac:dyDescent="0.15">
      <c r="A700" s="62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</row>
    <row r="701" spans="1:21" ht="13" x14ac:dyDescent="0.15">
      <c r="A701" s="62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</row>
    <row r="702" spans="1:21" ht="13" x14ac:dyDescent="0.15">
      <c r="A702" s="62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</row>
    <row r="703" spans="1:21" ht="13" x14ac:dyDescent="0.15">
      <c r="A703" s="62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</row>
    <row r="704" spans="1:21" ht="13" x14ac:dyDescent="0.15">
      <c r="A704" s="62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</row>
    <row r="705" spans="1:21" ht="13" x14ac:dyDescent="0.15">
      <c r="A705" s="62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</row>
    <row r="706" spans="1:21" ht="13" x14ac:dyDescent="0.15">
      <c r="A706" s="62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</row>
    <row r="707" spans="1:21" ht="13" x14ac:dyDescent="0.15">
      <c r="A707" s="62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</row>
    <row r="708" spans="1:21" ht="13" x14ac:dyDescent="0.15">
      <c r="A708" s="62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</row>
    <row r="709" spans="1:21" ht="13" x14ac:dyDescent="0.15">
      <c r="A709" s="62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</row>
    <row r="710" spans="1:21" ht="13" x14ac:dyDescent="0.15">
      <c r="A710" s="62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</row>
    <row r="711" spans="1:21" ht="13" x14ac:dyDescent="0.15">
      <c r="A711" s="62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</row>
    <row r="712" spans="1:21" ht="13" x14ac:dyDescent="0.15">
      <c r="A712" s="62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</row>
    <row r="713" spans="1:21" ht="13" x14ac:dyDescent="0.15">
      <c r="A713" s="62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</row>
    <row r="714" spans="1:21" ht="13" x14ac:dyDescent="0.15">
      <c r="A714" s="62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</row>
    <row r="715" spans="1:21" ht="13" x14ac:dyDescent="0.15">
      <c r="A715" s="62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</row>
    <row r="716" spans="1:21" ht="13" x14ac:dyDescent="0.15">
      <c r="A716" s="62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</row>
    <row r="717" spans="1:21" ht="13" x14ac:dyDescent="0.15">
      <c r="A717" s="62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</row>
    <row r="718" spans="1:21" ht="13" x14ac:dyDescent="0.15">
      <c r="A718" s="62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</row>
    <row r="719" spans="1:21" ht="13" x14ac:dyDescent="0.15">
      <c r="A719" s="62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</row>
    <row r="720" spans="1:21" ht="13" x14ac:dyDescent="0.15">
      <c r="A720" s="62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</row>
    <row r="721" spans="1:21" ht="13" x14ac:dyDescent="0.15">
      <c r="A721" s="62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</row>
    <row r="722" spans="1:21" ht="13" x14ac:dyDescent="0.15">
      <c r="A722" s="62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</row>
    <row r="723" spans="1:21" ht="13" x14ac:dyDescent="0.15">
      <c r="A723" s="62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</row>
    <row r="724" spans="1:21" ht="13" x14ac:dyDescent="0.15">
      <c r="A724" s="62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</row>
    <row r="725" spans="1:21" ht="13" x14ac:dyDescent="0.15">
      <c r="A725" s="62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</row>
    <row r="726" spans="1:21" ht="13" x14ac:dyDescent="0.15">
      <c r="A726" s="62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</row>
    <row r="727" spans="1:21" ht="13" x14ac:dyDescent="0.15">
      <c r="A727" s="62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</row>
    <row r="728" spans="1:21" ht="13" x14ac:dyDescent="0.15">
      <c r="A728" s="62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</row>
    <row r="729" spans="1:21" ht="13" x14ac:dyDescent="0.15">
      <c r="A729" s="62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</row>
    <row r="730" spans="1:21" ht="13" x14ac:dyDescent="0.15">
      <c r="A730" s="62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</row>
    <row r="731" spans="1:21" ht="13" x14ac:dyDescent="0.15">
      <c r="A731" s="62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</row>
    <row r="732" spans="1:21" ht="13" x14ac:dyDescent="0.15">
      <c r="A732" s="62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</row>
    <row r="733" spans="1:21" ht="13" x14ac:dyDescent="0.15">
      <c r="A733" s="62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</row>
    <row r="734" spans="1:21" ht="13" x14ac:dyDescent="0.15">
      <c r="A734" s="62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</row>
    <row r="735" spans="1:21" ht="13" x14ac:dyDescent="0.15">
      <c r="A735" s="62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</row>
    <row r="736" spans="1:21" ht="13" x14ac:dyDescent="0.15">
      <c r="A736" s="62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</row>
    <row r="737" spans="1:21" ht="13" x14ac:dyDescent="0.15">
      <c r="A737" s="62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</row>
    <row r="738" spans="1:21" ht="13" x14ac:dyDescent="0.15">
      <c r="A738" s="62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</row>
    <row r="739" spans="1:21" ht="13" x14ac:dyDescent="0.15">
      <c r="A739" s="62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</row>
    <row r="740" spans="1:21" ht="13" x14ac:dyDescent="0.15">
      <c r="A740" s="62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</row>
    <row r="741" spans="1:21" ht="13" x14ac:dyDescent="0.15">
      <c r="A741" s="62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</row>
    <row r="742" spans="1:21" ht="13" x14ac:dyDescent="0.15">
      <c r="A742" s="62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</row>
    <row r="743" spans="1:21" ht="13" x14ac:dyDescent="0.15">
      <c r="A743" s="62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</row>
    <row r="744" spans="1:21" ht="13" x14ac:dyDescent="0.15">
      <c r="A744" s="62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</row>
    <row r="745" spans="1:21" ht="13" x14ac:dyDescent="0.15">
      <c r="A745" s="62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</row>
    <row r="746" spans="1:21" ht="13" x14ac:dyDescent="0.15">
      <c r="A746" s="62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</row>
    <row r="747" spans="1:21" ht="13" x14ac:dyDescent="0.15">
      <c r="A747" s="62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</row>
    <row r="748" spans="1:21" ht="13" x14ac:dyDescent="0.15">
      <c r="A748" s="62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</row>
    <row r="749" spans="1:21" ht="13" x14ac:dyDescent="0.15">
      <c r="A749" s="62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</row>
    <row r="750" spans="1:21" ht="13" x14ac:dyDescent="0.15">
      <c r="A750" s="62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</row>
    <row r="751" spans="1:21" ht="13" x14ac:dyDescent="0.15">
      <c r="A751" s="62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</row>
    <row r="752" spans="1:21" ht="13" x14ac:dyDescent="0.15">
      <c r="A752" s="62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</row>
    <row r="753" spans="1:21" ht="13" x14ac:dyDescent="0.15">
      <c r="A753" s="62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</row>
    <row r="754" spans="1:21" ht="13" x14ac:dyDescent="0.15">
      <c r="A754" s="62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</row>
    <row r="755" spans="1:21" ht="13" x14ac:dyDescent="0.15">
      <c r="A755" s="62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</row>
    <row r="756" spans="1:21" ht="13" x14ac:dyDescent="0.15">
      <c r="A756" s="62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</row>
    <row r="757" spans="1:21" ht="13" x14ac:dyDescent="0.15">
      <c r="A757" s="62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</row>
    <row r="758" spans="1:21" ht="13" x14ac:dyDescent="0.15">
      <c r="A758" s="62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</row>
    <row r="759" spans="1:21" ht="13" x14ac:dyDescent="0.15">
      <c r="A759" s="62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</row>
    <row r="760" spans="1:21" ht="13" x14ac:dyDescent="0.15">
      <c r="A760" s="62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</row>
    <row r="761" spans="1:21" ht="13" x14ac:dyDescent="0.15">
      <c r="A761" s="62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</row>
    <row r="762" spans="1:21" ht="13" x14ac:dyDescent="0.15">
      <c r="A762" s="62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</row>
    <row r="763" spans="1:21" ht="13" x14ac:dyDescent="0.15">
      <c r="A763" s="62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</row>
    <row r="764" spans="1:21" ht="13" x14ac:dyDescent="0.15">
      <c r="A764" s="62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</row>
    <row r="765" spans="1:21" ht="13" x14ac:dyDescent="0.15">
      <c r="A765" s="62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</row>
    <row r="766" spans="1:21" ht="13" x14ac:dyDescent="0.15">
      <c r="A766" s="62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</row>
    <row r="767" spans="1:21" ht="13" x14ac:dyDescent="0.15">
      <c r="A767" s="62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</row>
    <row r="768" spans="1:21" ht="13" x14ac:dyDescent="0.15">
      <c r="A768" s="62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</row>
    <row r="769" spans="1:21" ht="13" x14ac:dyDescent="0.15">
      <c r="A769" s="62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</row>
    <row r="770" spans="1:21" ht="13" x14ac:dyDescent="0.15">
      <c r="A770" s="62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</row>
    <row r="771" spans="1:21" ht="13" x14ac:dyDescent="0.15">
      <c r="A771" s="62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</row>
    <row r="772" spans="1:21" ht="13" x14ac:dyDescent="0.15">
      <c r="A772" s="62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</row>
    <row r="773" spans="1:21" ht="13" x14ac:dyDescent="0.15">
      <c r="A773" s="62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</row>
    <row r="774" spans="1:21" ht="13" x14ac:dyDescent="0.15">
      <c r="A774" s="62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</row>
    <row r="775" spans="1:21" ht="13" x14ac:dyDescent="0.15">
      <c r="A775" s="62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</row>
    <row r="776" spans="1:21" ht="13" x14ac:dyDescent="0.15">
      <c r="A776" s="62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</row>
    <row r="777" spans="1:21" ht="13" x14ac:dyDescent="0.15">
      <c r="A777" s="62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</row>
    <row r="778" spans="1:21" ht="13" x14ac:dyDescent="0.15">
      <c r="A778" s="62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</row>
    <row r="779" spans="1:21" ht="13" x14ac:dyDescent="0.15">
      <c r="A779" s="62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</row>
    <row r="780" spans="1:21" ht="13" x14ac:dyDescent="0.15">
      <c r="A780" s="62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</row>
    <row r="781" spans="1:21" ht="13" x14ac:dyDescent="0.15">
      <c r="A781" s="62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</row>
    <row r="782" spans="1:21" ht="13" x14ac:dyDescent="0.15">
      <c r="A782" s="62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</row>
    <row r="783" spans="1:21" ht="13" x14ac:dyDescent="0.15">
      <c r="A783" s="62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</row>
    <row r="784" spans="1:21" ht="13" x14ac:dyDescent="0.15">
      <c r="A784" s="62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</row>
    <row r="785" spans="1:21" ht="13" x14ac:dyDescent="0.15">
      <c r="A785" s="62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</row>
    <row r="786" spans="1:21" ht="13" x14ac:dyDescent="0.15">
      <c r="A786" s="62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</row>
    <row r="787" spans="1:21" ht="13" x14ac:dyDescent="0.15">
      <c r="A787" s="62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</row>
    <row r="788" spans="1:21" ht="13" x14ac:dyDescent="0.15">
      <c r="A788" s="62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</row>
    <row r="789" spans="1:21" ht="13" x14ac:dyDescent="0.15">
      <c r="A789" s="62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</row>
    <row r="790" spans="1:21" ht="13" x14ac:dyDescent="0.15">
      <c r="A790" s="62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</row>
    <row r="791" spans="1:21" ht="13" x14ac:dyDescent="0.15">
      <c r="A791" s="62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</row>
    <row r="792" spans="1:21" ht="13" x14ac:dyDescent="0.15">
      <c r="A792" s="62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</row>
    <row r="793" spans="1:21" ht="13" x14ac:dyDescent="0.15">
      <c r="A793" s="62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</row>
    <row r="794" spans="1:21" ht="13" x14ac:dyDescent="0.15">
      <c r="A794" s="62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</row>
    <row r="795" spans="1:21" ht="13" x14ac:dyDescent="0.15">
      <c r="A795" s="62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</row>
    <row r="796" spans="1:21" ht="13" x14ac:dyDescent="0.15">
      <c r="A796" s="62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</row>
    <row r="797" spans="1:21" ht="13" x14ac:dyDescent="0.15">
      <c r="A797" s="62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</row>
    <row r="798" spans="1:21" ht="13" x14ac:dyDescent="0.15">
      <c r="A798" s="62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</row>
    <row r="799" spans="1:21" ht="13" x14ac:dyDescent="0.15">
      <c r="A799" s="62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</row>
    <row r="800" spans="1:21" ht="13" x14ac:dyDescent="0.15">
      <c r="A800" s="62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</row>
    <row r="801" spans="1:21" ht="13" x14ac:dyDescent="0.15">
      <c r="A801" s="62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</row>
    <row r="802" spans="1:21" ht="13" x14ac:dyDescent="0.15">
      <c r="A802" s="62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</row>
    <row r="803" spans="1:21" ht="13" x14ac:dyDescent="0.15">
      <c r="A803" s="62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</row>
    <row r="804" spans="1:21" ht="13" x14ac:dyDescent="0.15">
      <c r="A804" s="62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</row>
    <row r="805" spans="1:21" ht="13" x14ac:dyDescent="0.15">
      <c r="A805" s="62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</row>
    <row r="806" spans="1:21" ht="13" x14ac:dyDescent="0.15">
      <c r="A806" s="62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</row>
    <row r="807" spans="1:21" ht="13" x14ac:dyDescent="0.15">
      <c r="A807" s="62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</row>
    <row r="808" spans="1:21" ht="13" x14ac:dyDescent="0.15">
      <c r="A808" s="62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</row>
    <row r="809" spans="1:21" ht="13" x14ac:dyDescent="0.15">
      <c r="A809" s="62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</row>
    <row r="810" spans="1:21" ht="13" x14ac:dyDescent="0.15">
      <c r="A810" s="62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</row>
    <row r="811" spans="1:21" ht="13" x14ac:dyDescent="0.15">
      <c r="A811" s="62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</row>
    <row r="812" spans="1:21" ht="13" x14ac:dyDescent="0.15">
      <c r="A812" s="62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</row>
    <row r="813" spans="1:21" ht="13" x14ac:dyDescent="0.15">
      <c r="A813" s="62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</row>
    <row r="814" spans="1:21" ht="13" x14ac:dyDescent="0.15">
      <c r="A814" s="62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</row>
    <row r="815" spans="1:21" ht="13" x14ac:dyDescent="0.15">
      <c r="A815" s="62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</row>
    <row r="816" spans="1:21" ht="13" x14ac:dyDescent="0.15">
      <c r="A816" s="62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</row>
    <row r="817" spans="1:21" ht="13" x14ac:dyDescent="0.15">
      <c r="A817" s="62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</row>
    <row r="818" spans="1:21" ht="13" x14ac:dyDescent="0.15">
      <c r="A818" s="62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</row>
    <row r="819" spans="1:21" ht="13" x14ac:dyDescent="0.15">
      <c r="A819" s="62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</row>
    <row r="820" spans="1:21" ht="13" x14ac:dyDescent="0.15">
      <c r="A820" s="62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</row>
    <row r="821" spans="1:21" ht="13" x14ac:dyDescent="0.15">
      <c r="A821" s="62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</row>
    <row r="822" spans="1:21" ht="13" x14ac:dyDescent="0.15">
      <c r="A822" s="62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</row>
    <row r="823" spans="1:21" ht="13" x14ac:dyDescent="0.15">
      <c r="A823" s="62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</row>
    <row r="824" spans="1:21" ht="13" x14ac:dyDescent="0.15">
      <c r="A824" s="62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</row>
    <row r="825" spans="1:21" ht="13" x14ac:dyDescent="0.15">
      <c r="A825" s="62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</row>
    <row r="826" spans="1:21" ht="13" x14ac:dyDescent="0.15">
      <c r="A826" s="62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</row>
    <row r="827" spans="1:21" ht="13" x14ac:dyDescent="0.15">
      <c r="A827" s="62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</row>
    <row r="828" spans="1:21" ht="13" x14ac:dyDescent="0.15">
      <c r="A828" s="62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</row>
    <row r="829" spans="1:21" ht="13" x14ac:dyDescent="0.15">
      <c r="A829" s="62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</row>
    <row r="830" spans="1:21" ht="13" x14ac:dyDescent="0.15">
      <c r="A830" s="62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</row>
    <row r="831" spans="1:21" ht="13" x14ac:dyDescent="0.15">
      <c r="A831" s="62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</row>
    <row r="832" spans="1:21" ht="13" x14ac:dyDescent="0.15">
      <c r="A832" s="62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</row>
    <row r="833" spans="1:21" ht="13" x14ac:dyDescent="0.15">
      <c r="A833" s="62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</row>
    <row r="834" spans="1:21" ht="13" x14ac:dyDescent="0.15">
      <c r="A834" s="62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</row>
    <row r="835" spans="1:21" ht="13" x14ac:dyDescent="0.15">
      <c r="A835" s="62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</row>
    <row r="836" spans="1:21" ht="13" x14ac:dyDescent="0.15">
      <c r="A836" s="62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</row>
    <row r="837" spans="1:21" ht="13" x14ac:dyDescent="0.15">
      <c r="A837" s="62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</row>
    <row r="838" spans="1:21" ht="13" x14ac:dyDescent="0.15">
      <c r="A838" s="62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</row>
    <row r="839" spans="1:21" ht="13" x14ac:dyDescent="0.15">
      <c r="A839" s="62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</row>
    <row r="840" spans="1:21" ht="13" x14ac:dyDescent="0.15">
      <c r="A840" s="62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</row>
    <row r="841" spans="1:21" ht="13" x14ac:dyDescent="0.15">
      <c r="A841" s="62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</row>
    <row r="842" spans="1:21" ht="13" x14ac:dyDescent="0.15">
      <c r="A842" s="62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</row>
    <row r="843" spans="1:21" ht="13" x14ac:dyDescent="0.15">
      <c r="A843" s="62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</row>
    <row r="844" spans="1:21" ht="13" x14ac:dyDescent="0.15">
      <c r="A844" s="62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</row>
    <row r="845" spans="1:21" ht="13" x14ac:dyDescent="0.15">
      <c r="A845" s="62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</row>
    <row r="846" spans="1:21" ht="13" x14ac:dyDescent="0.15">
      <c r="A846" s="62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</row>
    <row r="847" spans="1:21" ht="13" x14ac:dyDescent="0.15">
      <c r="A847" s="62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</row>
    <row r="848" spans="1:21" ht="13" x14ac:dyDescent="0.15">
      <c r="A848" s="62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</row>
    <row r="849" spans="1:21" ht="13" x14ac:dyDescent="0.15">
      <c r="A849" s="62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</row>
    <row r="850" spans="1:21" ht="13" x14ac:dyDescent="0.15">
      <c r="A850" s="62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</row>
    <row r="851" spans="1:21" ht="13" x14ac:dyDescent="0.15">
      <c r="A851" s="62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</row>
    <row r="852" spans="1:21" ht="13" x14ac:dyDescent="0.15">
      <c r="A852" s="62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</row>
    <row r="853" spans="1:21" ht="13" x14ac:dyDescent="0.15">
      <c r="A853" s="62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</row>
    <row r="854" spans="1:21" ht="13" x14ac:dyDescent="0.15">
      <c r="A854" s="62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</row>
    <row r="855" spans="1:21" ht="13" x14ac:dyDescent="0.15">
      <c r="A855" s="62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</row>
    <row r="856" spans="1:21" ht="13" x14ac:dyDescent="0.15">
      <c r="A856" s="62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</row>
    <row r="857" spans="1:21" ht="13" x14ac:dyDescent="0.15">
      <c r="A857" s="62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</row>
    <row r="858" spans="1:21" ht="13" x14ac:dyDescent="0.15">
      <c r="A858" s="62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</row>
    <row r="859" spans="1:21" ht="13" x14ac:dyDescent="0.15">
      <c r="A859" s="62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</row>
    <row r="860" spans="1:21" ht="13" x14ac:dyDescent="0.15">
      <c r="A860" s="62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</row>
    <row r="861" spans="1:21" ht="13" x14ac:dyDescent="0.15">
      <c r="A861" s="62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</row>
    <row r="862" spans="1:21" ht="13" x14ac:dyDescent="0.15">
      <c r="A862" s="62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</row>
    <row r="863" spans="1:21" ht="13" x14ac:dyDescent="0.15">
      <c r="A863" s="62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</row>
    <row r="864" spans="1:21" ht="13" x14ac:dyDescent="0.15">
      <c r="A864" s="62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</row>
    <row r="865" spans="1:21" ht="13" x14ac:dyDescent="0.15">
      <c r="A865" s="62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</row>
    <row r="866" spans="1:21" ht="13" x14ac:dyDescent="0.15">
      <c r="A866" s="62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</row>
    <row r="867" spans="1:21" ht="13" x14ac:dyDescent="0.15">
      <c r="A867" s="62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</row>
    <row r="868" spans="1:21" ht="13" x14ac:dyDescent="0.15">
      <c r="A868" s="62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</row>
    <row r="869" spans="1:21" ht="13" x14ac:dyDescent="0.15">
      <c r="A869" s="62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</row>
    <row r="870" spans="1:21" ht="13" x14ac:dyDescent="0.15">
      <c r="A870" s="62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</row>
    <row r="871" spans="1:21" ht="13" x14ac:dyDescent="0.15">
      <c r="A871" s="62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</row>
    <row r="872" spans="1:21" ht="13" x14ac:dyDescent="0.15">
      <c r="A872" s="62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</row>
    <row r="873" spans="1:21" ht="13" x14ac:dyDescent="0.15">
      <c r="A873" s="62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</row>
    <row r="874" spans="1:21" ht="13" x14ac:dyDescent="0.15">
      <c r="A874" s="62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</row>
    <row r="875" spans="1:21" ht="13" x14ac:dyDescent="0.15">
      <c r="A875" s="62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</row>
    <row r="876" spans="1:21" ht="13" x14ac:dyDescent="0.15">
      <c r="A876" s="62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</row>
    <row r="877" spans="1:21" ht="13" x14ac:dyDescent="0.15">
      <c r="A877" s="62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</row>
    <row r="878" spans="1:21" ht="13" x14ac:dyDescent="0.15">
      <c r="A878" s="62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</row>
    <row r="879" spans="1:21" ht="13" x14ac:dyDescent="0.15">
      <c r="A879" s="62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</row>
    <row r="880" spans="1:21" ht="13" x14ac:dyDescent="0.15">
      <c r="A880" s="62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</row>
    <row r="881" spans="1:21" ht="13" x14ac:dyDescent="0.15">
      <c r="A881" s="62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</row>
    <row r="882" spans="1:21" ht="13" x14ac:dyDescent="0.15">
      <c r="A882" s="62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</row>
    <row r="883" spans="1:21" ht="13" x14ac:dyDescent="0.15">
      <c r="A883" s="62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</row>
    <row r="884" spans="1:21" ht="13" x14ac:dyDescent="0.15">
      <c r="A884" s="62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</row>
    <row r="885" spans="1:21" ht="13" x14ac:dyDescent="0.15">
      <c r="A885" s="62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</row>
    <row r="886" spans="1:21" ht="13" x14ac:dyDescent="0.15">
      <c r="A886" s="62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</row>
    <row r="887" spans="1:21" ht="13" x14ac:dyDescent="0.15">
      <c r="A887" s="62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</row>
    <row r="888" spans="1:21" ht="13" x14ac:dyDescent="0.15">
      <c r="A888" s="62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</row>
    <row r="889" spans="1:21" ht="13" x14ac:dyDescent="0.15">
      <c r="A889" s="62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</row>
    <row r="890" spans="1:21" ht="13" x14ac:dyDescent="0.15">
      <c r="A890" s="62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</row>
    <row r="891" spans="1:21" ht="13" x14ac:dyDescent="0.15">
      <c r="A891" s="62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</row>
    <row r="892" spans="1:21" ht="13" x14ac:dyDescent="0.15">
      <c r="A892" s="62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</row>
    <row r="893" spans="1:21" ht="13" x14ac:dyDescent="0.15">
      <c r="A893" s="62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</row>
    <row r="894" spans="1:21" ht="13" x14ac:dyDescent="0.15">
      <c r="A894" s="62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</row>
    <row r="895" spans="1:21" ht="13" x14ac:dyDescent="0.15">
      <c r="A895" s="62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</row>
    <row r="896" spans="1:21" ht="13" x14ac:dyDescent="0.15">
      <c r="A896" s="62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</row>
    <row r="897" spans="1:21" ht="13" x14ac:dyDescent="0.15">
      <c r="A897" s="62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</row>
    <row r="898" spans="1:21" ht="13" x14ac:dyDescent="0.15">
      <c r="A898" s="62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</row>
    <row r="899" spans="1:21" ht="13" x14ac:dyDescent="0.15">
      <c r="A899" s="62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</row>
    <row r="900" spans="1:21" ht="13" x14ac:dyDescent="0.15">
      <c r="A900" s="62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</row>
    <row r="901" spans="1:21" ht="13" x14ac:dyDescent="0.15">
      <c r="A901" s="62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</row>
    <row r="902" spans="1:21" ht="13" x14ac:dyDescent="0.15">
      <c r="A902" s="62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</row>
    <row r="903" spans="1:21" ht="13" x14ac:dyDescent="0.15">
      <c r="A903" s="62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</row>
    <row r="904" spans="1:21" ht="13" x14ac:dyDescent="0.15">
      <c r="A904" s="62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</row>
    <row r="905" spans="1:21" ht="13" x14ac:dyDescent="0.15">
      <c r="A905" s="62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</row>
    <row r="906" spans="1:21" ht="13" x14ac:dyDescent="0.15">
      <c r="A906" s="62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</row>
    <row r="907" spans="1:21" ht="13" x14ac:dyDescent="0.15">
      <c r="A907" s="62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</row>
    <row r="908" spans="1:21" ht="13" x14ac:dyDescent="0.15">
      <c r="A908" s="62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</row>
    <row r="909" spans="1:21" ht="13" x14ac:dyDescent="0.15">
      <c r="A909" s="62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</row>
    <row r="910" spans="1:21" ht="13" x14ac:dyDescent="0.15">
      <c r="A910" s="62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</row>
    <row r="911" spans="1:21" ht="13" x14ac:dyDescent="0.15">
      <c r="A911" s="62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</row>
    <row r="912" spans="1:21" ht="13" x14ac:dyDescent="0.15">
      <c r="A912" s="62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</row>
    <row r="913" spans="1:21" ht="13" x14ac:dyDescent="0.15">
      <c r="A913" s="62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</row>
    <row r="914" spans="1:21" ht="13" x14ac:dyDescent="0.15">
      <c r="A914" s="62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</row>
    <row r="915" spans="1:21" ht="13" x14ac:dyDescent="0.15">
      <c r="A915" s="62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</row>
    <row r="916" spans="1:21" ht="13" x14ac:dyDescent="0.15">
      <c r="A916" s="62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</row>
    <row r="917" spans="1:21" ht="13" x14ac:dyDescent="0.15">
      <c r="A917" s="62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</row>
    <row r="918" spans="1:21" ht="13" x14ac:dyDescent="0.15">
      <c r="A918" s="62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</row>
    <row r="919" spans="1:21" ht="13" x14ac:dyDescent="0.15">
      <c r="A919" s="62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</row>
    <row r="920" spans="1:21" ht="13" x14ac:dyDescent="0.15">
      <c r="A920" s="62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</row>
    <row r="921" spans="1:21" ht="13" x14ac:dyDescent="0.15">
      <c r="A921" s="62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</row>
    <row r="922" spans="1:21" ht="13" x14ac:dyDescent="0.15">
      <c r="A922" s="62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</row>
    <row r="923" spans="1:21" ht="13" x14ac:dyDescent="0.15">
      <c r="A923" s="62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</row>
    <row r="924" spans="1:21" ht="13" x14ac:dyDescent="0.15">
      <c r="A924" s="62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</row>
    <row r="925" spans="1:21" ht="13" x14ac:dyDescent="0.15">
      <c r="A925" s="62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</row>
    <row r="926" spans="1:21" ht="13" x14ac:dyDescent="0.15">
      <c r="A926" s="62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</row>
    <row r="927" spans="1:21" ht="13" x14ac:dyDescent="0.15">
      <c r="A927" s="62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</row>
    <row r="928" spans="1:21" ht="13" x14ac:dyDescent="0.15">
      <c r="A928" s="62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</row>
    <row r="929" spans="1:21" ht="13" x14ac:dyDescent="0.15">
      <c r="A929" s="62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</row>
    <row r="930" spans="1:21" ht="13" x14ac:dyDescent="0.15">
      <c r="A930" s="62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</row>
    <row r="931" spans="1:21" ht="13" x14ac:dyDescent="0.15">
      <c r="A931" s="62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</row>
    <row r="932" spans="1:21" ht="13" x14ac:dyDescent="0.15">
      <c r="A932" s="62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</row>
    <row r="933" spans="1:21" ht="13" x14ac:dyDescent="0.15">
      <c r="A933" s="62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</row>
    <row r="934" spans="1:21" ht="13" x14ac:dyDescent="0.15">
      <c r="A934" s="62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</row>
    <row r="935" spans="1:21" ht="13" x14ac:dyDescent="0.15">
      <c r="A935" s="62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</row>
    <row r="936" spans="1:21" ht="13" x14ac:dyDescent="0.15">
      <c r="A936" s="62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</row>
    <row r="937" spans="1:21" ht="13" x14ac:dyDescent="0.15">
      <c r="A937" s="62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</row>
    <row r="938" spans="1:21" ht="13" x14ac:dyDescent="0.15">
      <c r="A938" s="62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</row>
    <row r="939" spans="1:21" ht="13" x14ac:dyDescent="0.15">
      <c r="A939" s="62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</row>
    <row r="940" spans="1:21" ht="13" x14ac:dyDescent="0.15">
      <c r="A940" s="62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</row>
    <row r="941" spans="1:21" ht="13" x14ac:dyDescent="0.15">
      <c r="A941" s="62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</row>
    <row r="942" spans="1:21" ht="13" x14ac:dyDescent="0.15">
      <c r="A942" s="62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</row>
    <row r="943" spans="1:21" ht="13" x14ac:dyDescent="0.15">
      <c r="A943" s="62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</row>
    <row r="944" spans="1:21" ht="13" x14ac:dyDescent="0.15">
      <c r="A944" s="62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</row>
    <row r="945" spans="1:21" ht="13" x14ac:dyDescent="0.15">
      <c r="A945" s="62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</row>
    <row r="946" spans="1:21" ht="13" x14ac:dyDescent="0.15">
      <c r="A946" s="62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</row>
    <row r="947" spans="1:21" ht="13" x14ac:dyDescent="0.15">
      <c r="A947" s="62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</row>
    <row r="948" spans="1:21" ht="13" x14ac:dyDescent="0.15">
      <c r="A948" s="62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</row>
    <row r="949" spans="1:21" ht="13" x14ac:dyDescent="0.15">
      <c r="A949" s="62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</row>
    <row r="950" spans="1:21" ht="13" x14ac:dyDescent="0.15">
      <c r="A950" s="62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</row>
    <row r="951" spans="1:21" ht="13" x14ac:dyDescent="0.15">
      <c r="A951" s="62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</row>
    <row r="952" spans="1:21" ht="13" x14ac:dyDescent="0.15">
      <c r="A952" s="62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</row>
    <row r="953" spans="1:21" ht="13" x14ac:dyDescent="0.15">
      <c r="A953" s="62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</row>
    <row r="954" spans="1:21" ht="13" x14ac:dyDescent="0.15">
      <c r="A954" s="62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</row>
    <row r="955" spans="1:21" ht="13" x14ac:dyDescent="0.15">
      <c r="A955" s="62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</row>
    <row r="956" spans="1:21" ht="13" x14ac:dyDescent="0.15">
      <c r="A956" s="62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</row>
    <row r="957" spans="1:21" ht="13" x14ac:dyDescent="0.15">
      <c r="A957" s="62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</row>
    <row r="958" spans="1:21" ht="13" x14ac:dyDescent="0.15">
      <c r="A958" s="62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</row>
    <row r="959" spans="1:21" ht="13" x14ac:dyDescent="0.15">
      <c r="A959" s="62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</row>
    <row r="960" spans="1:21" ht="13" x14ac:dyDescent="0.15">
      <c r="A960" s="62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</row>
    <row r="961" spans="1:21" ht="13" x14ac:dyDescent="0.15">
      <c r="A961" s="62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</row>
    <row r="962" spans="1:21" ht="13" x14ac:dyDescent="0.15">
      <c r="A962" s="62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</row>
    <row r="963" spans="1:21" ht="13" x14ac:dyDescent="0.15">
      <c r="A963" s="62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</row>
    <row r="964" spans="1:21" ht="13" x14ac:dyDescent="0.15">
      <c r="A964" s="62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</row>
    <row r="965" spans="1:21" ht="13" x14ac:dyDescent="0.15">
      <c r="A965" s="62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</row>
    <row r="966" spans="1:21" ht="13" x14ac:dyDescent="0.15">
      <c r="A966" s="62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</row>
    <row r="967" spans="1:21" ht="13" x14ac:dyDescent="0.15">
      <c r="A967" s="62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</row>
    <row r="968" spans="1:21" ht="13" x14ac:dyDescent="0.15">
      <c r="A968" s="62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</row>
    <row r="969" spans="1:21" ht="13" x14ac:dyDescent="0.15">
      <c r="A969" s="62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</row>
    <row r="970" spans="1:21" ht="13" x14ac:dyDescent="0.15">
      <c r="A970" s="62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</row>
    <row r="971" spans="1:21" ht="13" x14ac:dyDescent="0.15">
      <c r="A971" s="62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</row>
    <row r="972" spans="1:21" ht="13" x14ac:dyDescent="0.15">
      <c r="A972" s="62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</row>
    <row r="973" spans="1:21" ht="13" x14ac:dyDescent="0.15">
      <c r="A973" s="62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</row>
    <row r="974" spans="1:21" ht="13" x14ac:dyDescent="0.15">
      <c r="A974" s="62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</row>
    <row r="975" spans="1:21" ht="13" x14ac:dyDescent="0.15">
      <c r="A975" s="62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</row>
    <row r="976" spans="1:21" ht="13" x14ac:dyDescent="0.15">
      <c r="A976" s="62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</row>
    <row r="977" spans="1:21" ht="13" x14ac:dyDescent="0.15">
      <c r="A977" s="62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</row>
    <row r="978" spans="1:21" ht="13" x14ac:dyDescent="0.15">
      <c r="A978" s="62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</row>
    <row r="979" spans="1:21" ht="13" x14ac:dyDescent="0.15">
      <c r="A979" s="62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</row>
    <row r="980" spans="1:21" ht="13" x14ac:dyDescent="0.15">
      <c r="A980" s="62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</row>
    <row r="981" spans="1:21" ht="13" x14ac:dyDescent="0.15">
      <c r="A981" s="62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</row>
    <row r="982" spans="1:21" ht="13" x14ac:dyDescent="0.15">
      <c r="A982" s="62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</row>
    <row r="983" spans="1:21" ht="13" x14ac:dyDescent="0.15">
      <c r="A983" s="62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</row>
    <row r="984" spans="1:21" ht="13" x14ac:dyDescent="0.15">
      <c r="A984" s="62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</row>
    <row r="985" spans="1:21" ht="13" x14ac:dyDescent="0.15">
      <c r="A985" s="62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</row>
    <row r="986" spans="1:21" ht="13" x14ac:dyDescent="0.15">
      <c r="A986" s="62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</row>
    <row r="987" spans="1:21" ht="13" x14ac:dyDescent="0.15">
      <c r="A987" s="62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</row>
    <row r="988" spans="1:21" ht="13" x14ac:dyDescent="0.15">
      <c r="A988" s="62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</row>
    <row r="989" spans="1:21" ht="13" x14ac:dyDescent="0.15">
      <c r="A989" s="62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</row>
    <row r="990" spans="1:21" ht="13" x14ac:dyDescent="0.15">
      <c r="A990" s="62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</row>
    <row r="991" spans="1:21" ht="13" x14ac:dyDescent="0.15">
      <c r="A991" s="62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</row>
    <row r="992" spans="1:21" ht="13" x14ac:dyDescent="0.15">
      <c r="A992" s="62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</row>
    <row r="993" spans="1:21" ht="13" x14ac:dyDescent="0.15">
      <c r="A993" s="62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</row>
    <row r="994" spans="1:21" ht="13" x14ac:dyDescent="0.15">
      <c r="A994" s="62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</row>
    <row r="995" spans="1:21" ht="13" x14ac:dyDescent="0.15">
      <c r="A995" s="62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</row>
    <row r="996" spans="1:21" ht="13" x14ac:dyDescent="0.15">
      <c r="A996" s="62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</row>
    <row r="997" spans="1:21" ht="13" x14ac:dyDescent="0.15">
      <c r="A997" s="62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</row>
    <row r="998" spans="1:21" ht="13" x14ac:dyDescent="0.15">
      <c r="A998" s="62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</row>
    <row r="999" spans="1:21" ht="13" x14ac:dyDescent="0.15">
      <c r="A999" s="62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</row>
  </sheetData>
  <mergeCells count="1">
    <mergeCell ref="F1:U1"/>
  </mergeCells>
  <conditionalFormatting sqref="D3:E3">
    <cfRule type="containsText" dxfId="9" priority="1" operator="containsText" text="hosteller">
      <formula>NOT(ISERROR(SEARCH(("hosteller"),(D3))))</formula>
    </cfRule>
  </conditionalFormatting>
  <printOptions horizontalCentered="1" gridLines="1"/>
  <pageMargins left="0.7" right="0.7" top="0.75" bottom="0.75" header="0" footer="0"/>
  <pageSetup paperSize="9" scale="150" pageOrder="overThenDown" orientation="landscape" cellComments="atEnd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F994"/>
  <sheetViews>
    <sheetView workbookViewId="0"/>
  </sheetViews>
  <sheetFormatPr baseColWidth="10" defaultColWidth="12.6640625" defaultRowHeight="15.75" customHeight="1" x14ac:dyDescent="0.15"/>
  <cols>
    <col min="1" max="1" width="14.33203125" customWidth="1"/>
    <col min="2" max="2" width="17" customWidth="1"/>
    <col min="3" max="3" width="19" customWidth="1"/>
    <col min="4" max="5" width="10.1640625" customWidth="1"/>
    <col min="6" max="6" width="5.83203125" customWidth="1"/>
    <col min="7" max="7" width="7.6640625" customWidth="1"/>
    <col min="8" max="8" width="6.1640625" customWidth="1"/>
    <col min="9" max="9" width="5.5" customWidth="1"/>
    <col min="10" max="12" width="5.6640625" customWidth="1"/>
    <col min="13" max="13" width="3.6640625" customWidth="1"/>
    <col min="14" max="14" width="7.6640625" customWidth="1"/>
    <col min="15" max="15" width="6.1640625" customWidth="1"/>
    <col min="16" max="16" width="6.33203125" customWidth="1"/>
    <col min="17" max="17" width="4.5" customWidth="1"/>
    <col min="18" max="18" width="7.6640625" customWidth="1"/>
    <col min="19" max="19" width="4.83203125" customWidth="1"/>
    <col min="20" max="20" width="4" customWidth="1"/>
    <col min="21" max="21" width="5.33203125" customWidth="1"/>
  </cols>
  <sheetData>
    <row r="1" spans="1:32" ht="13" x14ac:dyDescent="0.15">
      <c r="A1" s="52" t="s">
        <v>573</v>
      </c>
      <c r="B1" s="52" t="s">
        <v>15</v>
      </c>
      <c r="C1" s="52" t="s">
        <v>22</v>
      </c>
      <c r="D1" s="63"/>
      <c r="E1" s="63" t="s">
        <v>567</v>
      </c>
      <c r="F1" s="100" t="s">
        <v>550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32" ht="13" x14ac:dyDescent="0.15">
      <c r="A2" s="54">
        <f>COUNT(A4:A358)</f>
        <v>22</v>
      </c>
      <c r="B2" s="2">
        <f t="shared" ref="B2:C2" si="0">COUNTIF($E$4:$E$184,B1)</f>
        <v>17</v>
      </c>
      <c r="C2" s="2">
        <f t="shared" si="0"/>
        <v>5</v>
      </c>
      <c r="D2" s="64"/>
      <c r="E2" s="64">
        <f>SUM(F2:U2)</f>
        <v>747600</v>
      </c>
      <c r="F2" s="55">
        <f t="shared" ref="F2:H2" si="1">SUM(F$4:F$998)</f>
        <v>21500</v>
      </c>
      <c r="G2" s="55">
        <f t="shared" si="1"/>
        <v>40000</v>
      </c>
      <c r="H2" s="55">
        <f t="shared" si="1"/>
        <v>62200</v>
      </c>
      <c r="I2" s="55">
        <f>SUM(I4:I24)</f>
        <v>3000</v>
      </c>
      <c r="J2" s="55">
        <f t="shared" ref="J2:U2" si="2">SUM(J$4:J$998)</f>
        <v>65900</v>
      </c>
      <c r="K2" s="55">
        <f t="shared" si="2"/>
        <v>65900</v>
      </c>
      <c r="L2" s="55">
        <f t="shared" si="2"/>
        <v>65900</v>
      </c>
      <c r="M2" s="55">
        <f t="shared" si="2"/>
        <v>3600</v>
      </c>
      <c r="N2" s="55">
        <f t="shared" si="2"/>
        <v>69000</v>
      </c>
      <c r="O2" s="55">
        <f t="shared" si="2"/>
        <v>69000</v>
      </c>
      <c r="P2" s="55">
        <f t="shared" si="2"/>
        <v>69000</v>
      </c>
      <c r="Q2" s="55">
        <f t="shared" si="2"/>
        <v>3000</v>
      </c>
      <c r="R2" s="55">
        <f t="shared" si="2"/>
        <v>69000</v>
      </c>
      <c r="S2" s="55">
        <f t="shared" si="2"/>
        <v>69000</v>
      </c>
      <c r="T2" s="55">
        <f t="shared" si="2"/>
        <v>3000</v>
      </c>
      <c r="U2" s="55">
        <f t="shared" si="2"/>
        <v>68600</v>
      </c>
    </row>
    <row r="3" spans="1:32" ht="13" x14ac:dyDescent="0.15">
      <c r="A3" s="56" t="s">
        <v>551</v>
      </c>
      <c r="B3" s="56" t="s">
        <v>3</v>
      </c>
      <c r="C3" s="56" t="s">
        <v>552</v>
      </c>
      <c r="D3" s="57" t="s">
        <v>568</v>
      </c>
      <c r="E3" s="56" t="s">
        <v>2</v>
      </c>
      <c r="F3" s="56" t="s">
        <v>557</v>
      </c>
      <c r="G3" s="56" t="s">
        <v>558</v>
      </c>
      <c r="H3" s="56" t="s">
        <v>559</v>
      </c>
      <c r="I3" s="57" t="s">
        <v>569</v>
      </c>
      <c r="J3" s="56" t="s">
        <v>560</v>
      </c>
      <c r="K3" s="56" t="s">
        <v>561</v>
      </c>
      <c r="L3" s="56" t="s">
        <v>562</v>
      </c>
      <c r="M3" s="57" t="s">
        <v>570</v>
      </c>
      <c r="N3" s="56" t="s">
        <v>563</v>
      </c>
      <c r="O3" s="56" t="s">
        <v>564</v>
      </c>
      <c r="P3" s="56" t="s">
        <v>565</v>
      </c>
      <c r="Q3" s="57" t="s">
        <v>570</v>
      </c>
      <c r="R3" s="56" t="s">
        <v>554</v>
      </c>
      <c r="S3" s="56" t="s">
        <v>555</v>
      </c>
      <c r="T3" s="57" t="s">
        <v>570</v>
      </c>
      <c r="U3" s="56" t="s">
        <v>556</v>
      </c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spans="1:32" ht="13" x14ac:dyDescent="0.15">
      <c r="A4" s="58">
        <v>13</v>
      </c>
      <c r="B4" s="66" t="str">
        <f>IFERROR(VLOOKUP($A4,Admission!$1:$998,4,0),"")</f>
        <v>RASHID JAMAL</v>
      </c>
      <c r="C4" s="66" t="str">
        <f>IFERROR(VLOOKUP($A4,Admission!$1:$998,5,0),"")</f>
        <v>IMTEYAZ AHMAD</v>
      </c>
      <c r="D4" s="66">
        <f>IFERROR(VLOOKUP($A4,Admission!$1:$998,10,0),"")</f>
        <v>7739447180</v>
      </c>
      <c r="E4" s="66" t="str">
        <f>IFERROR(VLOOKUP($A4,Admission!$1:$998,3,0),"")</f>
        <v>Hosteller</v>
      </c>
      <c r="F4" s="25">
        <v>3700</v>
      </c>
      <c r="G4" s="25">
        <v>3700</v>
      </c>
      <c r="H4" s="25">
        <v>3700</v>
      </c>
      <c r="I4" s="25">
        <v>200</v>
      </c>
      <c r="J4" s="25">
        <v>3700</v>
      </c>
      <c r="K4" s="25">
        <v>3700</v>
      </c>
      <c r="L4" s="25">
        <v>3700</v>
      </c>
      <c r="M4" s="25">
        <v>200</v>
      </c>
      <c r="N4" s="25">
        <v>3700</v>
      </c>
      <c r="O4" s="25">
        <v>3700</v>
      </c>
      <c r="P4" s="25">
        <v>3700</v>
      </c>
      <c r="Q4" s="25">
        <v>200</v>
      </c>
      <c r="R4" s="25">
        <v>3700</v>
      </c>
      <c r="S4" s="25">
        <v>3700</v>
      </c>
      <c r="T4" s="25"/>
      <c r="U4" s="25">
        <v>3700</v>
      </c>
    </row>
    <row r="5" spans="1:32" ht="13" x14ac:dyDescent="0.15">
      <c r="A5" s="58">
        <v>15</v>
      </c>
      <c r="B5" s="66" t="str">
        <f>IFERROR(VLOOKUP($A5,Admission!$1:$998,4,0),"")</f>
        <v>WASI AHAMAD</v>
      </c>
      <c r="C5" s="66" t="str">
        <f>IFERROR(VLOOKUP($A5,Admission!$1:$998,5,0),"")</f>
        <v>MD.MUKHTAR ANSARI</v>
      </c>
      <c r="D5" s="66">
        <f>IFERROR(VLOOKUP($A5,Admission!$1:$998,10,0),"")</f>
        <v>8809878555</v>
      </c>
      <c r="E5" s="66" t="str">
        <f>IFERROR(VLOOKUP($A5,Admission!$1:$998,3,0),"")</f>
        <v>Hosteller</v>
      </c>
      <c r="F5" s="25">
        <v>3700</v>
      </c>
      <c r="G5" s="25">
        <v>3700</v>
      </c>
      <c r="H5" s="25">
        <v>3700</v>
      </c>
      <c r="I5" s="25">
        <v>200</v>
      </c>
      <c r="J5" s="25">
        <v>3700</v>
      </c>
      <c r="K5" s="25">
        <v>3700</v>
      </c>
      <c r="L5" s="25">
        <v>3700</v>
      </c>
      <c r="M5" s="25">
        <v>200</v>
      </c>
      <c r="N5" s="25">
        <v>3700</v>
      </c>
      <c r="O5" s="25">
        <v>3700</v>
      </c>
      <c r="P5" s="25">
        <v>3700</v>
      </c>
      <c r="Q5" s="25">
        <v>200</v>
      </c>
      <c r="R5" s="25">
        <v>3700</v>
      </c>
      <c r="S5" s="25">
        <v>3700</v>
      </c>
      <c r="T5" s="25">
        <v>200</v>
      </c>
      <c r="U5" s="25">
        <v>3700</v>
      </c>
    </row>
    <row r="6" spans="1:32" ht="13" x14ac:dyDescent="0.15">
      <c r="A6" s="58">
        <v>21</v>
      </c>
      <c r="B6" s="66" t="str">
        <f>IFERROR(VLOOKUP($A6,Admission!$1:$998,4,0),"")</f>
        <v>SHAHBAJ ANSARI</v>
      </c>
      <c r="C6" s="66" t="str">
        <f>IFERROR(VLOOKUP($A6,Admission!$1:$998,5,0),"")</f>
        <v>KALAM ANSARI</v>
      </c>
      <c r="D6" s="66">
        <f>IFERROR(VLOOKUP($A6,Admission!$1:$998,10,0),"")</f>
        <v>7667191848</v>
      </c>
      <c r="E6" s="66" t="str">
        <f>IFERROR(VLOOKUP($A6,Admission!$1:$998,3,0),"")</f>
        <v>Day Scholar</v>
      </c>
      <c r="F6" s="25">
        <v>600</v>
      </c>
      <c r="G6" s="25">
        <v>600</v>
      </c>
      <c r="H6" s="25">
        <v>600</v>
      </c>
      <c r="I6" s="25">
        <v>200</v>
      </c>
      <c r="J6" s="25">
        <v>600</v>
      </c>
      <c r="K6" s="25">
        <v>600</v>
      </c>
      <c r="L6" s="25">
        <v>600</v>
      </c>
      <c r="M6" s="25">
        <v>200</v>
      </c>
      <c r="N6" s="25">
        <v>600</v>
      </c>
      <c r="O6" s="25">
        <v>600</v>
      </c>
      <c r="P6" s="25">
        <v>600</v>
      </c>
      <c r="Q6" s="25">
        <v>200</v>
      </c>
      <c r="R6" s="25">
        <v>600</v>
      </c>
      <c r="S6" s="25">
        <v>600</v>
      </c>
      <c r="T6" s="25">
        <v>200</v>
      </c>
      <c r="U6" s="25">
        <v>600</v>
      </c>
    </row>
    <row r="7" spans="1:32" ht="13" x14ac:dyDescent="0.15">
      <c r="A7" s="58">
        <v>22</v>
      </c>
      <c r="B7" s="66" t="str">
        <f>IFERROR(VLOOKUP($A7,Admission!$1:$998,4,0),"")</f>
        <v xml:space="preserve">MD SAFID </v>
      </c>
      <c r="C7" s="66" t="str">
        <f>IFERROR(VLOOKUP($A7,Admission!$1:$998,5,0),"")</f>
        <v>MD SAMSUL HAQUE</v>
      </c>
      <c r="D7" s="66">
        <f>IFERROR(VLOOKUP($A7,Admission!$1:$998,10,0),"")</f>
        <v>9955449861</v>
      </c>
      <c r="E7" s="66" t="str">
        <f>IFERROR(VLOOKUP($A7,Admission!$1:$998,3,0),"")</f>
        <v>Hosteller</v>
      </c>
      <c r="F7" s="25">
        <v>3700</v>
      </c>
      <c r="G7" s="25">
        <v>3700</v>
      </c>
      <c r="H7" s="25">
        <v>3700</v>
      </c>
      <c r="I7" s="25"/>
      <c r="J7" s="25">
        <v>3700</v>
      </c>
      <c r="K7" s="25">
        <v>3700</v>
      </c>
      <c r="L7" s="25">
        <v>3700</v>
      </c>
      <c r="M7" s="25"/>
      <c r="N7" s="25">
        <v>3700</v>
      </c>
      <c r="O7" s="25">
        <v>3700</v>
      </c>
      <c r="P7" s="25">
        <v>3700</v>
      </c>
      <c r="Q7" s="25"/>
      <c r="R7" s="25">
        <v>3700</v>
      </c>
      <c r="S7" s="25">
        <v>3700</v>
      </c>
      <c r="T7" s="25"/>
      <c r="U7" s="25">
        <v>3700</v>
      </c>
    </row>
    <row r="8" spans="1:32" ht="13" x14ac:dyDescent="0.15">
      <c r="A8" s="58">
        <v>38</v>
      </c>
      <c r="B8" s="66" t="str">
        <f>IFERROR(VLOOKUP($A8,Admission!$1:$998,4,0),"")</f>
        <v xml:space="preserve">ZAKE AHMAD MOMIN </v>
      </c>
      <c r="C8" s="66" t="str">
        <f>IFERROR(VLOOKUP($A8,Admission!$1:$998,5,0),"")</f>
        <v>ANISUR RAHMAN MOMIN</v>
      </c>
      <c r="D8" s="66">
        <f>IFERROR(VLOOKUP($A8,Admission!$1:$998,10,0),"")</f>
        <v>9883118912</v>
      </c>
      <c r="E8" s="66" t="str">
        <f>IFERROR(VLOOKUP($A8,Admission!$1:$998,3,0),"")</f>
        <v>Hosteller</v>
      </c>
      <c r="F8" s="25">
        <v>3700</v>
      </c>
      <c r="G8" s="25">
        <v>3700</v>
      </c>
      <c r="H8" s="25">
        <v>3700</v>
      </c>
      <c r="I8" s="25">
        <v>200</v>
      </c>
      <c r="J8" s="25">
        <v>3700</v>
      </c>
      <c r="K8" s="25">
        <v>3700</v>
      </c>
      <c r="L8" s="25">
        <v>3700</v>
      </c>
      <c r="M8" s="25">
        <v>200</v>
      </c>
      <c r="N8" s="25">
        <v>3700</v>
      </c>
      <c r="O8" s="25">
        <v>3700</v>
      </c>
      <c r="P8" s="25">
        <v>3700</v>
      </c>
      <c r="Q8" s="25">
        <v>200</v>
      </c>
      <c r="R8" s="25">
        <v>3700</v>
      </c>
      <c r="S8" s="25">
        <v>3700</v>
      </c>
      <c r="T8" s="25">
        <v>200</v>
      </c>
      <c r="U8" s="25">
        <v>3700</v>
      </c>
    </row>
    <row r="9" spans="1:32" ht="15" customHeight="1" x14ac:dyDescent="0.15">
      <c r="A9" s="58">
        <v>46</v>
      </c>
      <c r="B9" s="66" t="str">
        <f>IFERROR(VLOOKUP($A9,Admission!$1:$998,4,0),"")</f>
        <v>ATIFA NAAZ</v>
      </c>
      <c r="C9" s="66" t="str">
        <f>IFERROR(VLOOKUP($A9,Admission!$1:$998,5,0),"")</f>
        <v>TARIQUE ANWAR</v>
      </c>
      <c r="D9" s="66">
        <f>IFERROR(VLOOKUP($A9,Admission!$1:$998,10,0),"")</f>
        <v>8271818964</v>
      </c>
      <c r="E9" s="66" t="str">
        <f>IFERROR(VLOOKUP($A9,Admission!$1:$998,3,0),"")</f>
        <v>Day Scholar</v>
      </c>
      <c r="F9" s="25">
        <v>600</v>
      </c>
      <c r="G9" s="25">
        <v>600</v>
      </c>
      <c r="H9" s="25">
        <v>600</v>
      </c>
      <c r="I9" s="25">
        <v>200</v>
      </c>
      <c r="J9" s="25">
        <v>600</v>
      </c>
      <c r="K9" s="25">
        <v>600</v>
      </c>
      <c r="L9" s="25">
        <v>600</v>
      </c>
      <c r="M9" s="25">
        <v>200</v>
      </c>
      <c r="N9" s="25">
        <v>600</v>
      </c>
      <c r="O9" s="25">
        <v>600</v>
      </c>
      <c r="P9" s="25">
        <v>600</v>
      </c>
      <c r="Q9" s="25">
        <v>200</v>
      </c>
      <c r="R9" s="25">
        <v>600</v>
      </c>
      <c r="S9" s="25">
        <v>600</v>
      </c>
      <c r="T9" s="25">
        <v>200</v>
      </c>
      <c r="U9" s="25">
        <v>200</v>
      </c>
    </row>
    <row r="10" spans="1:32" ht="13" x14ac:dyDescent="0.15">
      <c r="A10" s="58">
        <v>87</v>
      </c>
      <c r="B10" s="66" t="str">
        <f>IFERROR(VLOOKUP($A10,Admission!$1:$998,4,0),"")</f>
        <v>JAMELA KHATUN</v>
      </c>
      <c r="C10" s="66" t="str">
        <f>IFERROR(VLOOKUP($A10,Admission!$1:$998,5,0),"")</f>
        <v>RAMJAN ANSARI</v>
      </c>
      <c r="D10" s="66">
        <f>IFERROR(VLOOKUP($A10,Admission!$1:$998,10,0),"")</f>
        <v>8777097447</v>
      </c>
      <c r="E10" s="66" t="str">
        <f>IFERROR(VLOOKUP($A10,Admission!$1:$998,3,0),"")</f>
        <v>Hosteller</v>
      </c>
      <c r="F10" s="25">
        <v>0</v>
      </c>
      <c r="G10" s="25">
        <v>3700</v>
      </c>
      <c r="H10" s="25">
        <v>3700</v>
      </c>
      <c r="I10" s="25">
        <v>150</v>
      </c>
      <c r="J10" s="25">
        <v>3700</v>
      </c>
      <c r="K10" s="25">
        <v>3700</v>
      </c>
      <c r="L10" s="25">
        <v>3700</v>
      </c>
      <c r="M10" s="25">
        <v>200</v>
      </c>
      <c r="N10" s="25">
        <v>3700</v>
      </c>
      <c r="O10" s="25">
        <v>3700</v>
      </c>
      <c r="P10" s="25">
        <v>3700</v>
      </c>
      <c r="Q10" s="25">
        <v>200</v>
      </c>
      <c r="R10" s="25">
        <v>3700</v>
      </c>
      <c r="S10" s="25">
        <v>3700</v>
      </c>
      <c r="T10" s="25">
        <v>200</v>
      </c>
      <c r="U10" s="25">
        <v>3700</v>
      </c>
      <c r="V10" s="2"/>
    </row>
    <row r="11" spans="1:32" ht="13" x14ac:dyDescent="0.15">
      <c r="A11" s="58">
        <v>88</v>
      </c>
      <c r="B11" s="66" t="str">
        <f>IFERROR(VLOOKUP($A11,Admission!$1:$998,4,0),"")</f>
        <v>ASHARAF ANSARI</v>
      </c>
      <c r="C11" s="66" t="str">
        <f>IFERROR(VLOOKUP($A11,Admission!$1:$998,5,0),"")</f>
        <v>IMAMUDIN ANSARI</v>
      </c>
      <c r="D11" s="66">
        <f>IFERROR(VLOOKUP($A11,Admission!$1:$998,10,0),"")</f>
        <v>8777097447</v>
      </c>
      <c r="E11" s="66" t="str">
        <f>IFERROR(VLOOKUP($A11,Admission!$1:$998,3,0),"")</f>
        <v>Hosteller</v>
      </c>
      <c r="F11" s="25">
        <v>0</v>
      </c>
      <c r="G11" s="25">
        <v>3700</v>
      </c>
      <c r="H11" s="25">
        <v>3700</v>
      </c>
      <c r="I11" s="25">
        <v>150</v>
      </c>
      <c r="J11" s="25">
        <v>3700</v>
      </c>
      <c r="K11" s="25">
        <v>3700</v>
      </c>
      <c r="L11" s="25">
        <v>3700</v>
      </c>
      <c r="M11" s="25">
        <v>200</v>
      </c>
      <c r="N11" s="25">
        <v>3700</v>
      </c>
      <c r="O11" s="25">
        <v>3700</v>
      </c>
      <c r="P11" s="25">
        <v>3700</v>
      </c>
      <c r="Q11" s="25">
        <v>200</v>
      </c>
      <c r="R11" s="25">
        <v>3700</v>
      </c>
      <c r="S11" s="25">
        <v>3700</v>
      </c>
      <c r="T11" s="25">
        <v>200</v>
      </c>
      <c r="U11" s="25">
        <v>3700</v>
      </c>
      <c r="V11" s="2"/>
    </row>
    <row r="12" spans="1:32" ht="18" customHeight="1" x14ac:dyDescent="0.15">
      <c r="A12" s="58">
        <v>95</v>
      </c>
      <c r="B12" s="66" t="s">
        <v>299</v>
      </c>
      <c r="C12" s="66" t="s">
        <v>297</v>
      </c>
      <c r="D12" s="66">
        <v>8821258796</v>
      </c>
      <c r="E12" s="66" t="str">
        <f>IFERROR(VLOOKUP($A12,Admission!$1:$998,3,0),"")</f>
        <v>Hosteller</v>
      </c>
      <c r="F12" s="25">
        <v>0</v>
      </c>
      <c r="G12" s="25">
        <v>3700</v>
      </c>
      <c r="H12" s="25">
        <v>3700</v>
      </c>
      <c r="I12" s="25">
        <v>150</v>
      </c>
      <c r="J12" s="25">
        <v>3700</v>
      </c>
      <c r="K12" s="25">
        <v>3700</v>
      </c>
      <c r="L12" s="25">
        <v>3700</v>
      </c>
      <c r="M12" s="25">
        <v>200</v>
      </c>
      <c r="N12" s="25">
        <v>3700</v>
      </c>
      <c r="O12" s="25">
        <v>3700</v>
      </c>
      <c r="P12" s="25">
        <v>3700</v>
      </c>
      <c r="Q12" s="58"/>
      <c r="R12" s="67">
        <v>3700</v>
      </c>
      <c r="S12" s="68">
        <v>3700</v>
      </c>
      <c r="T12" s="68">
        <v>200</v>
      </c>
      <c r="U12" s="68">
        <v>3700</v>
      </c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32" ht="13" x14ac:dyDescent="0.15">
      <c r="A13" s="58">
        <v>103</v>
      </c>
      <c r="B13" s="66" t="str">
        <f>IFERROR(VLOOKUP($A13,Admission!$1:$998,4,0),"")</f>
        <v>SAFIK ANSARI</v>
      </c>
      <c r="C13" s="66" t="str">
        <f>IFERROR(VLOOKUP($A13,Admission!$1:$998,5,0),"")</f>
        <v>NUR HUSEN</v>
      </c>
      <c r="D13" s="66">
        <f>IFERROR(VLOOKUP($A13,Admission!$1:$998,10,0),"")</f>
        <v>8797884145</v>
      </c>
      <c r="E13" s="66" t="str">
        <f>IFERROR(VLOOKUP($A13,Admission!$1:$998,3,0),"")</f>
        <v>Hosteller</v>
      </c>
      <c r="F13" s="25">
        <v>0</v>
      </c>
      <c r="G13" s="25">
        <v>3700</v>
      </c>
      <c r="H13" s="25">
        <v>3700</v>
      </c>
      <c r="I13" s="25"/>
      <c r="J13" s="25">
        <v>3700</v>
      </c>
      <c r="K13" s="25">
        <v>3700</v>
      </c>
      <c r="L13" s="25">
        <v>3700</v>
      </c>
      <c r="M13" s="25"/>
      <c r="N13" s="25">
        <v>3700</v>
      </c>
      <c r="O13" s="25">
        <v>3700</v>
      </c>
      <c r="P13" s="25">
        <v>3700</v>
      </c>
      <c r="Q13" s="25"/>
      <c r="R13" s="25">
        <v>3700</v>
      </c>
      <c r="S13" s="25">
        <v>3700</v>
      </c>
      <c r="T13" s="25"/>
      <c r="U13" s="25">
        <v>3700</v>
      </c>
    </row>
    <row r="14" spans="1:32" ht="13" x14ac:dyDescent="0.15">
      <c r="A14" s="58">
        <v>112</v>
      </c>
      <c r="B14" s="66" t="str">
        <f>IFERROR(VLOOKUP($A14,Admission!$1:$998,4,0),"")</f>
        <v>MD ATIF SAHAL</v>
      </c>
      <c r="C14" s="66" t="str">
        <f>IFERROR(VLOOKUP($A14,Admission!$1:$998,5,0),"")</f>
        <v>MD AMJAAD ANSARI</v>
      </c>
      <c r="D14" s="66">
        <f>IFERROR(VLOOKUP($A14,Admission!$1:$998,10,0),"")</f>
        <v>9771026583</v>
      </c>
      <c r="E14" s="66" t="str">
        <f>IFERROR(VLOOKUP($A14,Admission!$1:$998,3,0),"")</f>
        <v>Hosteller</v>
      </c>
      <c r="F14" s="25">
        <v>0</v>
      </c>
      <c r="G14" s="25">
        <v>3700</v>
      </c>
      <c r="H14" s="25">
        <v>3700</v>
      </c>
      <c r="I14" s="25">
        <v>200</v>
      </c>
      <c r="J14" s="25">
        <v>3700</v>
      </c>
      <c r="K14" s="25">
        <v>3700</v>
      </c>
      <c r="L14" s="25">
        <v>3700</v>
      </c>
      <c r="M14" s="25">
        <v>200</v>
      </c>
      <c r="N14" s="25">
        <v>3700</v>
      </c>
      <c r="O14" s="25">
        <v>3700</v>
      </c>
      <c r="P14" s="25">
        <v>3700</v>
      </c>
      <c r="Q14" s="25">
        <v>200</v>
      </c>
      <c r="R14" s="25">
        <v>3700</v>
      </c>
      <c r="S14" s="25">
        <v>3700</v>
      </c>
      <c r="T14" s="25">
        <v>200</v>
      </c>
      <c r="U14" s="25">
        <v>3700</v>
      </c>
    </row>
    <row r="15" spans="1:32" ht="13" x14ac:dyDescent="0.15">
      <c r="A15" s="58">
        <v>133</v>
      </c>
      <c r="B15" s="66" t="str">
        <f>IFERROR(VLOOKUP($A15,Admission!$1:$998,4,0),"")</f>
        <v>MARJIYA PARVEEN</v>
      </c>
      <c r="C15" s="66" t="str">
        <f>IFERROR(VLOOKUP($A15,Admission!$1:$998,5,0),"")</f>
        <v xml:space="preserve">ABDUL KHABIR </v>
      </c>
      <c r="D15" s="66">
        <f>IFERROR(VLOOKUP($A15,Admission!$1:$998,10,0),"")</f>
        <v>9572384523</v>
      </c>
      <c r="E15" s="66" t="str">
        <f>IFERROR(VLOOKUP($A15,Admission!$1:$998,3,0),"")</f>
        <v>Hosteller</v>
      </c>
      <c r="F15" s="25">
        <v>3700</v>
      </c>
      <c r="G15" s="25">
        <v>3700</v>
      </c>
      <c r="H15" s="25">
        <v>3700</v>
      </c>
      <c r="I15" s="25"/>
      <c r="J15" s="25">
        <v>3700</v>
      </c>
      <c r="K15" s="25">
        <v>3700</v>
      </c>
      <c r="L15" s="25">
        <v>3700</v>
      </c>
      <c r="M15" s="25"/>
      <c r="N15" s="25">
        <v>3700</v>
      </c>
      <c r="O15" s="25">
        <v>3700</v>
      </c>
      <c r="P15" s="25">
        <v>3700</v>
      </c>
      <c r="Q15" s="25"/>
      <c r="R15" s="25">
        <v>3700</v>
      </c>
      <c r="S15" s="25">
        <v>3700</v>
      </c>
      <c r="T15" s="25"/>
      <c r="U15" s="25">
        <v>3700</v>
      </c>
    </row>
    <row r="16" spans="1:32" ht="13" x14ac:dyDescent="0.15">
      <c r="A16" s="58">
        <v>149</v>
      </c>
      <c r="B16" s="66" t="str">
        <f>IFERROR(VLOOKUP($A16,Admission!$1:$998,4,0),"")</f>
        <v>TUHINA KHATUN</v>
      </c>
      <c r="C16" s="66" t="str">
        <f>IFERROR(VLOOKUP($A16,Admission!$1:$998,5,0),"")</f>
        <v>RUHUL SHEKH</v>
      </c>
      <c r="D16" s="66">
        <f>IFERROR(VLOOKUP($A16,Admission!$1:$998,10,0),"")</f>
        <v>8210692094</v>
      </c>
      <c r="E16" s="66" t="str">
        <f>IFERROR(VLOOKUP($A16,Admission!$1:$998,3,0),"")</f>
        <v>Hosteller</v>
      </c>
      <c r="F16" s="25">
        <v>0</v>
      </c>
      <c r="G16" s="25">
        <v>0</v>
      </c>
      <c r="H16" s="25">
        <v>3700</v>
      </c>
      <c r="I16" s="25">
        <v>200</v>
      </c>
      <c r="J16" s="25">
        <v>3700</v>
      </c>
      <c r="K16" s="25">
        <v>3700</v>
      </c>
      <c r="L16" s="25">
        <v>3700</v>
      </c>
      <c r="M16" s="25">
        <v>200</v>
      </c>
      <c r="N16" s="25">
        <v>3700</v>
      </c>
      <c r="O16" s="25">
        <v>3700</v>
      </c>
      <c r="P16" s="25">
        <v>3700</v>
      </c>
      <c r="Q16" s="25">
        <v>200</v>
      </c>
      <c r="R16" s="25">
        <v>3700</v>
      </c>
      <c r="S16" s="25">
        <v>3700</v>
      </c>
      <c r="T16" s="25">
        <v>200</v>
      </c>
      <c r="U16" s="25">
        <v>3700</v>
      </c>
    </row>
    <row r="17" spans="1:21" ht="13" x14ac:dyDescent="0.15">
      <c r="A17" s="58">
        <v>151</v>
      </c>
      <c r="B17" s="66" t="str">
        <f>IFERROR(VLOOKUP($A17,Admission!$1:$998,4,0),"")</f>
        <v>NASHRIN KHATUN</v>
      </c>
      <c r="C17" s="66" t="str">
        <f>IFERROR(VLOOKUP($A17,Admission!$1:$998,5,0),"")</f>
        <v>MD MANSUR SHEKH</v>
      </c>
      <c r="D17" s="66">
        <f>IFERROR(VLOOKUP($A17,Admission!$1:$998,10,0),"")</f>
        <v>9060522417</v>
      </c>
      <c r="E17" s="66" t="str">
        <f>IFERROR(VLOOKUP($A17,Admission!$1:$998,3,0),"")</f>
        <v>Hosteller</v>
      </c>
      <c r="F17" s="25">
        <v>0</v>
      </c>
      <c r="G17" s="25">
        <v>0</v>
      </c>
      <c r="H17" s="25">
        <v>3700</v>
      </c>
      <c r="I17" s="25">
        <v>200</v>
      </c>
      <c r="J17" s="25">
        <v>3700</v>
      </c>
      <c r="K17" s="25">
        <v>3700</v>
      </c>
      <c r="L17" s="25">
        <v>3700</v>
      </c>
      <c r="M17" s="25">
        <v>200</v>
      </c>
      <c r="N17" s="25">
        <v>3700</v>
      </c>
      <c r="O17" s="25">
        <v>3700</v>
      </c>
      <c r="P17" s="25">
        <v>3700</v>
      </c>
      <c r="Q17" s="25">
        <v>200</v>
      </c>
      <c r="R17" s="25">
        <v>3700</v>
      </c>
      <c r="S17" s="25">
        <v>3700</v>
      </c>
      <c r="T17" s="25">
        <v>200</v>
      </c>
      <c r="U17" s="25">
        <v>3700</v>
      </c>
    </row>
    <row r="18" spans="1:21" ht="13" x14ac:dyDescent="0.15">
      <c r="A18" s="58">
        <v>153</v>
      </c>
      <c r="B18" s="66" t="str">
        <f>IFERROR(VLOOKUP($A18,Admission!$1:$998,4,0),"")</f>
        <v>SHAHNAWAJ HUSSAIN</v>
      </c>
      <c r="C18" s="66" t="str">
        <f>IFERROR(VLOOKUP($A18,Admission!$1:$998,5,0),"")</f>
        <v>MD SADDAM HUSSAIN</v>
      </c>
      <c r="D18" s="66">
        <f>IFERROR(VLOOKUP($A18,Admission!$1:$998,10,0),"")</f>
        <v>9980324610</v>
      </c>
      <c r="E18" s="66" t="str">
        <f>IFERROR(VLOOKUP($A18,Admission!$1:$998,3,0),"")</f>
        <v>Hosteller</v>
      </c>
      <c r="F18" s="25">
        <v>0</v>
      </c>
      <c r="G18" s="25">
        <v>0</v>
      </c>
      <c r="H18" s="25">
        <v>3700</v>
      </c>
      <c r="I18" s="25"/>
      <c r="J18" s="25">
        <v>3700</v>
      </c>
      <c r="K18" s="25">
        <v>3700</v>
      </c>
      <c r="L18" s="25">
        <v>3700</v>
      </c>
      <c r="M18" s="25">
        <v>200</v>
      </c>
      <c r="N18" s="25">
        <v>3700</v>
      </c>
      <c r="O18" s="25">
        <v>3700</v>
      </c>
      <c r="P18" s="25">
        <v>3700</v>
      </c>
      <c r="Q18" s="25">
        <v>200</v>
      </c>
      <c r="R18" s="25">
        <v>3700</v>
      </c>
      <c r="S18" s="25">
        <v>3700</v>
      </c>
      <c r="T18" s="25">
        <v>200</v>
      </c>
      <c r="U18" s="25">
        <v>3700</v>
      </c>
    </row>
    <row r="19" spans="1:21" ht="13" x14ac:dyDescent="0.15">
      <c r="A19" s="58">
        <v>164</v>
      </c>
      <c r="B19" s="66" t="str">
        <f>IFERROR(VLOOKUP($A19,Admission!$1:$998,4,0),"")</f>
        <v>NAJMI ALAM</v>
      </c>
      <c r="C19" s="66" t="str">
        <f>IFERROR(VLOOKUP($A19,Admission!$1:$998,5,0),"")</f>
        <v>APTARUL SHAIKH</v>
      </c>
      <c r="D19" s="66">
        <f>IFERROR(VLOOKUP($A19,Admission!$1:$998,10,0),"")</f>
        <v>6200832993</v>
      </c>
      <c r="E19" s="66" t="str">
        <f>IFERROR(VLOOKUP($A19,Admission!$1:$998,3,0),"")</f>
        <v>Hosteller</v>
      </c>
      <c r="F19" s="25">
        <v>0</v>
      </c>
      <c r="G19" s="25">
        <v>0</v>
      </c>
      <c r="H19" s="25">
        <v>3700</v>
      </c>
      <c r="I19" s="25">
        <v>200</v>
      </c>
      <c r="J19" s="25">
        <v>3700</v>
      </c>
      <c r="K19" s="25">
        <v>3700</v>
      </c>
      <c r="L19" s="25">
        <v>3700</v>
      </c>
      <c r="M19" s="25">
        <v>200</v>
      </c>
      <c r="N19" s="25">
        <v>3700</v>
      </c>
      <c r="O19" s="25">
        <v>3700</v>
      </c>
      <c r="P19" s="25">
        <v>3700</v>
      </c>
      <c r="Q19" s="25">
        <v>200</v>
      </c>
      <c r="R19" s="25">
        <v>3700</v>
      </c>
      <c r="S19" s="25">
        <v>3700</v>
      </c>
      <c r="T19" s="25">
        <v>200</v>
      </c>
      <c r="U19" s="25">
        <v>3700</v>
      </c>
    </row>
    <row r="20" spans="1:21" ht="13" x14ac:dyDescent="0.15">
      <c r="A20" s="58">
        <v>165</v>
      </c>
      <c r="B20" s="66" t="str">
        <f>IFERROR(VLOOKUP($A20,Admission!$1:$998,4,0),"")</f>
        <v>AYAN RAHMAN</v>
      </c>
      <c r="C20" s="66" t="str">
        <f>IFERROR(VLOOKUP($A20,Admission!$1:$998,5,0),"")</f>
        <v>OBAIDUR RAHMAN</v>
      </c>
      <c r="D20" s="66">
        <f>IFERROR(VLOOKUP($A20,Admission!$1:$998,10,0),"")</f>
        <v>8340523933</v>
      </c>
      <c r="E20" s="66" t="str">
        <f>IFERROR(VLOOKUP($A20,Admission!$1:$998,3,0),"")</f>
        <v>Hosteller</v>
      </c>
      <c r="F20" s="25">
        <v>0</v>
      </c>
      <c r="G20" s="25">
        <v>0</v>
      </c>
      <c r="H20" s="25">
        <v>3700</v>
      </c>
      <c r="I20" s="25">
        <v>200</v>
      </c>
      <c r="J20" s="25">
        <v>3700</v>
      </c>
      <c r="K20" s="25">
        <v>3700</v>
      </c>
      <c r="L20" s="25">
        <v>3700</v>
      </c>
      <c r="M20" s="25">
        <v>200</v>
      </c>
      <c r="N20" s="25">
        <v>3700</v>
      </c>
      <c r="O20" s="25">
        <v>3700</v>
      </c>
      <c r="P20" s="25">
        <v>3700</v>
      </c>
      <c r="Q20" s="25">
        <v>200</v>
      </c>
      <c r="R20" s="25">
        <v>3700</v>
      </c>
      <c r="S20" s="25">
        <v>3700</v>
      </c>
      <c r="T20" s="25">
        <v>200</v>
      </c>
      <c r="U20" s="25">
        <v>3700</v>
      </c>
    </row>
    <row r="21" spans="1:21" ht="13" x14ac:dyDescent="0.15">
      <c r="A21" s="58">
        <v>167</v>
      </c>
      <c r="B21" s="66" t="str">
        <f>IFERROR(VLOOKUP($A21,Admission!$1:$998,4,0),"")</f>
        <v>ATIK ALAM</v>
      </c>
      <c r="C21" s="66" t="str">
        <f>IFERROR(VLOOKUP($A21,Admission!$1:$998,5,0),"")</f>
        <v>ATABUL SHAIKH</v>
      </c>
      <c r="D21" s="66">
        <f>IFERROR(VLOOKUP($A21,Admission!$1:$998,10,0),"")</f>
        <v>6201046143</v>
      </c>
      <c r="E21" s="66" t="str">
        <f>IFERROR(VLOOKUP($A21,Admission!$1:$998,3,0),"")</f>
        <v>Hosteller</v>
      </c>
      <c r="F21" s="25">
        <v>0</v>
      </c>
      <c r="G21" s="25">
        <v>0</v>
      </c>
      <c r="H21" s="25">
        <v>3700</v>
      </c>
      <c r="I21" s="25"/>
      <c r="J21" s="25">
        <v>3700</v>
      </c>
      <c r="K21" s="25">
        <v>3700</v>
      </c>
      <c r="L21" s="25">
        <v>3700</v>
      </c>
      <c r="M21" s="25"/>
      <c r="N21" s="25">
        <v>3700</v>
      </c>
      <c r="O21" s="23">
        <v>3700</v>
      </c>
      <c r="P21" s="25">
        <v>3700</v>
      </c>
      <c r="Q21" s="25"/>
      <c r="R21" s="25">
        <v>3700</v>
      </c>
      <c r="S21" s="25">
        <v>3700</v>
      </c>
      <c r="T21" s="25"/>
      <c r="U21" s="25">
        <v>3700</v>
      </c>
    </row>
    <row r="22" spans="1:21" ht="13" x14ac:dyDescent="0.15">
      <c r="A22" s="58">
        <v>170</v>
      </c>
      <c r="B22" s="66" t="str">
        <f>IFERROR(VLOOKUP($A22,Admission!$1:$998,4,0),"")</f>
        <v>ASAD GANI</v>
      </c>
      <c r="C22" s="66" t="str">
        <f>IFERROR(VLOOKUP($A22,Admission!$1:$998,5,0),"")</f>
        <v>ABDUL GANI</v>
      </c>
      <c r="D22" s="66">
        <f>IFERROR(VLOOKUP($A22,Admission!$1:$998,10,0),"")</f>
        <v>8521469562</v>
      </c>
      <c r="E22" s="66" t="str">
        <f>IFERROR(VLOOKUP($A22,Admission!$1:$998,3,0),"")</f>
        <v>Day Scholar</v>
      </c>
      <c r="F22" s="25">
        <v>600</v>
      </c>
      <c r="G22" s="25">
        <v>600</v>
      </c>
      <c r="H22" s="25">
        <v>600</v>
      </c>
      <c r="I22" s="25">
        <v>200</v>
      </c>
      <c r="J22" s="25">
        <v>600</v>
      </c>
      <c r="K22" s="25">
        <v>600</v>
      </c>
      <c r="L22" s="25">
        <v>600</v>
      </c>
      <c r="M22" s="25">
        <v>200</v>
      </c>
      <c r="N22" s="25">
        <v>600</v>
      </c>
      <c r="O22" s="25">
        <v>600</v>
      </c>
      <c r="P22" s="25">
        <v>600</v>
      </c>
      <c r="Q22" s="25">
        <v>200</v>
      </c>
      <c r="R22" s="25">
        <v>600</v>
      </c>
      <c r="S22" s="25">
        <v>600</v>
      </c>
      <c r="T22" s="25">
        <v>200</v>
      </c>
      <c r="U22" s="25">
        <v>600</v>
      </c>
    </row>
    <row r="23" spans="1:21" ht="13" x14ac:dyDescent="0.15">
      <c r="A23" s="58">
        <v>172</v>
      </c>
      <c r="B23" s="66" t="str">
        <f>IFERROR(VLOOKUP($A23,Admission!$1:$998,4,0),"")</f>
        <v>NAFISH AHMAD</v>
      </c>
      <c r="C23" s="66" t="str">
        <f>IFERROR(VLOOKUP($A23,Admission!$1:$998,5,0),"")</f>
        <v>NASIM AHMAD</v>
      </c>
      <c r="D23" s="66">
        <f>IFERROR(VLOOKUP($A23,Admission!$1:$998,10,0),"")</f>
        <v>9431388244</v>
      </c>
      <c r="E23" s="66" t="str">
        <f>IFERROR(VLOOKUP($A23,Admission!$1:$998,3,0),"")</f>
        <v>Day Scholar</v>
      </c>
      <c r="F23" s="25">
        <v>600</v>
      </c>
      <c r="G23" s="25">
        <v>600</v>
      </c>
      <c r="H23" s="25">
        <v>600</v>
      </c>
      <c r="I23" s="25">
        <v>200</v>
      </c>
      <c r="J23" s="25">
        <v>600</v>
      </c>
      <c r="K23" s="25">
        <v>600</v>
      </c>
      <c r="L23" s="25">
        <v>600</v>
      </c>
      <c r="M23" s="25">
        <v>200</v>
      </c>
      <c r="N23" s="25">
        <v>3700</v>
      </c>
      <c r="O23" s="25">
        <v>3700</v>
      </c>
      <c r="P23" s="25">
        <v>3700</v>
      </c>
      <c r="Q23" s="25">
        <v>200</v>
      </c>
      <c r="R23" s="25">
        <v>3700</v>
      </c>
      <c r="S23" s="25">
        <v>3700</v>
      </c>
      <c r="T23" s="25">
        <v>200</v>
      </c>
      <c r="U23" s="25">
        <v>3700</v>
      </c>
    </row>
    <row r="24" spans="1:21" ht="13" x14ac:dyDescent="0.15">
      <c r="A24" s="58">
        <v>174</v>
      </c>
      <c r="B24" s="66" t="str">
        <f>IFERROR(VLOOKUP($A24,Admission!$1:$998,4,0),"")</f>
        <v>RAHNUMA KHATUN</v>
      </c>
      <c r="C24" s="66" t="str">
        <f>IFERROR(VLOOKUP($A24,Admission!$1:$998,5,0),"")</f>
        <v xml:space="preserve">ABUL KASIM </v>
      </c>
      <c r="D24" s="66">
        <f>IFERROR(VLOOKUP($A24,Admission!$1:$998,10,0),"")</f>
        <v>8709903830</v>
      </c>
      <c r="E24" s="66" t="str">
        <f>IFERROR(VLOOKUP($A24,Admission!$1:$998,3,0),"")</f>
        <v>Day Scholar</v>
      </c>
      <c r="F24" s="25">
        <v>600</v>
      </c>
      <c r="G24" s="25">
        <v>600</v>
      </c>
      <c r="H24" s="25">
        <v>600</v>
      </c>
      <c r="I24" s="25">
        <v>150</v>
      </c>
      <c r="J24" s="25">
        <v>600</v>
      </c>
      <c r="K24" s="25">
        <v>600</v>
      </c>
      <c r="L24" s="25">
        <v>600</v>
      </c>
      <c r="M24" s="25">
        <v>200</v>
      </c>
      <c r="N24" s="25">
        <v>600</v>
      </c>
      <c r="O24" s="25">
        <v>600</v>
      </c>
      <c r="P24" s="25">
        <v>600</v>
      </c>
      <c r="Q24" s="25"/>
      <c r="R24" s="25">
        <v>600</v>
      </c>
      <c r="S24" s="25">
        <v>600</v>
      </c>
      <c r="T24" s="25"/>
      <c r="U24" s="25">
        <v>600</v>
      </c>
    </row>
    <row r="25" spans="1:21" ht="13" x14ac:dyDescent="0.15">
      <c r="A25" s="58">
        <v>177</v>
      </c>
      <c r="B25" s="66" t="str">
        <f>IFERROR(VLOOKUP($A25,Admission!$1:$998,4,0),"")</f>
        <v>NABEEL ANSARI</v>
      </c>
      <c r="C25" s="66" t="str">
        <f>IFERROR(VLOOKUP($A25,Admission!$1:$998,5,0),"")</f>
        <v>ABDUR RAQUIB</v>
      </c>
      <c r="D25" s="66">
        <f>IFERROR(VLOOKUP($A25,Admission!$1:$998,10,0),"")</f>
        <v>7250389312</v>
      </c>
      <c r="E25" s="66" t="str">
        <f>IFERROR(VLOOKUP($A25,Admission!$1:$998,3,0),"")</f>
        <v>Hosteller</v>
      </c>
      <c r="F25" s="25">
        <v>0</v>
      </c>
      <c r="G25" s="25">
        <v>0</v>
      </c>
      <c r="H25" s="25">
        <v>0</v>
      </c>
      <c r="I25" s="25">
        <v>0</v>
      </c>
      <c r="J25" s="25">
        <v>3700</v>
      </c>
      <c r="K25" s="25">
        <v>3700</v>
      </c>
      <c r="L25" s="25">
        <v>3700</v>
      </c>
      <c r="M25" s="25">
        <v>200</v>
      </c>
      <c r="N25" s="25">
        <v>3700</v>
      </c>
      <c r="O25" s="25">
        <v>3700</v>
      </c>
      <c r="P25" s="25">
        <v>3700</v>
      </c>
      <c r="Q25" s="25"/>
      <c r="R25" s="25">
        <v>3700</v>
      </c>
      <c r="S25" s="25">
        <v>3700</v>
      </c>
      <c r="T25" s="25"/>
      <c r="U25" s="25">
        <v>3700</v>
      </c>
    </row>
    <row r="26" spans="1:21" ht="13" x14ac:dyDescent="0.15">
      <c r="A26" s="58"/>
      <c r="B26" s="66" t="str">
        <f>IFERROR(VLOOKUP($A26,Admission!$1:$998,4,0),"")</f>
        <v/>
      </c>
      <c r="C26" s="66" t="str">
        <f>IFERROR(VLOOKUP($A26,Admission!$1:$998,5,0),"")</f>
        <v/>
      </c>
      <c r="D26" s="66" t="str">
        <f>IFERROR(VLOOKUP($A26,Admission!$1:$998,10,0),"")</f>
        <v/>
      </c>
      <c r="E26" s="66" t="str">
        <f>IFERROR(VLOOKUP($A26,Admission!$1:$998,3,0),"")</f>
        <v/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ht="13" x14ac:dyDescent="0.15">
      <c r="A27" s="58"/>
      <c r="B27" s="66" t="str">
        <f>IFERROR(VLOOKUP($A27,Admission!$1:$998,4,0),"")</f>
        <v/>
      </c>
      <c r="C27" s="66" t="str">
        <f>IFERROR(VLOOKUP($A27,Admission!$1:$998,5,0),"")</f>
        <v/>
      </c>
      <c r="D27" s="66" t="str">
        <f>IFERROR(VLOOKUP($A27,Admission!$1:$998,10,0),"")</f>
        <v/>
      </c>
      <c r="E27" s="66" t="str">
        <f>IFERROR(VLOOKUP($A27,Admission!$1:$998,3,0),"")</f>
        <v/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1" ht="13" x14ac:dyDescent="0.15">
      <c r="A28" s="58"/>
      <c r="B28" s="66" t="str">
        <f>IFERROR(VLOOKUP($A28,Admission!$1:$998,4,0),"")</f>
        <v/>
      </c>
      <c r="C28" s="66" t="str">
        <f>IFERROR(VLOOKUP($A28,Admission!$1:$998,5,0),"")</f>
        <v/>
      </c>
      <c r="D28" s="66" t="str">
        <f>IFERROR(VLOOKUP($A28,Admission!$1:$998,10,0),"")</f>
        <v/>
      </c>
      <c r="E28" s="66" t="str">
        <f>IFERROR(VLOOKUP($A28,Admission!$1:$998,3,0),"")</f>
        <v/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ht="13" x14ac:dyDescent="0.15">
      <c r="A29" s="58"/>
      <c r="B29" s="66" t="str">
        <f>IFERROR(VLOOKUP($A29,Admission!$1:$998,4,0),"")</f>
        <v/>
      </c>
      <c r="C29" s="66" t="str">
        <f>IFERROR(VLOOKUP($A29,Admission!$1:$998,5,0),"")</f>
        <v/>
      </c>
      <c r="D29" s="66" t="str">
        <f>IFERROR(VLOOKUP($A29,Admission!$1:$998,10,0),"")</f>
        <v/>
      </c>
      <c r="E29" s="66" t="str">
        <f>IFERROR(VLOOKUP($A29,Admission!$1:$998,3,0),"")</f>
        <v/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ht="13" x14ac:dyDescent="0.15">
      <c r="A30" s="58"/>
      <c r="B30" s="66" t="str">
        <f>IFERROR(VLOOKUP($A30,Admission!$1:$998,4,0),"")</f>
        <v/>
      </c>
      <c r="C30" s="66" t="str">
        <f>IFERROR(VLOOKUP($A30,Admission!$1:$998,5,0),"")</f>
        <v/>
      </c>
      <c r="D30" s="66" t="str">
        <f>IFERROR(VLOOKUP($A30,Admission!$1:$998,10,0),"")</f>
        <v/>
      </c>
      <c r="E30" s="66" t="str">
        <f>IFERROR(VLOOKUP($A30,Admission!$1:$998,3,0),"")</f>
        <v/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 ht="13" x14ac:dyDescent="0.15">
      <c r="A31" s="58"/>
      <c r="B31" s="66" t="str">
        <f>IFERROR(VLOOKUP($A31,Admission!$1:$998,4,0),"")</f>
        <v/>
      </c>
      <c r="C31" s="66" t="str">
        <f>IFERROR(VLOOKUP($A31,Admission!$1:$998,5,0),"")</f>
        <v/>
      </c>
      <c r="D31" s="66" t="str">
        <f>IFERROR(VLOOKUP($A31,Admission!$1:$998,10,0),"")</f>
        <v/>
      </c>
      <c r="E31" s="66" t="str">
        <f>IFERROR(VLOOKUP($A31,Admission!$1:$998,3,0),"")</f>
        <v/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1:21" ht="13" x14ac:dyDescent="0.15">
      <c r="A32" s="58"/>
      <c r="B32" s="66" t="str">
        <f>IFERROR(VLOOKUP($A32,Admission!$1:$998,4,0),"")</f>
        <v/>
      </c>
      <c r="C32" s="66" t="str">
        <f>IFERROR(VLOOKUP($A32,Admission!$1:$998,5,0),"")</f>
        <v/>
      </c>
      <c r="D32" s="66" t="str">
        <f>IFERROR(VLOOKUP($A32,Admission!$1:$998,10,0),"")</f>
        <v/>
      </c>
      <c r="E32" s="66" t="str">
        <f>IFERROR(VLOOKUP($A32,Admission!$1:$998,3,0),"")</f>
        <v/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1:21" ht="13" x14ac:dyDescent="0.15">
      <c r="A33" s="58"/>
      <c r="B33" s="66" t="str">
        <f>IFERROR(VLOOKUP($A33,Admission!$1:$998,4,0),"")</f>
        <v/>
      </c>
      <c r="C33" s="66" t="str">
        <f>IFERROR(VLOOKUP($A33,Admission!$1:$998,5,0),"")</f>
        <v/>
      </c>
      <c r="D33" s="66" t="str">
        <f>IFERROR(VLOOKUP($A33,Admission!$1:$998,10,0),"")</f>
        <v/>
      </c>
      <c r="E33" s="66" t="str">
        <f>IFERROR(VLOOKUP($A33,Admission!$1:$998,3,0),"")</f>
        <v/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1:21" ht="13" x14ac:dyDescent="0.15">
      <c r="A34" s="58"/>
      <c r="B34" s="66" t="str">
        <f>IFERROR(VLOOKUP($A34,Admission!$1:$998,4,0),"")</f>
        <v/>
      </c>
      <c r="C34" s="66" t="str">
        <f>IFERROR(VLOOKUP($A34,Admission!$1:$998,5,0),"")</f>
        <v/>
      </c>
      <c r="D34" s="66" t="str">
        <f>IFERROR(VLOOKUP($A34,Admission!$1:$998,10,0),"")</f>
        <v/>
      </c>
      <c r="E34" s="66" t="str">
        <f>IFERROR(VLOOKUP($A34,Admission!$1:$998,3,0),"")</f>
        <v/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1:21" ht="13" x14ac:dyDescent="0.15">
      <c r="A35" s="58"/>
      <c r="B35" s="66" t="str">
        <f>IFERROR(VLOOKUP($A35,Admission!$1:$998,4,0),"")</f>
        <v/>
      </c>
      <c r="C35" s="66" t="str">
        <f>IFERROR(VLOOKUP($A35,Admission!$1:$998,5,0),"")</f>
        <v/>
      </c>
      <c r="D35" s="66" t="str">
        <f>IFERROR(VLOOKUP($A35,Admission!$1:$998,10,0),"")</f>
        <v/>
      </c>
      <c r="E35" s="66" t="str">
        <f>IFERROR(VLOOKUP($A35,Admission!$1:$998,3,0),"")</f>
        <v/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1:21" ht="13" x14ac:dyDescent="0.15">
      <c r="A36" s="58"/>
      <c r="B36" s="69" t="str">
        <f>IFERROR(VLOOKUP($A36,Admission!$1:$998,4,0),"")</f>
        <v/>
      </c>
      <c r="C36" s="69" t="str">
        <f>IFERROR(VLOOKUP($A36,Admission!$1:$998,5,0),"")</f>
        <v/>
      </c>
      <c r="D36" s="69"/>
      <c r="E36" s="69" t="str">
        <f>IFERROR(VLOOKUP($A36,Admission!$1:$998,3,0),"")</f>
        <v/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1:21" ht="13" x14ac:dyDescent="0.15">
      <c r="A37" s="58"/>
      <c r="B37" s="69" t="str">
        <f>IFERROR(VLOOKUP($A37,Admission!$1:$998,4,0),"")</f>
        <v/>
      </c>
      <c r="C37" s="69" t="str">
        <f>IFERROR(VLOOKUP($A37,Admission!$1:$998,5,0),"")</f>
        <v/>
      </c>
      <c r="D37" s="69"/>
      <c r="E37" s="69" t="str">
        <f>IFERROR(VLOOKUP($A37,Admission!$1:$998,3,0),"")</f>
        <v/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1:21" ht="13" x14ac:dyDescent="0.15">
      <c r="A38" s="58"/>
      <c r="B38" s="69" t="str">
        <f>IFERROR(VLOOKUP($A38,Admission!$1:$998,4,0),"")</f>
        <v/>
      </c>
      <c r="C38" s="69" t="str">
        <f>IFERROR(VLOOKUP($A38,Admission!$1:$998,5,0),"")</f>
        <v/>
      </c>
      <c r="D38" s="69"/>
      <c r="E38" s="69" t="str">
        <f>IFERROR(VLOOKUP($A38,Admission!$1:$998,3,0),"")</f>
        <v/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1:21" ht="13" x14ac:dyDescent="0.15">
      <c r="A39" s="58"/>
      <c r="B39" s="69" t="str">
        <f>IFERROR(VLOOKUP($A39,Admission!$1:$998,4,0),"")</f>
        <v/>
      </c>
      <c r="C39" s="69" t="str">
        <f>IFERROR(VLOOKUP($A39,Admission!$1:$998,5,0),"")</f>
        <v/>
      </c>
      <c r="D39" s="69"/>
      <c r="E39" s="69" t="str">
        <f>IFERROR(VLOOKUP($A39,Admission!$1:$998,3,0),"")</f>
        <v/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ht="13" x14ac:dyDescent="0.15">
      <c r="A40" s="58"/>
      <c r="B40" s="69" t="str">
        <f>IFERROR(VLOOKUP($A40,Admission!$1:$998,4,0),"")</f>
        <v/>
      </c>
      <c r="C40" s="69" t="str">
        <f>IFERROR(VLOOKUP($A40,Admission!$1:$998,5,0),"")</f>
        <v/>
      </c>
      <c r="D40" s="69"/>
      <c r="E40" s="69" t="str">
        <f>IFERROR(VLOOKUP($A40,Admission!$1:$998,3,0),"")</f>
        <v/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1:21" ht="13" x14ac:dyDescent="0.15">
      <c r="A41" s="58"/>
      <c r="B41" s="69" t="str">
        <f>IFERROR(VLOOKUP($A41,Admission!$1:$998,4,0),"")</f>
        <v/>
      </c>
      <c r="C41" s="69" t="str">
        <f>IFERROR(VLOOKUP($A41,Admission!$1:$998,5,0),"")</f>
        <v/>
      </c>
      <c r="D41" s="69"/>
      <c r="E41" s="69" t="str">
        <f>IFERROR(VLOOKUP($A41,Admission!$1:$998,3,0),"")</f>
        <v/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1:21" ht="13" x14ac:dyDescent="0.15">
      <c r="A42" s="58"/>
      <c r="B42" s="69" t="str">
        <f>IFERROR(VLOOKUP($A42,Admission!$1:$998,4,0),"")</f>
        <v/>
      </c>
      <c r="C42" s="69" t="str">
        <f>IFERROR(VLOOKUP($A42,Admission!$1:$998,5,0),"")</f>
        <v/>
      </c>
      <c r="D42" s="69"/>
      <c r="E42" s="69" t="str">
        <f>IFERROR(VLOOKUP($A42,Admission!$1:$998,3,0),"")</f>
        <v/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1:21" ht="13" x14ac:dyDescent="0.15">
      <c r="A43" s="58"/>
      <c r="B43" s="69" t="str">
        <f>IFERROR(VLOOKUP($A43,Admission!$1:$998,4,0),"")</f>
        <v/>
      </c>
      <c r="C43" s="69" t="str">
        <f>IFERROR(VLOOKUP($A43,Admission!$1:$998,5,0),"")</f>
        <v/>
      </c>
      <c r="D43" s="69"/>
      <c r="E43" s="69" t="str">
        <f>IFERROR(VLOOKUP($A43,Admission!$1:$998,3,0),"")</f>
        <v/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21" ht="13" x14ac:dyDescent="0.15">
      <c r="A44" s="58"/>
      <c r="B44" s="69" t="str">
        <f>IFERROR(VLOOKUP($A44,Admission!$1:$998,4,0),"")</f>
        <v/>
      </c>
      <c r="C44" s="69" t="str">
        <f>IFERROR(VLOOKUP($A44,Admission!$1:$998,5,0),"")</f>
        <v/>
      </c>
      <c r="D44" s="69"/>
      <c r="E44" s="69" t="str">
        <f>IFERROR(VLOOKUP($A44,Admission!$1:$998,3,0),"")</f>
        <v/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21" ht="13" x14ac:dyDescent="0.15">
      <c r="A45" s="58"/>
      <c r="B45" s="69" t="str">
        <f>IFERROR(VLOOKUP($A45,Admission!$1:$998,4,0),"")</f>
        <v/>
      </c>
      <c r="C45" s="69" t="str">
        <f>IFERROR(VLOOKUP($A45,Admission!$1:$998,5,0),"")</f>
        <v/>
      </c>
      <c r="D45" s="69"/>
      <c r="E45" s="69" t="str">
        <f>IFERROR(VLOOKUP($A45,Admission!$1:$998,3,0),"")</f>
        <v/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1:21" ht="13" x14ac:dyDescent="0.15">
      <c r="A46" s="58"/>
      <c r="B46" s="69" t="str">
        <f>IFERROR(VLOOKUP($A46,Admission!$1:$998,4,0),"")</f>
        <v/>
      </c>
      <c r="C46" s="69" t="str">
        <f>IFERROR(VLOOKUP($A46,Admission!$1:$998,5,0),"")</f>
        <v/>
      </c>
      <c r="D46" s="69"/>
      <c r="E46" s="69" t="str">
        <f>IFERROR(VLOOKUP($A46,Admission!$1:$998,3,0),"")</f>
        <v/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1:21" ht="13" x14ac:dyDescent="0.15">
      <c r="A47" s="58"/>
      <c r="B47" s="69" t="str">
        <f>IFERROR(VLOOKUP($A47,Admission!$1:$998,4,0),"")</f>
        <v/>
      </c>
      <c r="C47" s="69" t="str">
        <f>IFERROR(VLOOKUP($A47,Admission!$1:$998,5,0),"")</f>
        <v/>
      </c>
      <c r="D47" s="69"/>
      <c r="E47" s="69" t="str">
        <f>IFERROR(VLOOKUP($A47,Admission!$1:$998,3,0),"")</f>
        <v/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1:21" ht="13" x14ac:dyDescent="0.15">
      <c r="A48" s="58"/>
      <c r="B48" s="69" t="str">
        <f>IFERROR(VLOOKUP($A48,Admission!$1:$998,4,0),"")</f>
        <v/>
      </c>
      <c r="C48" s="69" t="str">
        <f>IFERROR(VLOOKUP($A48,Admission!$1:$998,5,0),"")</f>
        <v/>
      </c>
      <c r="D48" s="69"/>
      <c r="E48" s="69" t="str">
        <f>IFERROR(VLOOKUP($A48,Admission!$1:$998,3,0),"")</f>
        <v/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1:21" ht="13" x14ac:dyDescent="0.15">
      <c r="A49" s="58"/>
      <c r="B49" s="69" t="str">
        <f>IFERROR(VLOOKUP($A49,Admission!$1:$998,4,0),"")</f>
        <v/>
      </c>
      <c r="C49" s="69" t="str">
        <f>IFERROR(VLOOKUP($A49,Admission!$1:$998,5,0),"")</f>
        <v/>
      </c>
      <c r="D49" s="69"/>
      <c r="E49" s="69" t="str">
        <f>IFERROR(VLOOKUP($A49,Admission!$1:$998,3,0),"")</f>
        <v/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1:21" ht="13" x14ac:dyDescent="0.15">
      <c r="A50" s="58"/>
      <c r="B50" s="69" t="str">
        <f>IFERROR(VLOOKUP($A50,Admission!$1:$998,4,0),"")</f>
        <v/>
      </c>
      <c r="C50" s="69" t="str">
        <f>IFERROR(VLOOKUP($A50,Admission!$1:$998,5,0),"")</f>
        <v/>
      </c>
      <c r="D50" s="69"/>
      <c r="E50" s="69" t="str">
        <f>IFERROR(VLOOKUP($A50,Admission!$1:$998,3,0),"")</f>
        <v/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1:21" ht="13" x14ac:dyDescent="0.15">
      <c r="A51" s="58"/>
      <c r="B51" s="69" t="str">
        <f>IFERROR(VLOOKUP($A51,Admission!$1:$998,4,0),"")</f>
        <v/>
      </c>
      <c r="C51" s="69" t="str">
        <f>IFERROR(VLOOKUP($A51,Admission!$1:$998,5,0),"")</f>
        <v/>
      </c>
      <c r="D51" s="69"/>
      <c r="E51" s="69" t="str">
        <f>IFERROR(VLOOKUP($A51,Admission!$1:$998,3,0),"")</f>
        <v/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</row>
    <row r="52" spans="1:21" ht="13" x14ac:dyDescent="0.15">
      <c r="A52" s="58"/>
      <c r="B52" s="69" t="str">
        <f>IFERROR(VLOOKUP($A52,Admission!$1:$998,4,0),"")</f>
        <v/>
      </c>
      <c r="C52" s="69" t="str">
        <f>IFERROR(VLOOKUP($A52,Admission!$1:$998,5,0),"")</f>
        <v/>
      </c>
      <c r="D52" s="69"/>
      <c r="E52" s="69" t="str">
        <f>IFERROR(VLOOKUP($A52,Admission!$1:$998,3,0),"")</f>
        <v/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ht="13" x14ac:dyDescent="0.15">
      <c r="A53" s="58"/>
      <c r="B53" s="69" t="str">
        <f>IFERROR(VLOOKUP($A53,Admission!$1:$998,4,0),"")</f>
        <v/>
      </c>
      <c r="C53" s="69" t="str">
        <f>IFERROR(VLOOKUP($A53,Admission!$1:$998,5,0),"")</f>
        <v/>
      </c>
      <c r="D53" s="69"/>
      <c r="E53" s="69" t="str">
        <f>IFERROR(VLOOKUP($A53,Admission!$1:$998,3,0),"")</f>
        <v/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1:21" ht="13" x14ac:dyDescent="0.15">
      <c r="A54" s="58"/>
      <c r="B54" s="69" t="str">
        <f>IFERROR(VLOOKUP($A54,Admission!$1:$998,4,0),"")</f>
        <v/>
      </c>
      <c r="C54" s="69" t="str">
        <f>IFERROR(VLOOKUP($A54,Admission!$1:$998,5,0),"")</f>
        <v/>
      </c>
      <c r="D54" s="69"/>
      <c r="E54" s="69" t="str">
        <f>IFERROR(VLOOKUP($A54,Admission!$1:$998,3,0),"")</f>
        <v/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1:21" ht="13" x14ac:dyDescent="0.15">
      <c r="A55" s="58"/>
      <c r="B55" s="69" t="str">
        <f>IFERROR(VLOOKUP($A55,Admission!$1:$998,4,0),"")</f>
        <v/>
      </c>
      <c r="C55" s="69" t="str">
        <f>IFERROR(VLOOKUP($A55,Admission!$1:$998,5,0),"")</f>
        <v/>
      </c>
      <c r="D55" s="69"/>
      <c r="E55" s="69" t="str">
        <f>IFERROR(VLOOKUP($A55,Admission!$1:$998,3,0),"")</f>
        <v/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 spans="1:21" ht="13" x14ac:dyDescent="0.15">
      <c r="A56" s="58"/>
      <c r="B56" s="69" t="str">
        <f>IFERROR(VLOOKUP($A56,Admission!$1:$998,4,0),"")</f>
        <v/>
      </c>
      <c r="C56" s="69" t="str">
        <f>IFERROR(VLOOKUP($A56,Admission!$1:$998,5,0),"")</f>
        <v/>
      </c>
      <c r="D56" s="69"/>
      <c r="E56" s="69" t="str">
        <f>IFERROR(VLOOKUP($A56,Admission!$1:$998,3,0),"")</f>
        <v/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1:21" ht="13" x14ac:dyDescent="0.15">
      <c r="A57" s="58"/>
      <c r="B57" s="69" t="str">
        <f>IFERROR(VLOOKUP($A57,Admission!$1:$998,4,0),"")</f>
        <v/>
      </c>
      <c r="C57" s="69" t="str">
        <f>IFERROR(VLOOKUP($A57,Admission!$1:$998,5,0),"")</f>
        <v/>
      </c>
      <c r="D57" s="69"/>
      <c r="E57" s="69" t="str">
        <f>IFERROR(VLOOKUP($A57,Admission!$1:$998,3,0),"")</f>
        <v/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1:21" ht="13" x14ac:dyDescent="0.15">
      <c r="A58" s="58"/>
      <c r="B58" s="69" t="str">
        <f>IFERROR(VLOOKUP($A58,Admission!$1:$998,4,0),"")</f>
        <v/>
      </c>
      <c r="C58" s="69" t="str">
        <f>IFERROR(VLOOKUP($A58,Admission!$1:$998,5,0),"")</f>
        <v/>
      </c>
      <c r="D58" s="69"/>
      <c r="E58" s="69" t="str">
        <f>IFERROR(VLOOKUP($A58,Admission!$1:$998,3,0),"")</f>
        <v/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1:21" ht="13" x14ac:dyDescent="0.15">
      <c r="A59" s="58"/>
      <c r="B59" s="69" t="str">
        <f>IFERROR(VLOOKUP($A59,Admission!$1:$998,4,0),"")</f>
        <v/>
      </c>
      <c r="C59" s="69" t="str">
        <f>IFERROR(VLOOKUP($A59,Admission!$1:$998,5,0),"")</f>
        <v/>
      </c>
      <c r="D59" s="69"/>
      <c r="E59" s="69" t="str">
        <f>IFERROR(VLOOKUP($A59,Admission!$1:$998,3,0),"")</f>
        <v/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1:21" ht="13" x14ac:dyDescent="0.15">
      <c r="A60" s="58"/>
      <c r="B60" s="69" t="str">
        <f>IFERROR(VLOOKUP($A60,Admission!$1:$998,4,0),"")</f>
        <v/>
      </c>
      <c r="C60" s="69" t="str">
        <f>IFERROR(VLOOKUP($A60,Admission!$1:$998,5,0),"")</f>
        <v/>
      </c>
      <c r="D60" s="69"/>
      <c r="E60" s="69" t="str">
        <f>IFERROR(VLOOKUP($A60,Admission!$1:$998,3,0),"")</f>
        <v/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</row>
    <row r="61" spans="1:21" ht="13" x14ac:dyDescent="0.15">
      <c r="A61" s="58"/>
      <c r="B61" s="69" t="str">
        <f>IFERROR(VLOOKUP($A61,Admission!$1:$998,4,0),"")</f>
        <v/>
      </c>
      <c r="C61" s="69" t="str">
        <f>IFERROR(VLOOKUP($A61,Admission!$1:$998,5,0),"")</f>
        <v/>
      </c>
      <c r="D61" s="69"/>
      <c r="E61" s="69" t="str">
        <f>IFERROR(VLOOKUP($A61,Admission!$1:$998,3,0),"")</f>
        <v/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1:21" ht="13" x14ac:dyDescent="0.15">
      <c r="A62" s="58"/>
      <c r="B62" s="69" t="str">
        <f>IFERROR(VLOOKUP($A62,Admission!$1:$998,4,0),"")</f>
        <v/>
      </c>
      <c r="C62" s="69" t="str">
        <f>IFERROR(VLOOKUP($A62,Admission!$1:$998,5,0),"")</f>
        <v/>
      </c>
      <c r="D62" s="69"/>
      <c r="E62" s="69" t="str">
        <f>IFERROR(VLOOKUP($A62,Admission!$1:$998,3,0),"")</f>
        <v/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1:21" ht="13" x14ac:dyDescent="0.15">
      <c r="A63" s="58"/>
      <c r="B63" s="69" t="str">
        <f>IFERROR(VLOOKUP($A63,Admission!$1:$998,4,0),"")</f>
        <v/>
      </c>
      <c r="C63" s="69" t="str">
        <f>IFERROR(VLOOKUP($A63,Admission!$1:$998,5,0),"")</f>
        <v/>
      </c>
      <c r="D63" s="69"/>
      <c r="E63" s="69" t="str">
        <f>IFERROR(VLOOKUP($A63,Admission!$1:$998,3,0),"")</f>
        <v/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1:21" ht="13" x14ac:dyDescent="0.15">
      <c r="A64" s="58"/>
      <c r="B64" s="69" t="str">
        <f>IFERROR(VLOOKUP($A64,Admission!$1:$998,4,0),"")</f>
        <v/>
      </c>
      <c r="C64" s="69" t="str">
        <f>IFERROR(VLOOKUP($A64,Admission!$1:$998,5,0),"")</f>
        <v/>
      </c>
      <c r="D64" s="69"/>
      <c r="E64" s="69" t="str">
        <f>IFERROR(VLOOKUP($A64,Admission!$1:$998,3,0),"")</f>
        <v/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</row>
    <row r="65" spans="1:21" ht="13" x14ac:dyDescent="0.15">
      <c r="A65" s="58"/>
      <c r="B65" s="69" t="str">
        <f>IFERROR(VLOOKUP($A65,Admission!$1:$998,4,0),"")</f>
        <v/>
      </c>
      <c r="C65" s="69" t="str">
        <f>IFERROR(VLOOKUP($A65,Admission!$1:$998,5,0),"")</f>
        <v/>
      </c>
      <c r="D65" s="69"/>
      <c r="E65" s="69" t="str">
        <f>IFERROR(VLOOKUP($A65,Admission!$1:$998,3,0),"")</f>
        <v/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1:21" ht="13" x14ac:dyDescent="0.15">
      <c r="A66" s="58"/>
      <c r="B66" s="69" t="str">
        <f>IFERROR(VLOOKUP($A66,Admission!$1:$998,4,0),"")</f>
        <v/>
      </c>
      <c r="C66" s="69" t="str">
        <f>IFERROR(VLOOKUP($A66,Admission!$1:$998,5,0),"")</f>
        <v/>
      </c>
      <c r="D66" s="69"/>
      <c r="E66" s="69" t="str">
        <f>IFERROR(VLOOKUP($A66,Admission!$1:$998,3,0),"")</f>
        <v/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1:21" ht="13" x14ac:dyDescent="0.15">
      <c r="A67" s="58"/>
      <c r="B67" s="69" t="str">
        <f>IFERROR(VLOOKUP($A67,Admission!$1:$998,4,0),"")</f>
        <v/>
      </c>
      <c r="C67" s="69" t="str">
        <f>IFERROR(VLOOKUP($A67,Admission!$1:$998,5,0),"")</f>
        <v/>
      </c>
      <c r="D67" s="69"/>
      <c r="E67" s="69" t="str">
        <f>IFERROR(VLOOKUP($A67,Admission!$1:$998,3,0),"")</f>
        <v/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1:21" ht="13" x14ac:dyDescent="0.15">
      <c r="A68" s="58"/>
      <c r="B68" s="69" t="str">
        <f>IFERROR(VLOOKUP($A68,Admission!$1:$998,4,0),"")</f>
        <v/>
      </c>
      <c r="C68" s="69" t="str">
        <f>IFERROR(VLOOKUP($A68,Admission!$1:$998,5,0),"")</f>
        <v/>
      </c>
      <c r="D68" s="69"/>
      <c r="E68" s="69" t="str">
        <f>IFERROR(VLOOKUP($A68,Admission!$1:$998,3,0),"")</f>
        <v/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</row>
    <row r="69" spans="1:21" ht="13" x14ac:dyDescent="0.15">
      <c r="A69" s="58"/>
      <c r="B69" s="69" t="str">
        <f>IFERROR(VLOOKUP($A69,Admission!$1:$998,4,0),"")</f>
        <v/>
      </c>
      <c r="C69" s="69" t="str">
        <f>IFERROR(VLOOKUP($A69,Admission!$1:$998,5,0),"")</f>
        <v/>
      </c>
      <c r="D69" s="69"/>
      <c r="E69" s="69" t="str">
        <f>IFERROR(VLOOKUP($A69,Admission!$1:$998,3,0),"")</f>
        <v/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1:21" ht="13" x14ac:dyDescent="0.15">
      <c r="A70" s="58"/>
      <c r="B70" s="69" t="str">
        <f>IFERROR(VLOOKUP($A70,Admission!$1:$998,4,0),"")</f>
        <v/>
      </c>
      <c r="C70" s="69" t="str">
        <f>IFERROR(VLOOKUP($A70,Admission!$1:$998,5,0),"")</f>
        <v/>
      </c>
      <c r="D70" s="69"/>
      <c r="E70" s="69" t="str">
        <f>IFERROR(VLOOKUP($A70,Admission!$1:$998,3,0),"")</f>
        <v/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1:21" ht="13" x14ac:dyDescent="0.15">
      <c r="A71" s="58"/>
      <c r="B71" s="69" t="str">
        <f>IFERROR(VLOOKUP($A71,Admission!$1:$998,4,0),"")</f>
        <v/>
      </c>
      <c r="C71" s="69" t="str">
        <f>IFERROR(VLOOKUP($A71,Admission!$1:$998,5,0),"")</f>
        <v/>
      </c>
      <c r="D71" s="69"/>
      <c r="E71" s="69" t="str">
        <f>IFERROR(VLOOKUP($A71,Admission!$1:$998,3,0),"")</f>
        <v/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1:21" ht="13" x14ac:dyDescent="0.15">
      <c r="A72" s="58"/>
      <c r="B72" s="69" t="str">
        <f>IFERROR(VLOOKUP($A72,Admission!$1:$998,4,0),"")</f>
        <v/>
      </c>
      <c r="C72" s="69" t="str">
        <f>IFERROR(VLOOKUP($A72,Admission!$1:$998,5,0),"")</f>
        <v/>
      </c>
      <c r="D72" s="69"/>
      <c r="E72" s="69" t="str">
        <f>IFERROR(VLOOKUP($A72,Admission!$1:$998,3,0),"")</f>
        <v/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1:21" ht="13" x14ac:dyDescent="0.15">
      <c r="A73" s="58"/>
      <c r="B73" s="69" t="str">
        <f>IFERROR(VLOOKUP($A73,Admission!$1:$998,4,0),"")</f>
        <v/>
      </c>
      <c r="C73" s="69" t="str">
        <f>IFERROR(VLOOKUP($A73,Admission!$1:$998,5,0),"")</f>
        <v/>
      </c>
      <c r="D73" s="69"/>
      <c r="E73" s="69" t="str">
        <f>IFERROR(VLOOKUP($A73,Admission!$1:$998,3,0),"")</f>
        <v/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</row>
    <row r="74" spans="1:21" ht="13" x14ac:dyDescent="0.15">
      <c r="A74" s="58"/>
      <c r="B74" s="69" t="str">
        <f>IFERROR(VLOOKUP($A74,Admission!$1:$998,4,0),"")</f>
        <v/>
      </c>
      <c r="C74" s="69" t="str">
        <f>IFERROR(VLOOKUP($A74,Admission!$1:$998,5,0),"")</f>
        <v/>
      </c>
      <c r="D74" s="69"/>
      <c r="E74" s="69" t="str">
        <f>IFERROR(VLOOKUP($A74,Admission!$1:$998,3,0),"")</f>
        <v/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1:21" ht="13" x14ac:dyDescent="0.15">
      <c r="A75" s="58"/>
      <c r="B75" s="69" t="str">
        <f>IFERROR(VLOOKUP($A75,Admission!$1:$998,4,0),"")</f>
        <v/>
      </c>
      <c r="C75" s="69" t="str">
        <f>IFERROR(VLOOKUP($A75,Admission!$1:$998,5,0),"")</f>
        <v/>
      </c>
      <c r="D75" s="69"/>
      <c r="E75" s="69" t="str">
        <f>IFERROR(VLOOKUP($A75,Admission!$1:$998,3,0),"")</f>
        <v/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1:21" ht="13" x14ac:dyDescent="0.15">
      <c r="A76" s="58"/>
      <c r="B76" s="69" t="str">
        <f>IFERROR(VLOOKUP($A76,Admission!$1:$998,4,0),"")</f>
        <v/>
      </c>
      <c r="C76" s="69" t="str">
        <f>IFERROR(VLOOKUP($A76,Admission!$1:$998,5,0),"")</f>
        <v/>
      </c>
      <c r="D76" s="69"/>
      <c r="E76" s="69" t="str">
        <f>IFERROR(VLOOKUP($A76,Admission!$1:$998,3,0),"")</f>
        <v/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1:21" ht="13" x14ac:dyDescent="0.15">
      <c r="A77" s="58"/>
      <c r="B77" s="69" t="str">
        <f>IFERROR(VLOOKUP($A77,Admission!$1:$998,4,0),"")</f>
        <v/>
      </c>
      <c r="C77" s="69" t="str">
        <f>IFERROR(VLOOKUP($A77,Admission!$1:$998,5,0),"")</f>
        <v/>
      </c>
      <c r="D77" s="69"/>
      <c r="E77" s="69" t="str">
        <f>IFERROR(VLOOKUP($A77,Admission!$1:$998,3,0),"")</f>
        <v/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1:21" ht="13" x14ac:dyDescent="0.15">
      <c r="A78" s="58"/>
      <c r="B78" s="69" t="str">
        <f>IFERROR(VLOOKUP($A78,Admission!$1:$998,4,0),"")</f>
        <v/>
      </c>
      <c r="C78" s="69" t="str">
        <f>IFERROR(VLOOKUP($A78,Admission!$1:$998,5,0),"")</f>
        <v/>
      </c>
      <c r="D78" s="69"/>
      <c r="E78" s="69" t="str">
        <f>IFERROR(VLOOKUP($A78,Admission!$1:$998,3,0),"")</f>
        <v/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1:21" ht="13" x14ac:dyDescent="0.15">
      <c r="A79" s="58"/>
      <c r="B79" s="69" t="str">
        <f>IFERROR(VLOOKUP($A79,Admission!$1:$998,4,0),"")</f>
        <v/>
      </c>
      <c r="C79" s="69" t="str">
        <f>IFERROR(VLOOKUP($A79,Admission!$1:$998,5,0),"")</f>
        <v/>
      </c>
      <c r="D79" s="69"/>
      <c r="E79" s="69" t="str">
        <f>IFERROR(VLOOKUP($A79,Admission!$1:$998,3,0),"")</f>
        <v/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1:21" ht="13" x14ac:dyDescent="0.15">
      <c r="A80" s="58"/>
      <c r="B80" s="69" t="str">
        <f>IFERROR(VLOOKUP($A80,Admission!$1:$998,4,0),"")</f>
        <v/>
      </c>
      <c r="C80" s="69" t="str">
        <f>IFERROR(VLOOKUP($A80,Admission!$1:$998,5,0),"")</f>
        <v/>
      </c>
      <c r="D80" s="69"/>
      <c r="E80" s="69" t="str">
        <f>IFERROR(VLOOKUP($A80,Admission!$1:$998,3,0),"")</f>
        <v/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1:21" ht="13" x14ac:dyDescent="0.15">
      <c r="A81" s="58"/>
      <c r="B81" s="69" t="str">
        <f>IFERROR(VLOOKUP($A81,Admission!$1:$998,4,0),"")</f>
        <v/>
      </c>
      <c r="C81" s="69" t="str">
        <f>IFERROR(VLOOKUP($A81,Admission!$1:$998,5,0),"")</f>
        <v/>
      </c>
      <c r="D81" s="69"/>
      <c r="E81" s="69" t="str">
        <f>IFERROR(VLOOKUP($A81,Admission!$1:$998,3,0),"")</f>
        <v/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1:21" ht="13" x14ac:dyDescent="0.15">
      <c r="A82" s="58"/>
      <c r="B82" s="69" t="str">
        <f>IFERROR(VLOOKUP($A82,Admission!$1:$998,4,0),"")</f>
        <v/>
      </c>
      <c r="C82" s="69" t="str">
        <f>IFERROR(VLOOKUP($A82,Admission!$1:$998,5,0),"")</f>
        <v/>
      </c>
      <c r="D82" s="69"/>
      <c r="E82" s="69" t="str">
        <f>IFERROR(VLOOKUP($A82,Admission!$1:$998,3,0),"")</f>
        <v/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1:21" ht="13" x14ac:dyDescent="0.15">
      <c r="A83" s="58"/>
      <c r="B83" s="69" t="str">
        <f>IFERROR(VLOOKUP($A83,Admission!$1:$998,4,0),"")</f>
        <v/>
      </c>
      <c r="C83" s="69" t="str">
        <f>IFERROR(VLOOKUP($A83,Admission!$1:$998,5,0),"")</f>
        <v/>
      </c>
      <c r="D83" s="69"/>
      <c r="E83" s="69" t="str">
        <f>IFERROR(VLOOKUP($A83,Admission!$1:$998,3,0),"")</f>
        <v/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1:21" ht="13" x14ac:dyDescent="0.15">
      <c r="A84" s="58"/>
      <c r="B84" s="69" t="str">
        <f>IFERROR(VLOOKUP($A84,Admission!$1:$998,4,0),"")</f>
        <v/>
      </c>
      <c r="C84" s="69" t="str">
        <f>IFERROR(VLOOKUP($A84,Admission!$1:$998,5,0),"")</f>
        <v/>
      </c>
      <c r="D84" s="69"/>
      <c r="E84" s="69" t="str">
        <f>IFERROR(VLOOKUP($A84,Admission!$1:$998,3,0),"")</f>
        <v/>
      </c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1:21" ht="13" x14ac:dyDescent="0.15">
      <c r="A85" s="58"/>
      <c r="B85" s="69" t="str">
        <f>IFERROR(VLOOKUP($A85,Admission!$1:$998,4,0),"")</f>
        <v/>
      </c>
      <c r="C85" s="69" t="str">
        <f>IFERROR(VLOOKUP($A85,Admission!$1:$998,5,0),"")</f>
        <v/>
      </c>
      <c r="D85" s="69"/>
      <c r="E85" s="69" t="str">
        <f>IFERROR(VLOOKUP($A85,Admission!$1:$998,3,0),"")</f>
        <v/>
      </c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1:21" ht="13" x14ac:dyDescent="0.15">
      <c r="A86" s="58"/>
      <c r="B86" s="69" t="str">
        <f>IFERROR(VLOOKUP($A86,Admission!$1:$998,4,0),"")</f>
        <v/>
      </c>
      <c r="C86" s="69" t="str">
        <f>IFERROR(VLOOKUP($A86,Admission!$1:$998,5,0),"")</f>
        <v/>
      </c>
      <c r="D86" s="69"/>
      <c r="E86" s="69" t="str">
        <f>IFERROR(VLOOKUP($A86,Admission!$1:$998,3,0),"")</f>
        <v/>
      </c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1:21" ht="13" x14ac:dyDescent="0.15">
      <c r="A87" s="58"/>
      <c r="B87" s="69" t="str">
        <f>IFERROR(VLOOKUP($A87,Admission!$1:$998,4,0),"")</f>
        <v/>
      </c>
      <c r="C87" s="69" t="str">
        <f>IFERROR(VLOOKUP($A87,Admission!$1:$998,5,0),"")</f>
        <v/>
      </c>
      <c r="D87" s="69"/>
      <c r="E87" s="69" t="str">
        <f>IFERROR(VLOOKUP($A87,Admission!$1:$998,3,0),"")</f>
        <v/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1:21" ht="13" x14ac:dyDescent="0.15">
      <c r="A88" s="58"/>
      <c r="B88" s="69" t="str">
        <f>IFERROR(VLOOKUP($A88,Admission!$1:$998,4,0),"")</f>
        <v/>
      </c>
      <c r="C88" s="69" t="str">
        <f>IFERROR(VLOOKUP($A88,Admission!$1:$998,5,0),"")</f>
        <v/>
      </c>
      <c r="D88" s="69"/>
      <c r="E88" s="69" t="str">
        <f>IFERROR(VLOOKUP($A88,Admission!$1:$998,3,0),"")</f>
        <v/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1:21" ht="13" x14ac:dyDescent="0.15">
      <c r="A89" s="58"/>
      <c r="B89" s="69" t="str">
        <f>IFERROR(VLOOKUP($A89,Admission!$1:$998,4,0),"")</f>
        <v/>
      </c>
      <c r="C89" s="69" t="str">
        <f>IFERROR(VLOOKUP($A89,Admission!$1:$998,5,0),"")</f>
        <v/>
      </c>
      <c r="D89" s="69"/>
      <c r="E89" s="69" t="str">
        <f>IFERROR(VLOOKUP($A89,Admission!$1:$998,3,0),"")</f>
        <v/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1:21" ht="13" x14ac:dyDescent="0.15">
      <c r="A90" s="58"/>
      <c r="B90" s="69" t="str">
        <f>IFERROR(VLOOKUP($A90,Admission!$1:$998,4,0),"")</f>
        <v/>
      </c>
      <c r="C90" s="69" t="str">
        <f>IFERROR(VLOOKUP($A90,Admission!$1:$998,5,0),"")</f>
        <v/>
      </c>
      <c r="D90" s="69"/>
      <c r="E90" s="69" t="str">
        <f>IFERROR(VLOOKUP($A90,Admission!$1:$998,3,0),"")</f>
        <v/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1:21" ht="13" x14ac:dyDescent="0.15">
      <c r="A91" s="58"/>
      <c r="B91" s="69" t="str">
        <f>IFERROR(VLOOKUP($A91,Admission!$1:$998,4,0),"")</f>
        <v/>
      </c>
      <c r="C91" s="69" t="str">
        <f>IFERROR(VLOOKUP($A91,Admission!$1:$998,5,0),"")</f>
        <v/>
      </c>
      <c r="D91" s="69"/>
      <c r="E91" s="69" t="str">
        <f>IFERROR(VLOOKUP($A91,Admission!$1:$998,3,0),"")</f>
        <v/>
      </c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1:21" ht="13" x14ac:dyDescent="0.15">
      <c r="A92" s="58"/>
      <c r="B92" s="69" t="str">
        <f>IFERROR(VLOOKUP($A92,Admission!$1:$998,4,0),"")</f>
        <v/>
      </c>
      <c r="C92" s="69" t="str">
        <f>IFERROR(VLOOKUP($A92,Admission!$1:$998,5,0),"")</f>
        <v/>
      </c>
      <c r="D92" s="69"/>
      <c r="E92" s="69" t="str">
        <f>IFERROR(VLOOKUP($A92,Admission!$1:$998,3,0),"")</f>
        <v/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1:21" ht="13" x14ac:dyDescent="0.15">
      <c r="A93" s="58"/>
      <c r="B93" s="69" t="str">
        <f>IFERROR(VLOOKUP($A93,Admission!$1:$998,4,0),"")</f>
        <v/>
      </c>
      <c r="C93" s="69" t="str">
        <f>IFERROR(VLOOKUP($A93,Admission!$1:$998,5,0),"")</f>
        <v/>
      </c>
      <c r="D93" s="69"/>
      <c r="E93" s="69" t="str">
        <f>IFERROR(VLOOKUP($A93,Admission!$1:$998,3,0),"")</f>
        <v/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1:21" ht="13" x14ac:dyDescent="0.15">
      <c r="A94" s="58"/>
      <c r="B94" s="69" t="str">
        <f>IFERROR(VLOOKUP($A94,Admission!$1:$998,4,0),"")</f>
        <v/>
      </c>
      <c r="C94" s="69" t="str">
        <f>IFERROR(VLOOKUP($A94,Admission!$1:$998,5,0),"")</f>
        <v/>
      </c>
      <c r="D94" s="69"/>
      <c r="E94" s="69" t="str">
        <f>IFERROR(VLOOKUP($A94,Admission!$1:$998,3,0),"")</f>
        <v/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1:21" ht="13" x14ac:dyDescent="0.15">
      <c r="A95" s="58"/>
      <c r="B95" s="69" t="str">
        <f>IFERROR(VLOOKUP($A95,Admission!$1:$998,4,0),"")</f>
        <v/>
      </c>
      <c r="C95" s="69" t="str">
        <f>IFERROR(VLOOKUP($A95,Admission!$1:$998,5,0),"")</f>
        <v/>
      </c>
      <c r="D95" s="69"/>
      <c r="E95" s="69" t="str">
        <f>IFERROR(VLOOKUP($A95,Admission!$1:$998,3,0),"")</f>
        <v/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1:21" ht="13" x14ac:dyDescent="0.15">
      <c r="A96" s="58"/>
      <c r="B96" s="69" t="str">
        <f>IFERROR(VLOOKUP($A96,Admission!$1:$998,4,0),"")</f>
        <v/>
      </c>
      <c r="C96" s="69" t="str">
        <f>IFERROR(VLOOKUP($A96,Admission!$1:$998,5,0),"")</f>
        <v/>
      </c>
      <c r="D96" s="69"/>
      <c r="E96" s="69" t="str">
        <f>IFERROR(VLOOKUP($A96,Admission!$1:$998,3,0),"")</f>
        <v/>
      </c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1:21" ht="13" x14ac:dyDescent="0.15">
      <c r="A97" s="58"/>
      <c r="B97" s="69" t="str">
        <f>IFERROR(VLOOKUP($A97,Admission!$1:$998,4,0),"")</f>
        <v/>
      </c>
      <c r="C97" s="69" t="str">
        <f>IFERROR(VLOOKUP($A97,Admission!$1:$998,5,0),"")</f>
        <v/>
      </c>
      <c r="D97" s="69"/>
      <c r="E97" s="69" t="str">
        <f>IFERROR(VLOOKUP($A97,Admission!$1:$998,3,0),"")</f>
        <v/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1:21" ht="13" x14ac:dyDescent="0.15">
      <c r="A98" s="58"/>
      <c r="B98" s="69" t="str">
        <f>IFERROR(VLOOKUP($A98,Admission!$1:$998,4,0),"")</f>
        <v/>
      </c>
      <c r="C98" s="69" t="str">
        <f>IFERROR(VLOOKUP($A98,Admission!$1:$998,5,0),"")</f>
        <v/>
      </c>
      <c r="D98" s="69"/>
      <c r="E98" s="69" t="str">
        <f>IFERROR(VLOOKUP($A98,Admission!$1:$998,3,0),"")</f>
        <v/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1:21" ht="13" x14ac:dyDescent="0.15">
      <c r="A99" s="58"/>
      <c r="B99" s="69" t="str">
        <f>IFERROR(VLOOKUP($A99,Admission!$1:$998,4,0),"")</f>
        <v/>
      </c>
      <c r="C99" s="69" t="str">
        <f>IFERROR(VLOOKUP($A99,Admission!$1:$998,5,0),"")</f>
        <v/>
      </c>
      <c r="D99" s="69"/>
      <c r="E99" s="69" t="str">
        <f>IFERROR(VLOOKUP($A99,Admission!$1:$998,3,0),"")</f>
        <v/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1:21" ht="13" x14ac:dyDescent="0.15">
      <c r="A100" s="58"/>
      <c r="B100" s="69" t="str">
        <f>IFERROR(VLOOKUP($A100,Admission!$1:$998,4,0),"")</f>
        <v/>
      </c>
      <c r="C100" s="69" t="str">
        <f>IFERROR(VLOOKUP($A100,Admission!$1:$998,5,0),"")</f>
        <v/>
      </c>
      <c r="D100" s="69"/>
      <c r="E100" s="69" t="str">
        <f>IFERROR(VLOOKUP($A100,Admission!$1:$998,3,0),"")</f>
        <v/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1:21" ht="13" x14ac:dyDescent="0.15">
      <c r="A101" s="58"/>
      <c r="B101" s="69" t="str">
        <f>IFERROR(VLOOKUP($A101,Admission!$1:$998,4,0),"")</f>
        <v/>
      </c>
      <c r="C101" s="69" t="str">
        <f>IFERROR(VLOOKUP($A101,Admission!$1:$998,5,0),"")</f>
        <v/>
      </c>
      <c r="D101" s="69"/>
      <c r="E101" s="69" t="str">
        <f>IFERROR(VLOOKUP($A101,Admission!$1:$998,3,0),"")</f>
        <v/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1:21" ht="13" x14ac:dyDescent="0.15">
      <c r="A102" s="58"/>
      <c r="B102" s="69" t="str">
        <f>IFERROR(VLOOKUP($A102,Admission!$1:$998,4,0),"")</f>
        <v/>
      </c>
      <c r="C102" s="69" t="str">
        <f>IFERROR(VLOOKUP($A102,Admission!$1:$998,5,0),"")</f>
        <v/>
      </c>
      <c r="D102" s="69"/>
      <c r="E102" s="69" t="str">
        <f>IFERROR(VLOOKUP($A102,Admission!$1:$998,3,0),"")</f>
        <v/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1:21" ht="13" x14ac:dyDescent="0.15">
      <c r="A103" s="58"/>
      <c r="B103" s="69" t="str">
        <f>IFERROR(VLOOKUP($A103,Admission!$1:$998,4,0),"")</f>
        <v/>
      </c>
      <c r="C103" s="69" t="str">
        <f>IFERROR(VLOOKUP($A103,Admission!$1:$998,5,0),"")</f>
        <v/>
      </c>
      <c r="D103" s="69"/>
      <c r="E103" s="69" t="str">
        <f>IFERROR(VLOOKUP($A103,Admission!$1:$998,3,0),"")</f>
        <v/>
      </c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1:21" ht="13" x14ac:dyDescent="0.15">
      <c r="A104" s="58"/>
      <c r="B104" s="69" t="str">
        <f>IFERROR(VLOOKUP($A104,Admission!$1:$998,4,0),"")</f>
        <v/>
      </c>
      <c r="C104" s="69" t="str">
        <f>IFERROR(VLOOKUP($A104,Admission!$1:$998,5,0),"")</f>
        <v/>
      </c>
      <c r="D104" s="69"/>
      <c r="E104" s="69" t="str">
        <f>IFERROR(VLOOKUP($A104,Admission!$1:$998,3,0),"")</f>
        <v/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1:21" ht="13" x14ac:dyDescent="0.15">
      <c r="A105" s="58"/>
      <c r="B105" s="69" t="str">
        <f>IFERROR(VLOOKUP($A105,Admission!$1:$998,4,0),"")</f>
        <v/>
      </c>
      <c r="C105" s="69" t="str">
        <f>IFERROR(VLOOKUP($A105,Admission!$1:$998,5,0),"")</f>
        <v/>
      </c>
      <c r="D105" s="69"/>
      <c r="E105" s="69" t="str">
        <f>IFERROR(VLOOKUP($A105,Admission!$1:$998,3,0),"")</f>
        <v/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1:21" ht="13" x14ac:dyDescent="0.15">
      <c r="A106" s="58"/>
      <c r="B106" s="69" t="str">
        <f>IFERROR(VLOOKUP($A106,Admission!$1:$998,4,0),"")</f>
        <v/>
      </c>
      <c r="C106" s="69" t="str">
        <f>IFERROR(VLOOKUP($A106,Admission!$1:$998,5,0),"")</f>
        <v/>
      </c>
      <c r="D106" s="69"/>
      <c r="E106" s="69" t="str">
        <f>IFERROR(VLOOKUP($A106,Admission!$1:$998,3,0),"")</f>
        <v/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1:21" ht="13" x14ac:dyDescent="0.15">
      <c r="A107" s="58"/>
      <c r="B107" s="69" t="str">
        <f>IFERROR(VLOOKUP($A107,Admission!$1:$998,4,0),"")</f>
        <v/>
      </c>
      <c r="C107" s="69" t="str">
        <f>IFERROR(VLOOKUP($A107,Admission!$1:$998,5,0),"")</f>
        <v/>
      </c>
      <c r="D107" s="69"/>
      <c r="E107" s="69" t="str">
        <f>IFERROR(VLOOKUP($A107,Admission!$1:$998,3,0),"")</f>
        <v/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 ht="13" x14ac:dyDescent="0.15">
      <c r="A108" s="58"/>
      <c r="B108" s="69" t="str">
        <f>IFERROR(VLOOKUP($A108,Admission!$1:$998,4,0),"")</f>
        <v/>
      </c>
      <c r="C108" s="69" t="str">
        <f>IFERROR(VLOOKUP($A108,Admission!$1:$998,5,0),"")</f>
        <v/>
      </c>
      <c r="D108" s="69"/>
      <c r="E108" s="69" t="str">
        <f>IFERROR(VLOOKUP($A108,Admission!$1:$998,3,0),"")</f>
        <v/>
      </c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1:21" ht="13" x14ac:dyDescent="0.15">
      <c r="A109" s="58"/>
      <c r="B109" s="69" t="str">
        <f>IFERROR(VLOOKUP($A109,Admission!$1:$998,4,0),"")</f>
        <v/>
      </c>
      <c r="C109" s="69" t="str">
        <f>IFERROR(VLOOKUP($A109,Admission!$1:$998,5,0),"")</f>
        <v/>
      </c>
      <c r="D109" s="69"/>
      <c r="E109" s="69" t="str">
        <f>IFERROR(VLOOKUP($A109,Admission!$1:$998,3,0),"")</f>
        <v/>
      </c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1:21" ht="13" x14ac:dyDescent="0.15">
      <c r="A110" s="58"/>
      <c r="B110" s="69" t="str">
        <f>IFERROR(VLOOKUP($A110,Admission!$1:$998,4,0),"")</f>
        <v/>
      </c>
      <c r="C110" s="69" t="str">
        <f>IFERROR(VLOOKUP($A110,Admission!$1:$998,5,0),"")</f>
        <v/>
      </c>
      <c r="D110" s="69"/>
      <c r="E110" s="69" t="str">
        <f>IFERROR(VLOOKUP($A110,Admission!$1:$998,3,0),"")</f>
        <v/>
      </c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ht="13" x14ac:dyDescent="0.15">
      <c r="A111" s="58"/>
      <c r="B111" s="69" t="str">
        <f>IFERROR(VLOOKUP($A111,Admission!$1:$998,4,0),"")</f>
        <v/>
      </c>
      <c r="C111" s="69" t="str">
        <f>IFERROR(VLOOKUP($A111,Admission!$1:$998,5,0),"")</f>
        <v/>
      </c>
      <c r="D111" s="69"/>
      <c r="E111" s="69" t="str">
        <f>IFERROR(VLOOKUP($A111,Admission!$1:$998,3,0),"")</f>
        <v/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1:21" ht="13" x14ac:dyDescent="0.15">
      <c r="A112" s="58"/>
      <c r="B112" s="69" t="str">
        <f>IFERROR(VLOOKUP($A112,Admission!$1:$998,4,0),"")</f>
        <v/>
      </c>
      <c r="C112" s="69" t="str">
        <f>IFERROR(VLOOKUP($A112,Admission!$1:$998,5,0),"")</f>
        <v/>
      </c>
      <c r="D112" s="69"/>
      <c r="E112" s="69" t="str">
        <f>IFERROR(VLOOKUP($A112,Admission!$1:$998,3,0),"")</f>
        <v/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1:21" ht="13" x14ac:dyDescent="0.15">
      <c r="A113" s="58"/>
      <c r="B113" s="69" t="str">
        <f>IFERROR(VLOOKUP($A113,Admission!$1:$998,4,0),"")</f>
        <v/>
      </c>
      <c r="C113" s="69" t="str">
        <f>IFERROR(VLOOKUP($A113,Admission!$1:$998,5,0),"")</f>
        <v/>
      </c>
      <c r="D113" s="69"/>
      <c r="E113" s="69" t="str">
        <f>IFERROR(VLOOKUP($A113,Admission!$1:$998,3,0),"")</f>
        <v/>
      </c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1:21" ht="13" x14ac:dyDescent="0.15">
      <c r="A114" s="58"/>
      <c r="B114" s="69" t="str">
        <f>IFERROR(VLOOKUP($A114,Admission!$1:$998,4,0),"")</f>
        <v/>
      </c>
      <c r="C114" s="69" t="str">
        <f>IFERROR(VLOOKUP($A114,Admission!$1:$998,5,0),"")</f>
        <v/>
      </c>
      <c r="D114" s="69"/>
      <c r="E114" s="69" t="str">
        <f>IFERROR(VLOOKUP($A114,Admission!$1:$998,3,0),"")</f>
        <v/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1:21" ht="13" x14ac:dyDescent="0.15">
      <c r="A115" s="62"/>
      <c r="B115" s="69" t="str">
        <f>IFERROR(VLOOKUP($A115,Admission!$1:$998,4,0),"")</f>
        <v/>
      </c>
      <c r="C115" s="69" t="str">
        <f>IFERROR(VLOOKUP($A115,Admission!$1:$998,5,0),"")</f>
        <v/>
      </c>
      <c r="D115" s="69"/>
      <c r="E115" s="69" t="str">
        <f>IFERROR(VLOOKUP($A115,Admission!$1:$998,3,0),"")</f>
        <v/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1:21" ht="13" x14ac:dyDescent="0.15">
      <c r="A116" s="62"/>
      <c r="B116" s="69" t="str">
        <f>IFERROR(VLOOKUP($A116,Admission!$1:$998,4,0),"")</f>
        <v/>
      </c>
      <c r="C116" s="69" t="str">
        <f>IFERROR(VLOOKUP($A116,Admission!$1:$998,5,0),"")</f>
        <v/>
      </c>
      <c r="D116" s="69"/>
      <c r="E116" s="69" t="str">
        <f>IFERROR(VLOOKUP($A116,Admission!$1:$998,3,0),"")</f>
        <v/>
      </c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1:21" ht="13" x14ac:dyDescent="0.15">
      <c r="A117" s="62"/>
      <c r="B117" s="69" t="str">
        <f>IFERROR(VLOOKUP($A117,Admission!$1:$998,4,0),"")</f>
        <v/>
      </c>
      <c r="C117" s="69" t="str">
        <f>IFERROR(VLOOKUP($A117,Admission!$1:$998,5,0),"")</f>
        <v/>
      </c>
      <c r="D117" s="69"/>
      <c r="E117" s="69" t="str">
        <f>IFERROR(VLOOKUP($A117,Admission!$1:$998,3,0),"")</f>
        <v/>
      </c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1:21" ht="13" x14ac:dyDescent="0.15">
      <c r="A118" s="62"/>
      <c r="B118" s="69" t="str">
        <f>IFERROR(VLOOKUP($A118,Admission!$1:$998,4,0),"")</f>
        <v/>
      </c>
      <c r="C118" s="69" t="str">
        <f>IFERROR(VLOOKUP($A118,Admission!$1:$998,5,0),"")</f>
        <v/>
      </c>
      <c r="D118" s="69"/>
      <c r="E118" s="69" t="str">
        <f>IFERROR(VLOOKUP($A118,Admission!$1:$998,3,0),"")</f>
        <v/>
      </c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1:21" ht="13" x14ac:dyDescent="0.15">
      <c r="A119" s="62"/>
      <c r="B119" s="69" t="str">
        <f>IFERROR(VLOOKUP($A119,Admission!$1:$998,4,0),"")</f>
        <v/>
      </c>
      <c r="C119" s="69" t="str">
        <f>IFERROR(VLOOKUP($A119,Admission!$1:$998,5,0),"")</f>
        <v/>
      </c>
      <c r="D119" s="69"/>
      <c r="E119" s="69" t="str">
        <f>IFERROR(VLOOKUP($A119,Admission!$1:$998,3,0),"")</f>
        <v/>
      </c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1:21" ht="13" x14ac:dyDescent="0.15">
      <c r="A120" s="62"/>
      <c r="B120" s="69" t="str">
        <f>IFERROR(VLOOKUP($A120,Admission!$1:$998,4,0),"")</f>
        <v/>
      </c>
      <c r="C120" s="69" t="str">
        <f>IFERROR(VLOOKUP($A120,Admission!$1:$998,5,0),"")</f>
        <v/>
      </c>
      <c r="D120" s="69"/>
      <c r="E120" s="69" t="str">
        <f>IFERROR(VLOOKUP($A120,Admission!$1:$998,3,0),"")</f>
        <v/>
      </c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1:21" ht="13" x14ac:dyDescent="0.15">
      <c r="A121" s="62"/>
      <c r="B121" s="69" t="str">
        <f>IFERROR(VLOOKUP($A121,Admission!$1:$998,4,0),"")</f>
        <v/>
      </c>
      <c r="C121" s="69" t="str">
        <f>IFERROR(VLOOKUP($A121,Admission!$1:$998,5,0),"")</f>
        <v/>
      </c>
      <c r="D121" s="69"/>
      <c r="E121" s="69" t="str">
        <f>IFERROR(VLOOKUP($A121,Admission!$1:$998,3,0),"")</f>
        <v/>
      </c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1:21" ht="13" x14ac:dyDescent="0.15">
      <c r="A122" s="62"/>
      <c r="B122" s="69" t="str">
        <f>IFERROR(VLOOKUP($A122,Admission!$1:$998,4,0),"")</f>
        <v/>
      </c>
      <c r="C122" s="69" t="str">
        <f>IFERROR(VLOOKUP($A122,Admission!$1:$998,5,0),"")</f>
        <v/>
      </c>
      <c r="D122" s="69"/>
      <c r="E122" s="69" t="str">
        <f>IFERROR(VLOOKUP($A122,Admission!$1:$998,3,0),"")</f>
        <v/>
      </c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1:21" ht="13" x14ac:dyDescent="0.15">
      <c r="A123" s="62"/>
      <c r="B123" s="69" t="str">
        <f>IFERROR(VLOOKUP($A123,Admission!$1:$998,4,0),"")</f>
        <v/>
      </c>
      <c r="C123" s="69" t="str">
        <f>IFERROR(VLOOKUP($A123,Admission!$1:$998,5,0),"")</f>
        <v/>
      </c>
      <c r="D123" s="69"/>
      <c r="E123" s="69" t="str">
        <f>IFERROR(VLOOKUP($A123,Admission!$1:$998,3,0),"")</f>
        <v/>
      </c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1:21" ht="13" x14ac:dyDescent="0.15">
      <c r="A124" s="62"/>
      <c r="B124" s="69" t="str">
        <f>IFERROR(VLOOKUP($A124,Admission!$1:$998,4,0),"")</f>
        <v/>
      </c>
      <c r="C124" s="69" t="str">
        <f>IFERROR(VLOOKUP($A124,Admission!$1:$998,5,0),"")</f>
        <v/>
      </c>
      <c r="D124" s="69"/>
      <c r="E124" s="69" t="str">
        <f>IFERROR(VLOOKUP($A124,Admission!$1:$998,3,0),"")</f>
        <v/>
      </c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1:21" ht="13" x14ac:dyDescent="0.15">
      <c r="A125" s="62"/>
      <c r="B125" s="69" t="str">
        <f>IFERROR(VLOOKUP($A125,Admission!$1:$998,4,0),"")</f>
        <v/>
      </c>
      <c r="C125" s="69" t="str">
        <f>IFERROR(VLOOKUP($A125,Admission!$1:$998,5,0),"")</f>
        <v/>
      </c>
      <c r="D125" s="69"/>
      <c r="E125" s="69" t="str">
        <f>IFERROR(VLOOKUP($A125,Admission!$1:$998,3,0),"")</f>
        <v/>
      </c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1:21" ht="13" x14ac:dyDescent="0.15">
      <c r="A126" s="62"/>
      <c r="B126" s="69" t="str">
        <f>IFERROR(VLOOKUP($A126,Admission!$1:$998,4,0),"")</f>
        <v/>
      </c>
      <c r="C126" s="69" t="str">
        <f>IFERROR(VLOOKUP($A126,Admission!$1:$998,5,0),"")</f>
        <v/>
      </c>
      <c r="D126" s="69"/>
      <c r="E126" s="69" t="str">
        <f>IFERROR(VLOOKUP($A126,Admission!$1:$998,3,0),"")</f>
        <v/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1:21" ht="13" x14ac:dyDescent="0.15">
      <c r="A127" s="62"/>
      <c r="B127" s="69" t="str">
        <f>IFERROR(VLOOKUP($A127,Admission!$1:$998,4,0),"")</f>
        <v/>
      </c>
      <c r="C127" s="69" t="str">
        <f>IFERROR(VLOOKUP($A127,Admission!$1:$998,5,0),"")</f>
        <v/>
      </c>
      <c r="D127" s="69"/>
      <c r="E127" s="69" t="str">
        <f>IFERROR(VLOOKUP($A127,Admission!$1:$998,3,0),"")</f>
        <v/>
      </c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1:21" ht="13" x14ac:dyDescent="0.15">
      <c r="A128" s="62"/>
      <c r="B128" s="69" t="str">
        <f>IFERROR(VLOOKUP($A128,Admission!$1:$998,4,0),"")</f>
        <v/>
      </c>
      <c r="C128" s="69" t="str">
        <f>IFERROR(VLOOKUP($A128,Admission!$1:$998,5,0),"")</f>
        <v/>
      </c>
      <c r="D128" s="69"/>
      <c r="E128" s="69" t="str">
        <f>IFERROR(VLOOKUP($A128,Admission!$1:$998,3,0),"")</f>
        <v/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1:21" ht="13" x14ac:dyDescent="0.15">
      <c r="A129" s="62"/>
      <c r="B129" s="69" t="str">
        <f>IFERROR(VLOOKUP($A129,Admission!$1:$998,4,0),"")</f>
        <v/>
      </c>
      <c r="C129" s="69" t="str">
        <f>IFERROR(VLOOKUP($A129,Admission!$1:$998,5,0),"")</f>
        <v/>
      </c>
      <c r="D129" s="69"/>
      <c r="E129" s="69" t="str">
        <f>IFERROR(VLOOKUP($A129,Admission!$1:$998,3,0),"")</f>
        <v/>
      </c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1:21" ht="13" x14ac:dyDescent="0.15">
      <c r="A130" s="62"/>
      <c r="B130" s="69" t="str">
        <f>IFERROR(VLOOKUP($A130,Admission!$1:$998,4,0),"")</f>
        <v/>
      </c>
      <c r="C130" s="69" t="str">
        <f>IFERROR(VLOOKUP($A130,Admission!$1:$998,5,0),"")</f>
        <v/>
      </c>
      <c r="D130" s="69"/>
      <c r="E130" s="69" t="str">
        <f>IFERROR(VLOOKUP($A130,Admission!$1:$998,3,0),"")</f>
        <v/>
      </c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1:21" ht="13" x14ac:dyDescent="0.15">
      <c r="A131" s="62"/>
      <c r="B131" s="69" t="str">
        <f>IFERROR(VLOOKUP($A131,Admission!$1:$998,4,0),"")</f>
        <v/>
      </c>
      <c r="C131" s="69" t="str">
        <f>IFERROR(VLOOKUP($A131,Admission!$1:$998,5,0),"")</f>
        <v/>
      </c>
      <c r="D131" s="69"/>
      <c r="E131" s="69" t="str">
        <f>IFERROR(VLOOKUP($A131,Admission!$1:$998,3,0),"")</f>
        <v/>
      </c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1:21" ht="13" x14ac:dyDescent="0.15">
      <c r="A132" s="62"/>
      <c r="B132" s="69" t="str">
        <f>IFERROR(VLOOKUP($A132,Admission!$1:$998,4,0),"")</f>
        <v/>
      </c>
      <c r="C132" s="69" t="str">
        <f>IFERROR(VLOOKUP($A132,Admission!$1:$998,5,0),"")</f>
        <v/>
      </c>
      <c r="D132" s="69"/>
      <c r="E132" s="69" t="str">
        <f>IFERROR(VLOOKUP($A132,Admission!$1:$998,3,0),"")</f>
        <v/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1:21" ht="13" x14ac:dyDescent="0.15">
      <c r="A133" s="62"/>
      <c r="B133" s="69" t="str">
        <f>IFERROR(VLOOKUP($A133,Admission!$1:$998,4,0),"")</f>
        <v/>
      </c>
      <c r="C133" s="69" t="str">
        <f>IFERROR(VLOOKUP($A133,Admission!$1:$998,5,0),"")</f>
        <v/>
      </c>
      <c r="D133" s="69"/>
      <c r="E133" s="69" t="str">
        <f>IFERROR(VLOOKUP($A133,Admission!$1:$998,3,0),"")</f>
        <v/>
      </c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1:21" ht="13" x14ac:dyDescent="0.15">
      <c r="A134" s="62"/>
      <c r="B134" s="69" t="str">
        <f>IFERROR(VLOOKUP($A134,Admission!$1:$998,4,0),"")</f>
        <v/>
      </c>
      <c r="C134" s="69" t="str">
        <f>IFERROR(VLOOKUP($A134,Admission!$1:$998,5,0),"")</f>
        <v/>
      </c>
      <c r="D134" s="69"/>
      <c r="E134" s="69" t="str">
        <f>IFERROR(VLOOKUP($A134,Admission!$1:$998,3,0),"")</f>
        <v/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1:21" ht="13" x14ac:dyDescent="0.15">
      <c r="A135" s="62"/>
      <c r="B135" s="69" t="str">
        <f>IFERROR(VLOOKUP($A135,Admission!$1:$998,4,0),"")</f>
        <v/>
      </c>
      <c r="C135" s="69" t="str">
        <f>IFERROR(VLOOKUP($A135,Admission!$1:$998,5,0),"")</f>
        <v/>
      </c>
      <c r="D135" s="69"/>
      <c r="E135" s="69" t="str">
        <f>IFERROR(VLOOKUP($A135,Admission!$1:$998,3,0),"")</f>
        <v/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1:21" ht="13" x14ac:dyDescent="0.15">
      <c r="A136" s="62"/>
      <c r="B136" s="69" t="str">
        <f>IFERROR(VLOOKUP($A136,Admission!$1:$998,4,0),"")</f>
        <v/>
      </c>
      <c r="C136" s="69" t="str">
        <f>IFERROR(VLOOKUP($A136,Admission!$1:$998,5,0),"")</f>
        <v/>
      </c>
      <c r="D136" s="69"/>
      <c r="E136" s="69" t="str">
        <f>IFERROR(VLOOKUP($A136,Admission!$1:$998,3,0),"")</f>
        <v/>
      </c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1:21" ht="13" x14ac:dyDescent="0.15">
      <c r="A137" s="62"/>
      <c r="B137" s="69" t="str">
        <f>IFERROR(VLOOKUP($A137,Admission!$1:$998,4,0),"")</f>
        <v/>
      </c>
      <c r="C137" s="69" t="str">
        <f>IFERROR(VLOOKUP($A137,Admission!$1:$998,5,0),"")</f>
        <v/>
      </c>
      <c r="D137" s="69"/>
      <c r="E137" s="69" t="str">
        <f>IFERROR(VLOOKUP($A137,Admission!$1:$998,3,0),"")</f>
        <v/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1:21" ht="13" x14ac:dyDescent="0.15">
      <c r="A138" s="62"/>
      <c r="B138" s="69" t="str">
        <f>IFERROR(VLOOKUP($A138,Admission!$1:$998,4,0),"")</f>
        <v/>
      </c>
      <c r="C138" s="69" t="str">
        <f>IFERROR(VLOOKUP($A138,Admission!$1:$998,5,0),"")</f>
        <v/>
      </c>
      <c r="D138" s="69"/>
      <c r="E138" s="69" t="str">
        <f>IFERROR(VLOOKUP($A138,Admission!$1:$998,3,0),"")</f>
        <v/>
      </c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1:21" ht="13" x14ac:dyDescent="0.15">
      <c r="A139" s="62"/>
      <c r="B139" s="69" t="str">
        <f>IFERROR(VLOOKUP($A139,Admission!$1:$998,4,0),"")</f>
        <v/>
      </c>
      <c r="C139" s="69" t="str">
        <f>IFERROR(VLOOKUP($A139,Admission!$1:$998,5,0),"")</f>
        <v/>
      </c>
      <c r="D139" s="69"/>
      <c r="E139" s="69" t="str">
        <f>IFERROR(VLOOKUP($A139,Admission!$1:$998,3,0),"")</f>
        <v/>
      </c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1:21" ht="13" x14ac:dyDescent="0.15">
      <c r="A140" s="62"/>
      <c r="B140" s="69" t="str">
        <f>IFERROR(VLOOKUP($A140,Admission!$1:$998,4,0),"")</f>
        <v/>
      </c>
      <c r="C140" s="69" t="str">
        <f>IFERROR(VLOOKUP($A140,Admission!$1:$998,5,0),"")</f>
        <v/>
      </c>
      <c r="D140" s="69"/>
      <c r="E140" s="69" t="str">
        <f>IFERROR(VLOOKUP($A140,Admission!$1:$998,3,0),"")</f>
        <v/>
      </c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1:21" ht="13" x14ac:dyDescent="0.15">
      <c r="A141" s="62"/>
      <c r="B141" s="69" t="str">
        <f>IFERROR(VLOOKUP($A141,Admission!$1:$998,4,0),"")</f>
        <v/>
      </c>
      <c r="C141" s="69" t="str">
        <f>IFERROR(VLOOKUP($A141,Admission!$1:$998,5,0),"")</f>
        <v/>
      </c>
      <c r="D141" s="69"/>
      <c r="E141" s="69" t="str">
        <f>IFERROR(VLOOKUP($A141,Admission!$1:$998,3,0),"")</f>
        <v/>
      </c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1:21" ht="13" x14ac:dyDescent="0.15">
      <c r="A142" s="62"/>
      <c r="B142" s="69" t="str">
        <f>IFERROR(VLOOKUP($A142,Admission!$1:$998,4,0),"")</f>
        <v/>
      </c>
      <c r="C142" s="69" t="str">
        <f>IFERROR(VLOOKUP($A142,Admission!$1:$998,5,0),"")</f>
        <v/>
      </c>
      <c r="D142" s="69"/>
      <c r="E142" s="69" t="str">
        <f>IFERROR(VLOOKUP($A142,Admission!$1:$998,3,0),"")</f>
        <v/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1:21" ht="13" x14ac:dyDescent="0.15">
      <c r="A143" s="62"/>
      <c r="E143" s="23" t="str">
        <f>IFERROR(VLOOKUP($A143,Admission!150:1145,3,0),"")</f>
        <v/>
      </c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1:21" ht="13" x14ac:dyDescent="0.15">
      <c r="A144" s="62"/>
      <c r="E144" s="23" t="str">
        <f>IFERROR(VLOOKUP($A144,Admission!151:1146,3,0),"")</f>
        <v/>
      </c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1:21" ht="13" x14ac:dyDescent="0.15">
      <c r="A145" s="62"/>
      <c r="E145" s="23" t="str">
        <f>IFERROR(VLOOKUP($A145,Admission!152:1147,3,0),"")</f>
        <v/>
      </c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spans="1:21" ht="13" x14ac:dyDescent="0.15">
      <c r="A146" s="62"/>
      <c r="E146" s="23" t="str">
        <f>IFERROR(VLOOKUP($A146,Admission!153:1148,3,0),"")</f>
        <v/>
      </c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1:21" ht="13" x14ac:dyDescent="0.15">
      <c r="A147" s="62"/>
      <c r="E147" s="23" t="str">
        <f>IFERROR(VLOOKUP($A147,Admission!154:1149,3,0),"")</f>
        <v/>
      </c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spans="1:21" ht="13" x14ac:dyDescent="0.15">
      <c r="A148" s="62"/>
      <c r="E148" s="23" t="str">
        <f>IFERROR(VLOOKUP($A148,Admission!155:1150,3,0),"")</f>
        <v/>
      </c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1:21" ht="13" x14ac:dyDescent="0.15">
      <c r="A149" s="62"/>
      <c r="E149" s="23" t="str">
        <f>IFERROR(VLOOKUP($A149,Admission!156:1151,3,0),"")</f>
        <v/>
      </c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1:21" ht="13" x14ac:dyDescent="0.15">
      <c r="A150" s="62"/>
      <c r="E150" s="23" t="str">
        <f>IFERROR(VLOOKUP($A150,Admission!157:1152,3,0),"")</f>
        <v/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spans="1:21" ht="13" x14ac:dyDescent="0.15">
      <c r="A151" s="62"/>
      <c r="E151" s="23" t="str">
        <f>IFERROR(VLOOKUP($A151,Admission!158:1153,3,0),"")</f>
        <v/>
      </c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 spans="1:21" ht="13" x14ac:dyDescent="0.15">
      <c r="A152" s="62"/>
      <c r="E152" s="23" t="str">
        <f>IFERROR(VLOOKUP($A152,Admission!159:1154,3,0),"")</f>
        <v/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 spans="1:21" ht="13" x14ac:dyDescent="0.15">
      <c r="A153" s="62"/>
      <c r="E153" s="23" t="str">
        <f>IFERROR(VLOOKUP($A153,Admission!160:1155,3,0),"")</f>
        <v/>
      </c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 spans="1:21" ht="13" x14ac:dyDescent="0.15">
      <c r="A154" s="62"/>
      <c r="E154" s="23" t="str">
        <f>IFERROR(VLOOKUP($A154,Admission!161:1156,3,0),"")</f>
        <v/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 spans="1:21" ht="13" x14ac:dyDescent="0.15">
      <c r="A155" s="62"/>
      <c r="E155" s="23" t="str">
        <f>IFERROR(VLOOKUP($A155,Admission!162:1157,3,0),"")</f>
        <v/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 spans="1:21" ht="13" x14ac:dyDescent="0.15">
      <c r="A156" s="62"/>
      <c r="E156" s="23" t="str">
        <f>IFERROR(VLOOKUP($A156,Admission!163:1158,3,0),"")</f>
        <v/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 spans="1:21" ht="13" x14ac:dyDescent="0.15">
      <c r="A157" s="62"/>
      <c r="E157" s="23" t="str">
        <f>IFERROR(VLOOKUP($A157,Admission!164:1159,3,0),"")</f>
        <v/>
      </c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 spans="1:21" ht="13" x14ac:dyDescent="0.15">
      <c r="A158" s="62"/>
      <c r="E158" s="23" t="str">
        <f>IFERROR(VLOOKUP($A158,Admission!165:1160,3,0),"")</f>
        <v/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 spans="1:21" ht="13" x14ac:dyDescent="0.15">
      <c r="A159" s="62"/>
      <c r="E159" s="23" t="str">
        <f>IFERROR(VLOOKUP($A159,Admission!166:1161,3,0),"")</f>
        <v/>
      </c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 spans="1:21" ht="13" x14ac:dyDescent="0.15">
      <c r="A160" s="62"/>
      <c r="E160" s="23" t="str">
        <f>IFERROR(VLOOKUP($A160,Admission!167:1162,3,0),"")</f>
        <v/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</row>
    <row r="161" spans="1:21" ht="13" x14ac:dyDescent="0.15">
      <c r="A161" s="62"/>
      <c r="E161" s="23" t="str">
        <f>IFERROR(VLOOKUP($A161,Admission!168:1163,3,0),"")</f>
        <v/>
      </c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 spans="1:21" ht="13" x14ac:dyDescent="0.15">
      <c r="A162" s="62"/>
      <c r="E162" s="23" t="str">
        <f>IFERROR(VLOOKUP($A162,Admission!169:1164,3,0),"")</f>
        <v/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</row>
    <row r="163" spans="1:21" ht="13" x14ac:dyDescent="0.15">
      <c r="A163" s="62"/>
      <c r="E163" s="23" t="str">
        <f>IFERROR(VLOOKUP($A163,Admission!170:1165,3,0),"")</f>
        <v/>
      </c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 spans="1:21" ht="13" x14ac:dyDescent="0.15">
      <c r="A164" s="62"/>
      <c r="E164" s="23" t="str">
        <f>IFERROR(VLOOKUP($A164,Admission!171:1166,3,0),"")</f>
        <v/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 spans="1:21" ht="13" x14ac:dyDescent="0.15">
      <c r="A165" s="62"/>
      <c r="E165" s="23" t="str">
        <f>IFERROR(VLOOKUP($A165,Admission!172:1167,3,0),"")</f>
        <v/>
      </c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 spans="1:21" ht="13" x14ac:dyDescent="0.15">
      <c r="A166" s="62"/>
      <c r="E166" s="23" t="str">
        <f>IFERROR(VLOOKUP($A166,Admission!173:1168,3,0),"")</f>
        <v/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</row>
    <row r="167" spans="1:21" ht="13" x14ac:dyDescent="0.15">
      <c r="A167" s="62"/>
      <c r="E167" s="23" t="str">
        <f>IFERROR(VLOOKUP($A167,Admission!174:1169,3,0),"")</f>
        <v/>
      </c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</row>
    <row r="168" spans="1:21" ht="13" x14ac:dyDescent="0.15">
      <c r="A168" s="62"/>
      <c r="E168" s="23" t="str">
        <f>IFERROR(VLOOKUP($A168,Admission!175:1170,3,0),"")</f>
        <v/>
      </c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</row>
    <row r="169" spans="1:21" ht="13" x14ac:dyDescent="0.15">
      <c r="A169" s="62"/>
      <c r="E169" s="23" t="str">
        <f>IFERROR(VLOOKUP($A169,Admission!176:1171,3,0),"")</f>
        <v/>
      </c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</row>
    <row r="170" spans="1:21" ht="13" x14ac:dyDescent="0.15">
      <c r="A170" s="62"/>
      <c r="E170" s="23" t="str">
        <f>IFERROR(VLOOKUP($A170,Admission!177:1172,3,0),"")</f>
        <v/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 spans="1:21" ht="13" x14ac:dyDescent="0.15">
      <c r="A171" s="62"/>
      <c r="E171" s="23" t="str">
        <f>IFERROR(VLOOKUP($A171,Admission!178:1173,3,0),"")</f>
        <v/>
      </c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</row>
    <row r="172" spans="1:21" ht="13" x14ac:dyDescent="0.15">
      <c r="A172" s="62"/>
      <c r="E172" s="23" t="str">
        <f>IFERROR(VLOOKUP($A172,Admission!178:1174,3,0),"")</f>
        <v/>
      </c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</row>
    <row r="173" spans="1:21" ht="13" x14ac:dyDescent="0.15">
      <c r="A173" s="62"/>
      <c r="E173" s="23" t="str">
        <f>IFERROR(VLOOKUP($A173,Admission!178:1175,3,0),"")</f>
        <v/>
      </c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</row>
    <row r="174" spans="1:21" ht="13" x14ac:dyDescent="0.15">
      <c r="A174" s="62"/>
      <c r="E174" s="23" t="str">
        <f>IFERROR(VLOOKUP($A174,Admission!178:1176,3,0),"")</f>
        <v/>
      </c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 spans="1:21" ht="13" x14ac:dyDescent="0.15">
      <c r="A175" s="62"/>
      <c r="E175" s="23" t="str">
        <f>IFERROR(VLOOKUP($A175,Admission!178:1177,3,0),"")</f>
        <v/>
      </c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 spans="1:21" ht="13" x14ac:dyDescent="0.15">
      <c r="A176" s="62"/>
      <c r="E176" s="23" t="str">
        <f>IFERROR(VLOOKUP($A176,Admission!179:1178,3,0),"")</f>
        <v/>
      </c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spans="1:21" ht="13" x14ac:dyDescent="0.15">
      <c r="A177" s="62"/>
      <c r="E177" s="23" t="str">
        <f>IFERROR(VLOOKUP($A177,Admission!180:1179,3,0),"")</f>
        <v/>
      </c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spans="1:21" ht="13" x14ac:dyDescent="0.15">
      <c r="A178" s="62"/>
      <c r="E178" s="23" t="str">
        <f>IFERROR(VLOOKUP($A178,Admission!181:1180,3,0),"")</f>
        <v/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</row>
    <row r="179" spans="1:21" ht="13" x14ac:dyDescent="0.15">
      <c r="A179" s="62"/>
      <c r="E179" s="23" t="str">
        <f>IFERROR(VLOOKUP($A179,Admission!182:1181,3,0),"")</f>
        <v/>
      </c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</row>
    <row r="180" spans="1:21" ht="13" x14ac:dyDescent="0.15">
      <c r="A180" s="62"/>
      <c r="E180" s="23" t="str">
        <f>IFERROR(VLOOKUP($A180,Admission!183:1182,3,0),"")</f>
        <v/>
      </c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spans="1:21" ht="13" x14ac:dyDescent="0.15">
      <c r="A181" s="62"/>
      <c r="E181" s="23" t="str">
        <f>IFERROR(VLOOKUP($A181,Admission!184:1183,3,0),"")</f>
        <v/>
      </c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 spans="1:21" ht="13" x14ac:dyDescent="0.15">
      <c r="A182" s="62"/>
      <c r="E182" s="23" t="str">
        <f>IFERROR(VLOOKUP($A182,Admission!181:1184,3,0),"")</f>
        <v/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</row>
    <row r="183" spans="1:21" ht="13" x14ac:dyDescent="0.15">
      <c r="A183" s="62"/>
      <c r="E183" s="23" t="str">
        <f>IFERROR(VLOOKUP($A183,Admission!178:1185,3,0),"")</f>
        <v/>
      </c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</row>
    <row r="184" spans="1:21" ht="13" x14ac:dyDescent="0.15">
      <c r="A184" s="62"/>
      <c r="E184" s="23" t="str">
        <f>IFERROR(VLOOKUP($A184,Admission!179:1186,3,0),"")</f>
        <v/>
      </c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</row>
    <row r="185" spans="1:21" ht="13" x14ac:dyDescent="0.15">
      <c r="A185" s="62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</row>
    <row r="186" spans="1:21" ht="13" x14ac:dyDescent="0.15">
      <c r="A186" s="62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</row>
    <row r="187" spans="1:21" ht="13" x14ac:dyDescent="0.15">
      <c r="A187" s="62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</row>
    <row r="188" spans="1:21" ht="13" x14ac:dyDescent="0.15">
      <c r="A188" s="62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</row>
    <row r="189" spans="1:21" ht="13" x14ac:dyDescent="0.15">
      <c r="A189" s="62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</row>
    <row r="190" spans="1:21" ht="13" x14ac:dyDescent="0.15">
      <c r="A190" s="62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</row>
    <row r="191" spans="1:21" ht="13" x14ac:dyDescent="0.15">
      <c r="A191" s="62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</row>
    <row r="192" spans="1:21" ht="13" x14ac:dyDescent="0.15">
      <c r="A192" s="62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</row>
    <row r="193" spans="1:21" ht="13" x14ac:dyDescent="0.15">
      <c r="A193" s="6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</row>
    <row r="194" spans="1:21" ht="13" x14ac:dyDescent="0.15">
      <c r="A194" s="6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</row>
    <row r="195" spans="1:21" ht="13" x14ac:dyDescent="0.15">
      <c r="A195" s="6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</row>
    <row r="196" spans="1:21" ht="13" x14ac:dyDescent="0.15">
      <c r="A196" s="6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</row>
    <row r="197" spans="1:21" ht="13" x14ac:dyDescent="0.15">
      <c r="A197" s="6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</row>
    <row r="198" spans="1:21" ht="13" x14ac:dyDescent="0.15">
      <c r="A198" s="6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</row>
    <row r="199" spans="1:21" ht="13" x14ac:dyDescent="0.15">
      <c r="A199" s="6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</row>
    <row r="200" spans="1:21" ht="13" x14ac:dyDescent="0.15">
      <c r="A200" s="6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</row>
    <row r="201" spans="1:21" ht="13" x14ac:dyDescent="0.15">
      <c r="A201" s="6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</row>
    <row r="202" spans="1:21" ht="13" x14ac:dyDescent="0.15">
      <c r="A202" s="6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</row>
    <row r="203" spans="1:21" ht="13" x14ac:dyDescent="0.15">
      <c r="A203" s="6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</row>
    <row r="204" spans="1:21" ht="13" x14ac:dyDescent="0.15">
      <c r="A204" s="6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</row>
    <row r="205" spans="1:21" ht="13" x14ac:dyDescent="0.15">
      <c r="A205" s="6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</row>
    <row r="206" spans="1:21" ht="13" x14ac:dyDescent="0.15">
      <c r="A206" s="6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</row>
    <row r="207" spans="1:21" ht="13" x14ac:dyDescent="0.15">
      <c r="A207" s="6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</row>
    <row r="208" spans="1:21" ht="13" x14ac:dyDescent="0.15">
      <c r="A208" s="6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</row>
    <row r="209" spans="1:21" ht="13" x14ac:dyDescent="0.15">
      <c r="A209" s="6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</row>
    <row r="210" spans="1:21" ht="13" x14ac:dyDescent="0.15">
      <c r="A210" s="6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</row>
    <row r="211" spans="1:21" ht="13" x14ac:dyDescent="0.15">
      <c r="A211" s="6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</row>
    <row r="212" spans="1:21" ht="13" x14ac:dyDescent="0.15">
      <c r="A212" s="6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</row>
    <row r="213" spans="1:21" ht="13" x14ac:dyDescent="0.15">
      <c r="A213" s="6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</row>
    <row r="214" spans="1:21" ht="13" x14ac:dyDescent="0.15">
      <c r="A214" s="6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</row>
    <row r="215" spans="1:21" ht="13" x14ac:dyDescent="0.15">
      <c r="A215" s="6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</row>
    <row r="216" spans="1:21" ht="13" x14ac:dyDescent="0.15">
      <c r="A216" s="6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</row>
    <row r="217" spans="1:21" ht="13" x14ac:dyDescent="0.15">
      <c r="A217" s="6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</row>
    <row r="218" spans="1:21" ht="13" x14ac:dyDescent="0.15">
      <c r="A218" s="6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</row>
    <row r="219" spans="1:21" ht="13" x14ac:dyDescent="0.15">
      <c r="A219" s="6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</row>
    <row r="220" spans="1:21" ht="13" x14ac:dyDescent="0.15">
      <c r="A220" s="6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</row>
    <row r="221" spans="1:21" ht="13" x14ac:dyDescent="0.15">
      <c r="A221" s="6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</row>
    <row r="222" spans="1:21" ht="13" x14ac:dyDescent="0.15">
      <c r="A222" s="6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</row>
    <row r="223" spans="1:21" ht="13" x14ac:dyDescent="0.15">
      <c r="A223" s="6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</row>
    <row r="224" spans="1:21" ht="13" x14ac:dyDescent="0.15">
      <c r="A224" s="6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</row>
    <row r="225" spans="1:21" ht="13" x14ac:dyDescent="0.15">
      <c r="A225" s="6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</row>
    <row r="226" spans="1:21" ht="13" x14ac:dyDescent="0.15">
      <c r="A226" s="6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</row>
    <row r="227" spans="1:21" ht="13" x14ac:dyDescent="0.15">
      <c r="A227" s="6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</row>
    <row r="228" spans="1:21" ht="13" x14ac:dyDescent="0.15">
      <c r="A228" s="6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</row>
    <row r="229" spans="1:21" ht="13" x14ac:dyDescent="0.15">
      <c r="A229" s="6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</row>
    <row r="230" spans="1:21" ht="13" x14ac:dyDescent="0.15">
      <c r="A230" s="6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</row>
    <row r="231" spans="1:21" ht="13" x14ac:dyDescent="0.15">
      <c r="A231" s="6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</row>
    <row r="232" spans="1:21" ht="13" x14ac:dyDescent="0.15">
      <c r="A232" s="6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</row>
    <row r="233" spans="1:21" ht="13" x14ac:dyDescent="0.15">
      <c r="A233" s="6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</row>
    <row r="234" spans="1:21" ht="13" x14ac:dyDescent="0.15">
      <c r="A234" s="6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</row>
    <row r="235" spans="1:21" ht="13" x14ac:dyDescent="0.15">
      <c r="A235" s="6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</row>
    <row r="236" spans="1:21" ht="13" x14ac:dyDescent="0.15">
      <c r="A236" s="6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</row>
    <row r="237" spans="1:21" ht="13" x14ac:dyDescent="0.15">
      <c r="A237" s="6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</row>
    <row r="238" spans="1:21" ht="13" x14ac:dyDescent="0.15">
      <c r="A238" s="6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</row>
    <row r="239" spans="1:21" ht="13" x14ac:dyDescent="0.15">
      <c r="A239" s="6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</row>
    <row r="240" spans="1:21" ht="13" x14ac:dyDescent="0.15">
      <c r="A240" s="6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</row>
    <row r="241" spans="1:21" ht="13" x14ac:dyDescent="0.15">
      <c r="A241" s="6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</row>
    <row r="242" spans="1:21" ht="13" x14ac:dyDescent="0.15">
      <c r="A242" s="6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</row>
    <row r="243" spans="1:21" ht="13" x14ac:dyDescent="0.15">
      <c r="A243" s="6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</row>
    <row r="244" spans="1:21" ht="13" x14ac:dyDescent="0.15">
      <c r="A244" s="6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</row>
    <row r="245" spans="1:21" ht="13" x14ac:dyDescent="0.15">
      <c r="A245" s="6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</row>
    <row r="246" spans="1:21" ht="13" x14ac:dyDescent="0.15">
      <c r="A246" s="6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</row>
    <row r="247" spans="1:21" ht="13" x14ac:dyDescent="0.15">
      <c r="A247" s="6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</row>
    <row r="248" spans="1:21" ht="13" x14ac:dyDescent="0.15">
      <c r="A248" s="6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</row>
    <row r="249" spans="1:21" ht="13" x14ac:dyDescent="0.15">
      <c r="A249" s="6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</row>
    <row r="250" spans="1:21" ht="13" x14ac:dyDescent="0.15">
      <c r="A250" s="6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</row>
    <row r="251" spans="1:21" ht="13" x14ac:dyDescent="0.15">
      <c r="A251" s="6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</row>
    <row r="252" spans="1:21" ht="13" x14ac:dyDescent="0.15">
      <c r="A252" s="6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</row>
    <row r="253" spans="1:21" ht="13" x14ac:dyDescent="0.15">
      <c r="A253" s="6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</row>
    <row r="254" spans="1:21" ht="13" x14ac:dyDescent="0.15">
      <c r="A254" s="6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</row>
    <row r="255" spans="1:21" ht="13" x14ac:dyDescent="0.15">
      <c r="A255" s="6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</row>
    <row r="256" spans="1:21" ht="13" x14ac:dyDescent="0.15">
      <c r="A256" s="6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</row>
    <row r="257" spans="1:21" ht="13" x14ac:dyDescent="0.15">
      <c r="A257" s="6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</row>
    <row r="258" spans="1:21" ht="13" x14ac:dyDescent="0.15">
      <c r="A258" s="6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</row>
    <row r="259" spans="1:21" ht="13" x14ac:dyDescent="0.15">
      <c r="A259" s="6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</row>
    <row r="260" spans="1:21" ht="13" x14ac:dyDescent="0.15">
      <c r="A260" s="6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</row>
    <row r="261" spans="1:21" ht="13" x14ac:dyDescent="0.15">
      <c r="A261" s="6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</row>
    <row r="262" spans="1:21" ht="13" x14ac:dyDescent="0.15">
      <c r="A262" s="6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</row>
    <row r="263" spans="1:21" ht="13" x14ac:dyDescent="0.15">
      <c r="A263" s="6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</row>
    <row r="264" spans="1:21" ht="13" x14ac:dyDescent="0.15">
      <c r="A264" s="6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</row>
    <row r="265" spans="1:21" ht="13" x14ac:dyDescent="0.15">
      <c r="A265" s="6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</row>
    <row r="266" spans="1:21" ht="13" x14ac:dyDescent="0.15">
      <c r="A266" s="6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</row>
    <row r="267" spans="1:21" ht="13" x14ac:dyDescent="0.15">
      <c r="A267" s="6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</row>
    <row r="268" spans="1:21" ht="13" x14ac:dyDescent="0.15">
      <c r="A268" s="6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</row>
    <row r="269" spans="1:21" ht="13" x14ac:dyDescent="0.15">
      <c r="A269" s="6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</row>
    <row r="270" spans="1:21" ht="13" x14ac:dyDescent="0.15">
      <c r="A270" s="6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</row>
    <row r="271" spans="1:21" ht="13" x14ac:dyDescent="0.15">
      <c r="A271" s="6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</row>
    <row r="272" spans="1:21" ht="13" x14ac:dyDescent="0.15">
      <c r="A272" s="6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</row>
    <row r="273" spans="1:21" ht="13" x14ac:dyDescent="0.15">
      <c r="A273" s="6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</row>
    <row r="274" spans="1:21" ht="13" x14ac:dyDescent="0.15">
      <c r="A274" s="6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</row>
    <row r="275" spans="1:21" ht="13" x14ac:dyDescent="0.15">
      <c r="A275" s="6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</row>
    <row r="276" spans="1:21" ht="13" x14ac:dyDescent="0.15">
      <c r="A276" s="6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</row>
    <row r="277" spans="1:21" ht="13" x14ac:dyDescent="0.15">
      <c r="A277" s="6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</row>
    <row r="278" spans="1:21" ht="13" x14ac:dyDescent="0.15">
      <c r="A278" s="6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</row>
    <row r="279" spans="1:21" ht="13" x14ac:dyDescent="0.15">
      <c r="A279" s="6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</row>
    <row r="280" spans="1:21" ht="13" x14ac:dyDescent="0.15">
      <c r="A280" s="6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</row>
    <row r="281" spans="1:21" ht="13" x14ac:dyDescent="0.15">
      <c r="A281" s="6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</row>
    <row r="282" spans="1:21" ht="13" x14ac:dyDescent="0.15">
      <c r="A282" s="6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</row>
    <row r="283" spans="1:21" ht="13" x14ac:dyDescent="0.15">
      <c r="A283" s="6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</row>
    <row r="284" spans="1:21" ht="13" x14ac:dyDescent="0.15">
      <c r="A284" s="6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</row>
    <row r="285" spans="1:21" ht="13" x14ac:dyDescent="0.15">
      <c r="A285" s="6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</row>
    <row r="286" spans="1:21" ht="13" x14ac:dyDescent="0.15">
      <c r="A286" s="6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</row>
    <row r="287" spans="1:21" ht="13" x14ac:dyDescent="0.15">
      <c r="A287" s="6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</row>
    <row r="288" spans="1:21" ht="13" x14ac:dyDescent="0.15">
      <c r="A288" s="6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</row>
    <row r="289" spans="1:21" ht="13" x14ac:dyDescent="0.15">
      <c r="A289" s="6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</row>
    <row r="290" spans="1:21" ht="13" x14ac:dyDescent="0.15">
      <c r="A290" s="6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</row>
    <row r="291" spans="1:21" ht="13" x14ac:dyDescent="0.15">
      <c r="A291" s="6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</row>
    <row r="292" spans="1:21" ht="13" x14ac:dyDescent="0.15">
      <c r="A292" s="6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</row>
    <row r="293" spans="1:21" ht="13" x14ac:dyDescent="0.15">
      <c r="A293" s="6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</row>
    <row r="294" spans="1:21" ht="13" x14ac:dyDescent="0.15">
      <c r="A294" s="6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</row>
    <row r="295" spans="1:21" ht="13" x14ac:dyDescent="0.15">
      <c r="A295" s="6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</row>
    <row r="296" spans="1:21" ht="13" x14ac:dyDescent="0.15">
      <c r="A296" s="6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</row>
    <row r="297" spans="1:21" ht="13" x14ac:dyDescent="0.15">
      <c r="A297" s="6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</row>
    <row r="298" spans="1:21" ht="13" x14ac:dyDescent="0.15">
      <c r="A298" s="6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</row>
    <row r="299" spans="1:21" ht="13" x14ac:dyDescent="0.15">
      <c r="A299" s="6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</row>
    <row r="300" spans="1:21" ht="13" x14ac:dyDescent="0.15">
      <c r="A300" s="6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</row>
    <row r="301" spans="1:21" ht="13" x14ac:dyDescent="0.15">
      <c r="A301" s="6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</row>
    <row r="302" spans="1:21" ht="13" x14ac:dyDescent="0.15">
      <c r="A302" s="6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</row>
    <row r="303" spans="1:21" ht="13" x14ac:dyDescent="0.15">
      <c r="A303" s="6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</row>
    <row r="304" spans="1:21" ht="13" x14ac:dyDescent="0.15">
      <c r="A304" s="6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</row>
    <row r="305" spans="1:21" ht="13" x14ac:dyDescent="0.15">
      <c r="A305" s="6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</row>
    <row r="306" spans="1:21" ht="13" x14ac:dyDescent="0.15">
      <c r="A306" s="6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</row>
    <row r="307" spans="1:21" ht="13" x14ac:dyDescent="0.15">
      <c r="A307" s="6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</row>
    <row r="308" spans="1:21" ht="13" x14ac:dyDescent="0.15">
      <c r="A308" s="6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</row>
    <row r="309" spans="1:21" ht="13" x14ac:dyDescent="0.15">
      <c r="A309" s="6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</row>
    <row r="310" spans="1:21" ht="13" x14ac:dyDescent="0.15">
      <c r="A310" s="6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</row>
    <row r="311" spans="1:21" ht="13" x14ac:dyDescent="0.15">
      <c r="A311" s="6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</row>
    <row r="312" spans="1:21" ht="13" x14ac:dyDescent="0.15">
      <c r="A312" s="6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</row>
    <row r="313" spans="1:21" ht="13" x14ac:dyDescent="0.15">
      <c r="A313" s="6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</row>
    <row r="314" spans="1:21" ht="13" x14ac:dyDescent="0.15">
      <c r="A314" s="6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</row>
    <row r="315" spans="1:21" ht="13" x14ac:dyDescent="0.15">
      <c r="A315" s="6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</row>
    <row r="316" spans="1:21" ht="13" x14ac:dyDescent="0.15">
      <c r="A316" s="6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</row>
    <row r="317" spans="1:21" ht="13" x14ac:dyDescent="0.15">
      <c r="A317" s="6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</row>
    <row r="318" spans="1:21" ht="13" x14ac:dyDescent="0.15">
      <c r="A318" s="6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</row>
    <row r="319" spans="1:21" ht="13" x14ac:dyDescent="0.15">
      <c r="A319" s="6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</row>
    <row r="320" spans="1:21" ht="13" x14ac:dyDescent="0.15">
      <c r="A320" s="6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</row>
    <row r="321" spans="1:21" ht="13" x14ac:dyDescent="0.15">
      <c r="A321" s="6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</row>
    <row r="322" spans="1:21" ht="13" x14ac:dyDescent="0.15">
      <c r="A322" s="6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</row>
    <row r="323" spans="1:21" ht="13" x14ac:dyDescent="0.15">
      <c r="A323" s="6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</row>
    <row r="324" spans="1:21" ht="13" x14ac:dyDescent="0.15">
      <c r="A324" s="6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</row>
    <row r="325" spans="1:21" ht="13" x14ac:dyDescent="0.15">
      <c r="A325" s="6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</row>
    <row r="326" spans="1:21" ht="13" x14ac:dyDescent="0.15">
      <c r="A326" s="6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</row>
    <row r="327" spans="1:21" ht="13" x14ac:dyDescent="0.15">
      <c r="A327" s="6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</row>
    <row r="328" spans="1:21" ht="13" x14ac:dyDescent="0.15">
      <c r="A328" s="6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</row>
    <row r="329" spans="1:21" ht="13" x14ac:dyDescent="0.15">
      <c r="A329" s="6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</row>
    <row r="330" spans="1:21" ht="13" x14ac:dyDescent="0.15">
      <c r="A330" s="6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</row>
    <row r="331" spans="1:21" ht="13" x14ac:dyDescent="0.15">
      <c r="A331" s="6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</row>
    <row r="332" spans="1:21" ht="13" x14ac:dyDescent="0.15">
      <c r="A332" s="6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</row>
    <row r="333" spans="1:21" ht="13" x14ac:dyDescent="0.15">
      <c r="A333" s="6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</row>
    <row r="334" spans="1:21" ht="13" x14ac:dyDescent="0.15">
      <c r="A334" s="6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</row>
    <row r="335" spans="1:21" ht="13" x14ac:dyDescent="0.15">
      <c r="A335" s="6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</row>
    <row r="336" spans="1:21" ht="13" x14ac:dyDescent="0.15">
      <c r="A336" s="6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</row>
    <row r="337" spans="1:21" ht="13" x14ac:dyDescent="0.15">
      <c r="A337" s="6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</row>
    <row r="338" spans="1:21" ht="13" x14ac:dyDescent="0.15">
      <c r="A338" s="6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</row>
    <row r="339" spans="1:21" ht="13" x14ac:dyDescent="0.15">
      <c r="A339" s="6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</row>
    <row r="340" spans="1:21" ht="13" x14ac:dyDescent="0.15">
      <c r="A340" s="6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</row>
    <row r="341" spans="1:21" ht="13" x14ac:dyDescent="0.15">
      <c r="A341" s="6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</row>
    <row r="342" spans="1:21" ht="13" x14ac:dyDescent="0.15">
      <c r="A342" s="6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</row>
    <row r="343" spans="1:21" ht="13" x14ac:dyDescent="0.15">
      <c r="A343" s="6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</row>
    <row r="344" spans="1:21" ht="13" x14ac:dyDescent="0.15">
      <c r="A344" s="6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</row>
    <row r="345" spans="1:21" ht="13" x14ac:dyDescent="0.15">
      <c r="A345" s="6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</row>
    <row r="346" spans="1:21" ht="13" x14ac:dyDescent="0.15">
      <c r="A346" s="6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</row>
    <row r="347" spans="1:21" ht="13" x14ac:dyDescent="0.15">
      <c r="A347" s="6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</row>
    <row r="348" spans="1:21" ht="13" x14ac:dyDescent="0.15">
      <c r="A348" s="6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</row>
    <row r="349" spans="1:21" ht="13" x14ac:dyDescent="0.15">
      <c r="A349" s="6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</row>
    <row r="350" spans="1:21" ht="13" x14ac:dyDescent="0.15">
      <c r="A350" s="6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</row>
    <row r="351" spans="1:21" ht="13" x14ac:dyDescent="0.15">
      <c r="A351" s="6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</row>
    <row r="352" spans="1:21" ht="13" x14ac:dyDescent="0.15">
      <c r="A352" s="6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</row>
    <row r="353" spans="1:21" ht="13" x14ac:dyDescent="0.15">
      <c r="A353" s="6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</row>
    <row r="354" spans="1:21" ht="13" x14ac:dyDescent="0.15">
      <c r="A354" s="6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</row>
    <row r="355" spans="1:21" ht="13" x14ac:dyDescent="0.15">
      <c r="A355" s="6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</row>
    <row r="356" spans="1:21" ht="13" x14ac:dyDescent="0.15">
      <c r="A356" s="6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</row>
    <row r="357" spans="1:21" ht="13" x14ac:dyDescent="0.15">
      <c r="A357" s="6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</row>
    <row r="358" spans="1:21" ht="13" x14ac:dyDescent="0.15">
      <c r="A358" s="6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</row>
    <row r="359" spans="1:21" ht="13" x14ac:dyDescent="0.15">
      <c r="A359" s="6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</row>
    <row r="360" spans="1:21" ht="13" x14ac:dyDescent="0.15">
      <c r="A360" s="6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</row>
    <row r="361" spans="1:21" ht="13" x14ac:dyDescent="0.15">
      <c r="A361" s="6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</row>
    <row r="362" spans="1:21" ht="13" x14ac:dyDescent="0.15">
      <c r="A362" s="6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</row>
    <row r="363" spans="1:21" ht="13" x14ac:dyDescent="0.15">
      <c r="A363" s="6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</row>
    <row r="364" spans="1:21" ht="13" x14ac:dyDescent="0.15">
      <c r="A364" s="6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</row>
    <row r="365" spans="1:21" ht="13" x14ac:dyDescent="0.15">
      <c r="A365" s="6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</row>
    <row r="366" spans="1:21" ht="13" x14ac:dyDescent="0.15">
      <c r="A366" s="6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</row>
    <row r="367" spans="1:21" ht="13" x14ac:dyDescent="0.15">
      <c r="A367" s="6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</row>
    <row r="368" spans="1:21" ht="13" x14ac:dyDescent="0.15">
      <c r="A368" s="6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</row>
    <row r="369" spans="1:21" ht="13" x14ac:dyDescent="0.15">
      <c r="A369" s="6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</row>
    <row r="370" spans="1:21" ht="13" x14ac:dyDescent="0.15">
      <c r="A370" s="6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</row>
    <row r="371" spans="1:21" ht="13" x14ac:dyDescent="0.15">
      <c r="A371" s="6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</row>
    <row r="372" spans="1:21" ht="13" x14ac:dyDescent="0.15">
      <c r="A372" s="6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</row>
    <row r="373" spans="1:21" ht="13" x14ac:dyDescent="0.15">
      <c r="A373" s="6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</row>
    <row r="374" spans="1:21" ht="13" x14ac:dyDescent="0.15">
      <c r="A374" s="6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</row>
    <row r="375" spans="1:21" ht="13" x14ac:dyDescent="0.15">
      <c r="A375" s="6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</row>
    <row r="376" spans="1:21" ht="13" x14ac:dyDescent="0.15">
      <c r="A376" s="6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</row>
    <row r="377" spans="1:21" ht="13" x14ac:dyDescent="0.15">
      <c r="A377" s="6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</row>
    <row r="378" spans="1:21" ht="13" x14ac:dyDescent="0.15">
      <c r="A378" s="6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</row>
    <row r="379" spans="1:21" ht="13" x14ac:dyDescent="0.15">
      <c r="A379" s="6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</row>
    <row r="380" spans="1:21" ht="13" x14ac:dyDescent="0.15">
      <c r="A380" s="6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</row>
    <row r="381" spans="1:21" ht="13" x14ac:dyDescent="0.15">
      <c r="A381" s="6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</row>
    <row r="382" spans="1:21" ht="13" x14ac:dyDescent="0.15">
      <c r="A382" s="6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</row>
    <row r="383" spans="1:21" ht="13" x14ac:dyDescent="0.15">
      <c r="A383" s="6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</row>
    <row r="384" spans="1:21" ht="13" x14ac:dyDescent="0.15">
      <c r="A384" s="6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</row>
    <row r="385" spans="1:21" ht="13" x14ac:dyDescent="0.15">
      <c r="A385" s="6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</row>
    <row r="386" spans="1:21" ht="13" x14ac:dyDescent="0.15">
      <c r="A386" s="6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</row>
    <row r="387" spans="1:21" ht="13" x14ac:dyDescent="0.15">
      <c r="A387" s="6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</row>
    <row r="388" spans="1:21" ht="13" x14ac:dyDescent="0.15">
      <c r="A388" s="6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</row>
    <row r="389" spans="1:21" ht="13" x14ac:dyDescent="0.15">
      <c r="A389" s="6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</row>
    <row r="390" spans="1:21" ht="13" x14ac:dyDescent="0.15">
      <c r="A390" s="6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</row>
    <row r="391" spans="1:21" ht="13" x14ac:dyDescent="0.15">
      <c r="A391" s="6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</row>
    <row r="392" spans="1:21" ht="13" x14ac:dyDescent="0.15">
      <c r="A392" s="6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</row>
    <row r="393" spans="1:21" ht="13" x14ac:dyDescent="0.15">
      <c r="A393" s="6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</row>
    <row r="394" spans="1:21" ht="13" x14ac:dyDescent="0.15">
      <c r="A394" s="6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</row>
    <row r="395" spans="1:21" ht="13" x14ac:dyDescent="0.15">
      <c r="A395" s="6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</row>
    <row r="396" spans="1:21" ht="13" x14ac:dyDescent="0.15">
      <c r="A396" s="6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</row>
    <row r="397" spans="1:21" ht="13" x14ac:dyDescent="0.15">
      <c r="A397" s="6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</row>
    <row r="398" spans="1:21" ht="13" x14ac:dyDescent="0.15">
      <c r="A398" s="6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</row>
    <row r="399" spans="1:21" ht="13" x14ac:dyDescent="0.15">
      <c r="A399" s="6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</row>
    <row r="400" spans="1:21" ht="13" x14ac:dyDescent="0.15">
      <c r="A400" s="6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</row>
    <row r="401" spans="1:21" ht="13" x14ac:dyDescent="0.15">
      <c r="A401" s="6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</row>
    <row r="402" spans="1:21" ht="13" x14ac:dyDescent="0.15">
      <c r="A402" s="6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</row>
    <row r="403" spans="1:21" ht="13" x14ac:dyDescent="0.15">
      <c r="A403" s="6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</row>
    <row r="404" spans="1:21" ht="13" x14ac:dyDescent="0.15">
      <c r="A404" s="6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</row>
    <row r="405" spans="1:21" ht="13" x14ac:dyDescent="0.15">
      <c r="A405" s="6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</row>
    <row r="406" spans="1:21" ht="13" x14ac:dyDescent="0.15">
      <c r="A406" s="6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</row>
    <row r="407" spans="1:21" ht="13" x14ac:dyDescent="0.15">
      <c r="A407" s="6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</row>
    <row r="408" spans="1:21" ht="13" x14ac:dyDescent="0.15">
      <c r="A408" s="6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</row>
    <row r="409" spans="1:21" ht="13" x14ac:dyDescent="0.15">
      <c r="A409" s="6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</row>
    <row r="410" spans="1:21" ht="13" x14ac:dyDescent="0.15">
      <c r="A410" s="6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</row>
    <row r="411" spans="1:21" ht="13" x14ac:dyDescent="0.15">
      <c r="A411" s="6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</row>
    <row r="412" spans="1:21" ht="13" x14ac:dyDescent="0.15">
      <c r="A412" s="6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</row>
    <row r="413" spans="1:21" ht="13" x14ac:dyDescent="0.15">
      <c r="A413" s="6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</row>
    <row r="414" spans="1:21" ht="13" x14ac:dyDescent="0.15">
      <c r="A414" s="6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</row>
    <row r="415" spans="1:21" ht="13" x14ac:dyDescent="0.15">
      <c r="A415" s="6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</row>
    <row r="416" spans="1:21" ht="13" x14ac:dyDescent="0.15">
      <c r="A416" s="6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</row>
    <row r="417" spans="1:21" ht="13" x14ac:dyDescent="0.15">
      <c r="A417" s="6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</row>
    <row r="418" spans="1:21" ht="13" x14ac:dyDescent="0.15">
      <c r="A418" s="6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</row>
    <row r="419" spans="1:21" ht="13" x14ac:dyDescent="0.15">
      <c r="A419" s="6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</row>
    <row r="420" spans="1:21" ht="13" x14ac:dyDescent="0.15">
      <c r="A420" s="6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</row>
    <row r="421" spans="1:21" ht="13" x14ac:dyDescent="0.15">
      <c r="A421" s="6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</row>
    <row r="422" spans="1:21" ht="13" x14ac:dyDescent="0.15">
      <c r="A422" s="6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</row>
    <row r="423" spans="1:21" ht="13" x14ac:dyDescent="0.15">
      <c r="A423" s="6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</row>
    <row r="424" spans="1:21" ht="13" x14ac:dyDescent="0.15">
      <c r="A424" s="6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</row>
    <row r="425" spans="1:21" ht="13" x14ac:dyDescent="0.15">
      <c r="A425" s="6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</row>
    <row r="426" spans="1:21" ht="13" x14ac:dyDescent="0.15">
      <c r="A426" s="6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</row>
    <row r="427" spans="1:21" ht="13" x14ac:dyDescent="0.15">
      <c r="A427" s="6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</row>
    <row r="428" spans="1:21" ht="13" x14ac:dyDescent="0.15">
      <c r="A428" s="6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</row>
    <row r="429" spans="1:21" ht="13" x14ac:dyDescent="0.15">
      <c r="A429" s="6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</row>
    <row r="430" spans="1:21" ht="13" x14ac:dyDescent="0.15">
      <c r="A430" s="6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</row>
    <row r="431" spans="1:21" ht="13" x14ac:dyDescent="0.15">
      <c r="A431" s="6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</row>
    <row r="432" spans="1:21" ht="13" x14ac:dyDescent="0.15">
      <c r="A432" s="6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</row>
    <row r="433" spans="1:21" ht="13" x14ac:dyDescent="0.15">
      <c r="A433" s="6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</row>
    <row r="434" spans="1:21" ht="13" x14ac:dyDescent="0.15">
      <c r="A434" s="6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</row>
    <row r="435" spans="1:21" ht="13" x14ac:dyDescent="0.15">
      <c r="A435" s="6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</row>
    <row r="436" spans="1:21" ht="13" x14ac:dyDescent="0.15">
      <c r="A436" s="6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</row>
    <row r="437" spans="1:21" ht="13" x14ac:dyDescent="0.15">
      <c r="A437" s="6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</row>
    <row r="438" spans="1:21" ht="13" x14ac:dyDescent="0.15">
      <c r="A438" s="6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</row>
    <row r="439" spans="1:21" ht="13" x14ac:dyDescent="0.15">
      <c r="A439" s="6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</row>
    <row r="440" spans="1:21" ht="13" x14ac:dyDescent="0.15">
      <c r="A440" s="6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</row>
    <row r="441" spans="1:21" ht="13" x14ac:dyDescent="0.15">
      <c r="A441" s="6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</row>
    <row r="442" spans="1:21" ht="13" x14ac:dyDescent="0.15">
      <c r="A442" s="6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</row>
    <row r="443" spans="1:21" ht="13" x14ac:dyDescent="0.15">
      <c r="A443" s="6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</row>
    <row r="444" spans="1:21" ht="13" x14ac:dyDescent="0.15">
      <c r="A444" s="6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</row>
    <row r="445" spans="1:21" ht="13" x14ac:dyDescent="0.15">
      <c r="A445" s="6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</row>
    <row r="446" spans="1:21" ht="13" x14ac:dyDescent="0.15">
      <c r="A446" s="6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</row>
    <row r="447" spans="1:21" ht="13" x14ac:dyDescent="0.15">
      <c r="A447" s="6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</row>
    <row r="448" spans="1:21" ht="13" x14ac:dyDescent="0.15">
      <c r="A448" s="6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</row>
    <row r="449" spans="1:21" ht="13" x14ac:dyDescent="0.15">
      <c r="A449" s="6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</row>
    <row r="450" spans="1:21" ht="13" x14ac:dyDescent="0.15">
      <c r="A450" s="6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</row>
    <row r="451" spans="1:21" ht="13" x14ac:dyDescent="0.15">
      <c r="A451" s="6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</row>
    <row r="452" spans="1:21" ht="13" x14ac:dyDescent="0.15">
      <c r="A452" s="6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</row>
    <row r="453" spans="1:21" ht="13" x14ac:dyDescent="0.15">
      <c r="A453" s="6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</row>
    <row r="454" spans="1:21" ht="13" x14ac:dyDescent="0.15">
      <c r="A454" s="6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</row>
    <row r="455" spans="1:21" ht="13" x14ac:dyDescent="0.15">
      <c r="A455" s="6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</row>
    <row r="456" spans="1:21" ht="13" x14ac:dyDescent="0.15">
      <c r="A456" s="6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</row>
    <row r="457" spans="1:21" ht="13" x14ac:dyDescent="0.15">
      <c r="A457" s="6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</row>
    <row r="458" spans="1:21" ht="13" x14ac:dyDescent="0.15">
      <c r="A458" s="6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</row>
    <row r="459" spans="1:21" ht="13" x14ac:dyDescent="0.15">
      <c r="A459" s="6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</row>
    <row r="460" spans="1:21" ht="13" x14ac:dyDescent="0.15">
      <c r="A460" s="6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</row>
    <row r="461" spans="1:21" ht="13" x14ac:dyDescent="0.15">
      <c r="A461" s="6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</row>
    <row r="462" spans="1:21" ht="13" x14ac:dyDescent="0.15">
      <c r="A462" s="6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</row>
    <row r="463" spans="1:21" ht="13" x14ac:dyDescent="0.15">
      <c r="A463" s="6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</row>
    <row r="464" spans="1:21" ht="13" x14ac:dyDescent="0.15">
      <c r="A464" s="6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</row>
    <row r="465" spans="1:21" ht="13" x14ac:dyDescent="0.15">
      <c r="A465" s="6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</row>
    <row r="466" spans="1:21" ht="13" x14ac:dyDescent="0.15">
      <c r="A466" s="6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</row>
    <row r="467" spans="1:21" ht="13" x14ac:dyDescent="0.15">
      <c r="A467" s="6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</row>
    <row r="468" spans="1:21" ht="13" x14ac:dyDescent="0.15">
      <c r="A468" s="6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</row>
    <row r="469" spans="1:21" ht="13" x14ac:dyDescent="0.15">
      <c r="A469" s="6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</row>
    <row r="470" spans="1:21" ht="13" x14ac:dyDescent="0.15">
      <c r="A470" s="6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</row>
    <row r="471" spans="1:21" ht="13" x14ac:dyDescent="0.15">
      <c r="A471" s="6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</row>
    <row r="472" spans="1:21" ht="13" x14ac:dyDescent="0.15">
      <c r="A472" s="6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</row>
    <row r="473" spans="1:21" ht="13" x14ac:dyDescent="0.15">
      <c r="A473" s="6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</row>
    <row r="474" spans="1:21" ht="13" x14ac:dyDescent="0.15">
      <c r="A474" s="6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</row>
    <row r="475" spans="1:21" ht="13" x14ac:dyDescent="0.15">
      <c r="A475" s="6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</row>
    <row r="476" spans="1:21" ht="13" x14ac:dyDescent="0.15">
      <c r="A476" s="6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</row>
    <row r="477" spans="1:21" ht="13" x14ac:dyDescent="0.15">
      <c r="A477" s="6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</row>
    <row r="478" spans="1:21" ht="13" x14ac:dyDescent="0.15">
      <c r="A478" s="6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</row>
    <row r="479" spans="1:21" ht="13" x14ac:dyDescent="0.15">
      <c r="A479" s="6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</row>
    <row r="480" spans="1:21" ht="13" x14ac:dyDescent="0.15">
      <c r="A480" s="6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</row>
    <row r="481" spans="1:21" ht="13" x14ac:dyDescent="0.15">
      <c r="A481" s="6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</row>
    <row r="482" spans="1:21" ht="13" x14ac:dyDescent="0.15">
      <c r="A482" s="6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</row>
    <row r="483" spans="1:21" ht="13" x14ac:dyDescent="0.15">
      <c r="A483" s="6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</row>
    <row r="484" spans="1:21" ht="13" x14ac:dyDescent="0.15">
      <c r="A484" s="6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</row>
    <row r="485" spans="1:21" ht="13" x14ac:dyDescent="0.15">
      <c r="A485" s="6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</row>
    <row r="486" spans="1:21" ht="13" x14ac:dyDescent="0.15">
      <c r="A486" s="6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</row>
    <row r="487" spans="1:21" ht="13" x14ac:dyDescent="0.15">
      <c r="A487" s="6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</row>
    <row r="488" spans="1:21" ht="13" x14ac:dyDescent="0.15">
      <c r="A488" s="6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</row>
    <row r="489" spans="1:21" ht="13" x14ac:dyDescent="0.15">
      <c r="A489" s="6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</row>
    <row r="490" spans="1:21" ht="13" x14ac:dyDescent="0.15">
      <c r="A490" s="6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</row>
    <row r="491" spans="1:21" ht="13" x14ac:dyDescent="0.15">
      <c r="A491" s="6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</row>
    <row r="492" spans="1:21" ht="13" x14ac:dyDescent="0.15">
      <c r="A492" s="6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</row>
    <row r="493" spans="1:21" ht="13" x14ac:dyDescent="0.15">
      <c r="A493" s="6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</row>
    <row r="494" spans="1:21" ht="13" x14ac:dyDescent="0.15">
      <c r="A494" s="6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</row>
    <row r="495" spans="1:21" ht="13" x14ac:dyDescent="0.15">
      <c r="A495" s="6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</row>
    <row r="496" spans="1:21" ht="13" x14ac:dyDescent="0.15">
      <c r="A496" s="6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</row>
    <row r="497" spans="1:21" ht="13" x14ac:dyDescent="0.15">
      <c r="A497" s="6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</row>
    <row r="498" spans="1:21" ht="13" x14ac:dyDescent="0.15">
      <c r="A498" s="6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</row>
    <row r="499" spans="1:21" ht="13" x14ac:dyDescent="0.15">
      <c r="A499" s="6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</row>
    <row r="500" spans="1:21" ht="13" x14ac:dyDescent="0.15">
      <c r="A500" s="6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</row>
    <row r="501" spans="1:21" ht="13" x14ac:dyDescent="0.15">
      <c r="A501" s="6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</row>
    <row r="502" spans="1:21" ht="13" x14ac:dyDescent="0.15">
      <c r="A502" s="6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</row>
    <row r="503" spans="1:21" ht="13" x14ac:dyDescent="0.15">
      <c r="A503" s="6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</row>
    <row r="504" spans="1:21" ht="13" x14ac:dyDescent="0.15">
      <c r="A504" s="6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</row>
    <row r="505" spans="1:21" ht="13" x14ac:dyDescent="0.15">
      <c r="A505" s="6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</row>
    <row r="506" spans="1:21" ht="13" x14ac:dyDescent="0.15">
      <c r="A506" s="6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</row>
    <row r="507" spans="1:21" ht="13" x14ac:dyDescent="0.15">
      <c r="A507" s="6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</row>
    <row r="508" spans="1:21" ht="13" x14ac:dyDescent="0.15">
      <c r="A508" s="6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</row>
    <row r="509" spans="1:21" ht="13" x14ac:dyDescent="0.15">
      <c r="A509" s="6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</row>
    <row r="510" spans="1:21" ht="13" x14ac:dyDescent="0.15">
      <c r="A510" s="6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</row>
    <row r="511" spans="1:21" ht="13" x14ac:dyDescent="0.15">
      <c r="A511" s="6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</row>
    <row r="512" spans="1:21" ht="13" x14ac:dyDescent="0.15">
      <c r="A512" s="6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</row>
    <row r="513" spans="1:21" ht="13" x14ac:dyDescent="0.15">
      <c r="A513" s="6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</row>
    <row r="514" spans="1:21" ht="13" x14ac:dyDescent="0.15">
      <c r="A514" s="6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</row>
    <row r="515" spans="1:21" ht="13" x14ac:dyDescent="0.15">
      <c r="A515" s="6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</row>
    <row r="516" spans="1:21" ht="13" x14ac:dyDescent="0.15">
      <c r="A516" s="6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</row>
    <row r="517" spans="1:21" ht="13" x14ac:dyDescent="0.15">
      <c r="A517" s="6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</row>
    <row r="518" spans="1:21" ht="13" x14ac:dyDescent="0.15">
      <c r="A518" s="6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</row>
    <row r="519" spans="1:21" ht="13" x14ac:dyDescent="0.15">
      <c r="A519" s="6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</row>
    <row r="520" spans="1:21" ht="13" x14ac:dyDescent="0.15">
      <c r="A520" s="6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</row>
    <row r="521" spans="1:21" ht="13" x14ac:dyDescent="0.15">
      <c r="A521" s="6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</row>
    <row r="522" spans="1:21" ht="13" x14ac:dyDescent="0.15">
      <c r="A522" s="6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</row>
    <row r="523" spans="1:21" ht="13" x14ac:dyDescent="0.15">
      <c r="A523" s="6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</row>
    <row r="524" spans="1:21" ht="13" x14ac:dyDescent="0.15">
      <c r="A524" s="6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</row>
    <row r="525" spans="1:21" ht="13" x14ac:dyDescent="0.15">
      <c r="A525" s="6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</row>
    <row r="526" spans="1:21" ht="13" x14ac:dyDescent="0.15">
      <c r="A526" s="6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</row>
    <row r="527" spans="1:21" ht="13" x14ac:dyDescent="0.15">
      <c r="A527" s="6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</row>
    <row r="528" spans="1:21" ht="13" x14ac:dyDescent="0.15">
      <c r="A528" s="6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</row>
    <row r="529" spans="1:21" ht="13" x14ac:dyDescent="0.15">
      <c r="A529" s="6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</row>
    <row r="530" spans="1:21" ht="13" x14ac:dyDescent="0.15">
      <c r="A530" s="6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</row>
    <row r="531" spans="1:21" ht="13" x14ac:dyDescent="0.15">
      <c r="A531" s="6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</row>
    <row r="532" spans="1:21" ht="13" x14ac:dyDescent="0.15">
      <c r="A532" s="6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</row>
    <row r="533" spans="1:21" ht="13" x14ac:dyDescent="0.15">
      <c r="A533" s="6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</row>
    <row r="534" spans="1:21" ht="13" x14ac:dyDescent="0.15">
      <c r="A534" s="6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</row>
    <row r="535" spans="1:21" ht="13" x14ac:dyDescent="0.15">
      <c r="A535" s="6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</row>
    <row r="536" spans="1:21" ht="13" x14ac:dyDescent="0.15">
      <c r="A536" s="6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</row>
    <row r="537" spans="1:21" ht="13" x14ac:dyDescent="0.15">
      <c r="A537" s="6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</row>
    <row r="538" spans="1:21" ht="13" x14ac:dyDescent="0.15">
      <c r="A538" s="6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</row>
    <row r="539" spans="1:21" ht="13" x14ac:dyDescent="0.15">
      <c r="A539" s="6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</row>
    <row r="540" spans="1:21" ht="13" x14ac:dyDescent="0.15">
      <c r="A540" s="6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</row>
    <row r="541" spans="1:21" ht="13" x14ac:dyDescent="0.15">
      <c r="A541" s="6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</row>
    <row r="542" spans="1:21" ht="13" x14ac:dyDescent="0.15">
      <c r="A542" s="6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</row>
    <row r="543" spans="1:21" ht="13" x14ac:dyDescent="0.15">
      <c r="A543" s="6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</row>
    <row r="544" spans="1:21" ht="13" x14ac:dyDescent="0.15">
      <c r="A544" s="6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</row>
    <row r="545" spans="1:21" ht="13" x14ac:dyDescent="0.15">
      <c r="A545" s="6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</row>
    <row r="546" spans="1:21" ht="13" x14ac:dyDescent="0.15">
      <c r="A546" s="6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</row>
    <row r="547" spans="1:21" ht="13" x14ac:dyDescent="0.15">
      <c r="A547" s="6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</row>
    <row r="548" spans="1:21" ht="13" x14ac:dyDescent="0.15">
      <c r="A548" s="6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</row>
    <row r="549" spans="1:21" ht="13" x14ac:dyDescent="0.15">
      <c r="A549" s="6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</row>
    <row r="550" spans="1:21" ht="13" x14ac:dyDescent="0.15">
      <c r="A550" s="6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</row>
    <row r="551" spans="1:21" ht="13" x14ac:dyDescent="0.15">
      <c r="A551" s="6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</row>
    <row r="552" spans="1:21" ht="13" x14ac:dyDescent="0.15">
      <c r="A552" s="6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</row>
    <row r="553" spans="1:21" ht="13" x14ac:dyDescent="0.15">
      <c r="A553" s="6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</row>
    <row r="554" spans="1:21" ht="13" x14ac:dyDescent="0.15">
      <c r="A554" s="6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</row>
    <row r="555" spans="1:21" ht="13" x14ac:dyDescent="0.15">
      <c r="A555" s="6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</row>
    <row r="556" spans="1:21" ht="13" x14ac:dyDescent="0.15">
      <c r="A556" s="6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</row>
    <row r="557" spans="1:21" ht="13" x14ac:dyDescent="0.15">
      <c r="A557" s="6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</row>
    <row r="558" spans="1:21" ht="13" x14ac:dyDescent="0.15">
      <c r="A558" s="6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</row>
    <row r="559" spans="1:21" ht="13" x14ac:dyDescent="0.15">
      <c r="A559" s="6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</row>
    <row r="560" spans="1:21" ht="13" x14ac:dyDescent="0.15">
      <c r="A560" s="6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</row>
    <row r="561" spans="1:21" ht="13" x14ac:dyDescent="0.15">
      <c r="A561" s="6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</row>
    <row r="562" spans="1:21" ht="13" x14ac:dyDescent="0.15">
      <c r="A562" s="6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</row>
    <row r="563" spans="1:21" ht="13" x14ac:dyDescent="0.15">
      <c r="A563" s="6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</row>
    <row r="564" spans="1:21" ht="13" x14ac:dyDescent="0.15">
      <c r="A564" s="6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</row>
    <row r="565" spans="1:21" ht="13" x14ac:dyDescent="0.15">
      <c r="A565" s="6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</row>
    <row r="566" spans="1:21" ht="13" x14ac:dyDescent="0.15">
      <c r="A566" s="6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</row>
    <row r="567" spans="1:21" ht="13" x14ac:dyDescent="0.15">
      <c r="A567" s="6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</row>
    <row r="568" spans="1:21" ht="13" x14ac:dyDescent="0.15">
      <c r="A568" s="6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</row>
    <row r="569" spans="1:21" ht="13" x14ac:dyDescent="0.15">
      <c r="A569" s="6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</row>
    <row r="570" spans="1:21" ht="13" x14ac:dyDescent="0.15">
      <c r="A570" s="6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</row>
    <row r="571" spans="1:21" ht="13" x14ac:dyDescent="0.15">
      <c r="A571" s="6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</row>
    <row r="572" spans="1:21" ht="13" x14ac:dyDescent="0.15">
      <c r="A572" s="6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</row>
    <row r="573" spans="1:21" ht="13" x14ac:dyDescent="0.15">
      <c r="A573" s="6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</row>
    <row r="574" spans="1:21" ht="13" x14ac:dyDescent="0.15">
      <c r="A574" s="6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</row>
    <row r="575" spans="1:21" ht="13" x14ac:dyDescent="0.15">
      <c r="A575" s="6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</row>
    <row r="576" spans="1:21" ht="13" x14ac:dyDescent="0.15">
      <c r="A576" s="6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</row>
    <row r="577" spans="1:21" ht="13" x14ac:dyDescent="0.15">
      <c r="A577" s="6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</row>
    <row r="578" spans="1:21" ht="13" x14ac:dyDescent="0.15">
      <c r="A578" s="6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</row>
    <row r="579" spans="1:21" ht="13" x14ac:dyDescent="0.15">
      <c r="A579" s="6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</row>
    <row r="580" spans="1:21" ht="13" x14ac:dyDescent="0.15">
      <c r="A580" s="6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</row>
    <row r="581" spans="1:21" ht="13" x14ac:dyDescent="0.15">
      <c r="A581" s="6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</row>
    <row r="582" spans="1:21" ht="13" x14ac:dyDescent="0.15">
      <c r="A582" s="6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</row>
    <row r="583" spans="1:21" ht="13" x14ac:dyDescent="0.15">
      <c r="A583" s="6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</row>
    <row r="584" spans="1:21" ht="13" x14ac:dyDescent="0.15">
      <c r="A584" s="6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</row>
    <row r="585" spans="1:21" ht="13" x14ac:dyDescent="0.15">
      <c r="A585" s="6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</row>
    <row r="586" spans="1:21" ht="13" x14ac:dyDescent="0.15">
      <c r="A586" s="6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</row>
    <row r="587" spans="1:21" ht="13" x14ac:dyDescent="0.15">
      <c r="A587" s="6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</row>
    <row r="588" spans="1:21" ht="13" x14ac:dyDescent="0.15">
      <c r="A588" s="6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</row>
    <row r="589" spans="1:21" ht="13" x14ac:dyDescent="0.15">
      <c r="A589" s="6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</row>
    <row r="590" spans="1:21" ht="13" x14ac:dyDescent="0.15">
      <c r="A590" s="6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</row>
    <row r="591" spans="1:21" ht="13" x14ac:dyDescent="0.15">
      <c r="A591" s="6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</row>
    <row r="592" spans="1:21" ht="13" x14ac:dyDescent="0.15">
      <c r="A592" s="6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</row>
    <row r="593" spans="1:21" ht="13" x14ac:dyDescent="0.15">
      <c r="A593" s="6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</row>
    <row r="594" spans="1:21" ht="13" x14ac:dyDescent="0.15">
      <c r="A594" s="6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</row>
    <row r="595" spans="1:21" ht="13" x14ac:dyDescent="0.15">
      <c r="A595" s="6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</row>
    <row r="596" spans="1:21" ht="13" x14ac:dyDescent="0.15">
      <c r="A596" s="6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</row>
    <row r="597" spans="1:21" ht="13" x14ac:dyDescent="0.15">
      <c r="A597" s="6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</row>
    <row r="598" spans="1:21" ht="13" x14ac:dyDescent="0.15">
      <c r="A598" s="6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</row>
    <row r="599" spans="1:21" ht="13" x14ac:dyDescent="0.15">
      <c r="A599" s="6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</row>
    <row r="600" spans="1:21" ht="13" x14ac:dyDescent="0.15">
      <c r="A600" s="6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</row>
    <row r="601" spans="1:21" ht="13" x14ac:dyDescent="0.15">
      <c r="A601" s="6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</row>
    <row r="602" spans="1:21" ht="13" x14ac:dyDescent="0.15">
      <c r="A602" s="6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</row>
    <row r="603" spans="1:21" ht="13" x14ac:dyDescent="0.15">
      <c r="A603" s="6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</row>
    <row r="604" spans="1:21" ht="13" x14ac:dyDescent="0.15">
      <c r="A604" s="6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</row>
    <row r="605" spans="1:21" ht="13" x14ac:dyDescent="0.15">
      <c r="A605" s="6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</row>
    <row r="606" spans="1:21" ht="13" x14ac:dyDescent="0.15">
      <c r="A606" s="6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</row>
    <row r="607" spans="1:21" ht="13" x14ac:dyDescent="0.15">
      <c r="A607" s="6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</row>
    <row r="608" spans="1:21" ht="13" x14ac:dyDescent="0.15">
      <c r="A608" s="6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</row>
    <row r="609" spans="1:21" ht="13" x14ac:dyDescent="0.15">
      <c r="A609" s="6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</row>
    <row r="610" spans="1:21" ht="13" x14ac:dyDescent="0.15">
      <c r="A610" s="6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</row>
    <row r="611" spans="1:21" ht="13" x14ac:dyDescent="0.15">
      <c r="A611" s="6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</row>
    <row r="612" spans="1:21" ht="13" x14ac:dyDescent="0.15">
      <c r="A612" s="6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</row>
    <row r="613" spans="1:21" ht="13" x14ac:dyDescent="0.15">
      <c r="A613" s="6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</row>
    <row r="614" spans="1:21" ht="13" x14ac:dyDescent="0.15">
      <c r="A614" s="6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</row>
    <row r="615" spans="1:21" ht="13" x14ac:dyDescent="0.15">
      <c r="A615" s="6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</row>
    <row r="616" spans="1:21" ht="13" x14ac:dyDescent="0.15">
      <c r="A616" s="6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</row>
    <row r="617" spans="1:21" ht="13" x14ac:dyDescent="0.15">
      <c r="A617" s="6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</row>
    <row r="618" spans="1:21" ht="13" x14ac:dyDescent="0.15">
      <c r="A618" s="6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</row>
    <row r="619" spans="1:21" ht="13" x14ac:dyDescent="0.15">
      <c r="A619" s="6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</row>
    <row r="620" spans="1:21" ht="13" x14ac:dyDescent="0.15">
      <c r="A620" s="6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</row>
    <row r="621" spans="1:21" ht="13" x14ac:dyDescent="0.15">
      <c r="A621" s="6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</row>
    <row r="622" spans="1:21" ht="13" x14ac:dyDescent="0.15">
      <c r="A622" s="6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</row>
    <row r="623" spans="1:21" ht="13" x14ac:dyDescent="0.15">
      <c r="A623" s="6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</row>
    <row r="624" spans="1:21" ht="13" x14ac:dyDescent="0.15">
      <c r="A624" s="6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</row>
    <row r="625" spans="1:21" ht="13" x14ac:dyDescent="0.15">
      <c r="A625" s="6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</row>
    <row r="626" spans="1:21" ht="13" x14ac:dyDescent="0.15">
      <c r="A626" s="6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</row>
    <row r="627" spans="1:21" ht="13" x14ac:dyDescent="0.15">
      <c r="A627" s="6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</row>
    <row r="628" spans="1:21" ht="13" x14ac:dyDescent="0.15">
      <c r="A628" s="6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</row>
    <row r="629" spans="1:21" ht="13" x14ac:dyDescent="0.15">
      <c r="A629" s="6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</row>
    <row r="630" spans="1:21" ht="13" x14ac:dyDescent="0.15">
      <c r="A630" s="6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</row>
    <row r="631" spans="1:21" ht="13" x14ac:dyDescent="0.15">
      <c r="A631" s="6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</row>
    <row r="632" spans="1:21" ht="13" x14ac:dyDescent="0.15">
      <c r="A632" s="6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</row>
    <row r="633" spans="1:21" ht="13" x14ac:dyDescent="0.15">
      <c r="A633" s="6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</row>
    <row r="634" spans="1:21" ht="13" x14ac:dyDescent="0.15">
      <c r="A634" s="6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</row>
    <row r="635" spans="1:21" ht="13" x14ac:dyDescent="0.15">
      <c r="A635" s="6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</row>
    <row r="636" spans="1:21" ht="13" x14ac:dyDescent="0.15">
      <c r="A636" s="6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</row>
    <row r="637" spans="1:21" ht="13" x14ac:dyDescent="0.15">
      <c r="A637" s="6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</row>
    <row r="638" spans="1:21" ht="13" x14ac:dyDescent="0.15">
      <c r="A638" s="6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</row>
    <row r="639" spans="1:21" ht="13" x14ac:dyDescent="0.15">
      <c r="A639" s="6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</row>
    <row r="640" spans="1:21" ht="13" x14ac:dyDescent="0.15">
      <c r="A640" s="6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</row>
    <row r="641" spans="1:21" ht="13" x14ac:dyDescent="0.15">
      <c r="A641" s="6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</row>
    <row r="642" spans="1:21" ht="13" x14ac:dyDescent="0.15">
      <c r="A642" s="6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</row>
    <row r="643" spans="1:21" ht="13" x14ac:dyDescent="0.15">
      <c r="A643" s="6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</row>
    <row r="644" spans="1:21" ht="13" x14ac:dyDescent="0.15">
      <c r="A644" s="6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</row>
    <row r="645" spans="1:21" ht="13" x14ac:dyDescent="0.15">
      <c r="A645" s="6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</row>
    <row r="646" spans="1:21" ht="13" x14ac:dyDescent="0.15">
      <c r="A646" s="6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</row>
    <row r="647" spans="1:21" ht="13" x14ac:dyDescent="0.15">
      <c r="A647" s="6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</row>
    <row r="648" spans="1:21" ht="13" x14ac:dyDescent="0.15">
      <c r="A648" s="6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</row>
    <row r="649" spans="1:21" ht="13" x14ac:dyDescent="0.15">
      <c r="A649" s="6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</row>
    <row r="650" spans="1:21" ht="13" x14ac:dyDescent="0.15">
      <c r="A650" s="6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</row>
    <row r="651" spans="1:21" ht="13" x14ac:dyDescent="0.15">
      <c r="A651" s="6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</row>
    <row r="652" spans="1:21" ht="13" x14ac:dyDescent="0.15">
      <c r="A652" s="6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</row>
    <row r="653" spans="1:21" ht="13" x14ac:dyDescent="0.15">
      <c r="A653" s="6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</row>
    <row r="654" spans="1:21" ht="13" x14ac:dyDescent="0.15">
      <c r="A654" s="6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</row>
    <row r="655" spans="1:21" ht="13" x14ac:dyDescent="0.15">
      <c r="A655" s="6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</row>
    <row r="656" spans="1:21" ht="13" x14ac:dyDescent="0.15">
      <c r="A656" s="6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</row>
    <row r="657" spans="1:21" ht="13" x14ac:dyDescent="0.15">
      <c r="A657" s="6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</row>
    <row r="658" spans="1:21" ht="13" x14ac:dyDescent="0.15">
      <c r="A658" s="6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</row>
    <row r="659" spans="1:21" ht="13" x14ac:dyDescent="0.15">
      <c r="A659" s="6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</row>
    <row r="660" spans="1:21" ht="13" x14ac:dyDescent="0.15">
      <c r="A660" s="6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</row>
    <row r="661" spans="1:21" ht="13" x14ac:dyDescent="0.15">
      <c r="A661" s="6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</row>
    <row r="662" spans="1:21" ht="13" x14ac:dyDescent="0.15">
      <c r="A662" s="6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</row>
    <row r="663" spans="1:21" ht="13" x14ac:dyDescent="0.15">
      <c r="A663" s="6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</row>
    <row r="664" spans="1:21" ht="13" x14ac:dyDescent="0.15">
      <c r="A664" s="6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</row>
    <row r="665" spans="1:21" ht="13" x14ac:dyDescent="0.15">
      <c r="A665" s="6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</row>
    <row r="666" spans="1:21" ht="13" x14ac:dyDescent="0.15">
      <c r="A666" s="6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</row>
    <row r="667" spans="1:21" ht="13" x14ac:dyDescent="0.15">
      <c r="A667" s="6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</row>
    <row r="668" spans="1:21" ht="13" x14ac:dyDescent="0.15">
      <c r="A668" s="6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</row>
    <row r="669" spans="1:21" ht="13" x14ac:dyDescent="0.15">
      <c r="A669" s="6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</row>
    <row r="670" spans="1:21" ht="13" x14ac:dyDescent="0.15">
      <c r="A670" s="6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</row>
    <row r="671" spans="1:21" ht="13" x14ac:dyDescent="0.15">
      <c r="A671" s="6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</row>
    <row r="672" spans="1:21" ht="13" x14ac:dyDescent="0.15">
      <c r="A672" s="6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</row>
    <row r="673" spans="1:21" ht="13" x14ac:dyDescent="0.15">
      <c r="A673" s="6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</row>
    <row r="674" spans="1:21" ht="13" x14ac:dyDescent="0.15">
      <c r="A674" s="6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</row>
    <row r="675" spans="1:21" ht="13" x14ac:dyDescent="0.15">
      <c r="A675" s="62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</row>
    <row r="676" spans="1:21" ht="13" x14ac:dyDescent="0.15">
      <c r="A676" s="62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</row>
    <row r="677" spans="1:21" ht="13" x14ac:dyDescent="0.15">
      <c r="A677" s="62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</row>
    <row r="678" spans="1:21" ht="13" x14ac:dyDescent="0.15">
      <c r="A678" s="62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</row>
    <row r="679" spans="1:21" ht="13" x14ac:dyDescent="0.15">
      <c r="A679" s="62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</row>
    <row r="680" spans="1:21" ht="13" x14ac:dyDescent="0.15">
      <c r="A680" s="62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</row>
    <row r="681" spans="1:21" ht="13" x14ac:dyDescent="0.15">
      <c r="A681" s="62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</row>
    <row r="682" spans="1:21" ht="13" x14ac:dyDescent="0.15">
      <c r="A682" s="62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</row>
    <row r="683" spans="1:21" ht="13" x14ac:dyDescent="0.15">
      <c r="A683" s="62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</row>
    <row r="684" spans="1:21" ht="13" x14ac:dyDescent="0.15">
      <c r="A684" s="62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</row>
    <row r="685" spans="1:21" ht="13" x14ac:dyDescent="0.15">
      <c r="A685" s="62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</row>
    <row r="686" spans="1:21" ht="13" x14ac:dyDescent="0.15">
      <c r="A686" s="62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</row>
    <row r="687" spans="1:21" ht="13" x14ac:dyDescent="0.15">
      <c r="A687" s="62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</row>
    <row r="688" spans="1:21" ht="13" x14ac:dyDescent="0.15">
      <c r="A688" s="62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</row>
    <row r="689" spans="1:21" ht="13" x14ac:dyDescent="0.15">
      <c r="A689" s="62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</row>
    <row r="690" spans="1:21" ht="13" x14ac:dyDescent="0.15">
      <c r="A690" s="62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</row>
    <row r="691" spans="1:21" ht="13" x14ac:dyDescent="0.15">
      <c r="A691" s="62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</row>
    <row r="692" spans="1:21" ht="13" x14ac:dyDescent="0.15">
      <c r="A692" s="62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</row>
    <row r="693" spans="1:21" ht="13" x14ac:dyDescent="0.15">
      <c r="A693" s="62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</row>
    <row r="694" spans="1:21" ht="13" x14ac:dyDescent="0.15">
      <c r="A694" s="62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</row>
    <row r="695" spans="1:21" ht="13" x14ac:dyDescent="0.15">
      <c r="A695" s="62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</row>
    <row r="696" spans="1:21" ht="13" x14ac:dyDescent="0.15">
      <c r="A696" s="62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</row>
    <row r="697" spans="1:21" ht="13" x14ac:dyDescent="0.15">
      <c r="A697" s="62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</row>
    <row r="698" spans="1:21" ht="13" x14ac:dyDescent="0.15">
      <c r="A698" s="62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</row>
    <row r="699" spans="1:21" ht="13" x14ac:dyDescent="0.15">
      <c r="A699" s="62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</row>
    <row r="700" spans="1:21" ht="13" x14ac:dyDescent="0.15">
      <c r="A700" s="62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</row>
    <row r="701" spans="1:21" ht="13" x14ac:dyDescent="0.15">
      <c r="A701" s="62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</row>
    <row r="702" spans="1:21" ht="13" x14ac:dyDescent="0.15">
      <c r="A702" s="62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</row>
    <row r="703" spans="1:21" ht="13" x14ac:dyDescent="0.15">
      <c r="A703" s="62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</row>
    <row r="704" spans="1:21" ht="13" x14ac:dyDescent="0.15">
      <c r="A704" s="62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</row>
    <row r="705" spans="1:21" ht="13" x14ac:dyDescent="0.15">
      <c r="A705" s="62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</row>
    <row r="706" spans="1:21" ht="13" x14ac:dyDescent="0.15">
      <c r="A706" s="62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</row>
    <row r="707" spans="1:21" ht="13" x14ac:dyDescent="0.15">
      <c r="A707" s="62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</row>
    <row r="708" spans="1:21" ht="13" x14ac:dyDescent="0.15">
      <c r="A708" s="62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</row>
    <row r="709" spans="1:21" ht="13" x14ac:dyDescent="0.15">
      <c r="A709" s="62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</row>
    <row r="710" spans="1:21" ht="13" x14ac:dyDescent="0.15">
      <c r="A710" s="62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</row>
    <row r="711" spans="1:21" ht="13" x14ac:dyDescent="0.15">
      <c r="A711" s="62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</row>
    <row r="712" spans="1:21" ht="13" x14ac:dyDescent="0.15">
      <c r="A712" s="62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</row>
    <row r="713" spans="1:21" ht="13" x14ac:dyDescent="0.15">
      <c r="A713" s="62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</row>
    <row r="714" spans="1:21" ht="13" x14ac:dyDescent="0.15">
      <c r="A714" s="62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</row>
    <row r="715" spans="1:21" ht="13" x14ac:dyDescent="0.15">
      <c r="A715" s="62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</row>
    <row r="716" spans="1:21" ht="13" x14ac:dyDescent="0.15">
      <c r="A716" s="62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</row>
    <row r="717" spans="1:21" ht="13" x14ac:dyDescent="0.15">
      <c r="A717" s="62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</row>
    <row r="718" spans="1:21" ht="13" x14ac:dyDescent="0.15">
      <c r="A718" s="62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</row>
    <row r="719" spans="1:21" ht="13" x14ac:dyDescent="0.15">
      <c r="A719" s="62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</row>
    <row r="720" spans="1:21" ht="13" x14ac:dyDescent="0.15">
      <c r="A720" s="62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</row>
    <row r="721" spans="1:21" ht="13" x14ac:dyDescent="0.15">
      <c r="A721" s="62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</row>
    <row r="722" spans="1:21" ht="13" x14ac:dyDescent="0.15">
      <c r="A722" s="62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</row>
    <row r="723" spans="1:21" ht="13" x14ac:dyDescent="0.15">
      <c r="A723" s="62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</row>
    <row r="724" spans="1:21" ht="13" x14ac:dyDescent="0.15">
      <c r="A724" s="62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</row>
    <row r="725" spans="1:21" ht="13" x14ac:dyDescent="0.15">
      <c r="A725" s="62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</row>
    <row r="726" spans="1:21" ht="13" x14ac:dyDescent="0.15">
      <c r="A726" s="62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</row>
    <row r="727" spans="1:21" ht="13" x14ac:dyDescent="0.15">
      <c r="A727" s="62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</row>
    <row r="728" spans="1:21" ht="13" x14ac:dyDescent="0.15">
      <c r="A728" s="62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</row>
    <row r="729" spans="1:21" ht="13" x14ac:dyDescent="0.15">
      <c r="A729" s="62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</row>
    <row r="730" spans="1:21" ht="13" x14ac:dyDescent="0.15">
      <c r="A730" s="62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</row>
    <row r="731" spans="1:21" ht="13" x14ac:dyDescent="0.15">
      <c r="A731" s="62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</row>
    <row r="732" spans="1:21" ht="13" x14ac:dyDescent="0.15">
      <c r="A732" s="62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</row>
    <row r="733" spans="1:21" ht="13" x14ac:dyDescent="0.15">
      <c r="A733" s="62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</row>
    <row r="734" spans="1:21" ht="13" x14ac:dyDescent="0.15">
      <c r="A734" s="62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</row>
    <row r="735" spans="1:21" ht="13" x14ac:dyDescent="0.15">
      <c r="A735" s="62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</row>
    <row r="736" spans="1:21" ht="13" x14ac:dyDescent="0.15">
      <c r="A736" s="62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</row>
    <row r="737" spans="1:21" ht="13" x14ac:dyDescent="0.15">
      <c r="A737" s="62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</row>
    <row r="738" spans="1:21" ht="13" x14ac:dyDescent="0.15">
      <c r="A738" s="62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</row>
    <row r="739" spans="1:21" ht="13" x14ac:dyDescent="0.15">
      <c r="A739" s="62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</row>
    <row r="740" spans="1:21" ht="13" x14ac:dyDescent="0.15">
      <c r="A740" s="62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</row>
    <row r="741" spans="1:21" ht="13" x14ac:dyDescent="0.15">
      <c r="A741" s="62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</row>
    <row r="742" spans="1:21" ht="13" x14ac:dyDescent="0.15">
      <c r="A742" s="62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</row>
    <row r="743" spans="1:21" ht="13" x14ac:dyDescent="0.15">
      <c r="A743" s="62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</row>
    <row r="744" spans="1:21" ht="13" x14ac:dyDescent="0.15">
      <c r="A744" s="62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</row>
    <row r="745" spans="1:21" ht="13" x14ac:dyDescent="0.15">
      <c r="A745" s="62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</row>
    <row r="746" spans="1:21" ht="13" x14ac:dyDescent="0.15">
      <c r="A746" s="62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</row>
    <row r="747" spans="1:21" ht="13" x14ac:dyDescent="0.15">
      <c r="A747" s="62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</row>
    <row r="748" spans="1:21" ht="13" x14ac:dyDescent="0.15">
      <c r="A748" s="62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</row>
    <row r="749" spans="1:21" ht="13" x14ac:dyDescent="0.15">
      <c r="A749" s="62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</row>
    <row r="750" spans="1:21" ht="13" x14ac:dyDescent="0.15">
      <c r="A750" s="62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</row>
    <row r="751" spans="1:21" ht="13" x14ac:dyDescent="0.15">
      <c r="A751" s="62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</row>
    <row r="752" spans="1:21" ht="13" x14ac:dyDescent="0.15">
      <c r="A752" s="62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</row>
    <row r="753" spans="1:21" ht="13" x14ac:dyDescent="0.15">
      <c r="A753" s="62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</row>
    <row r="754" spans="1:21" ht="13" x14ac:dyDescent="0.15">
      <c r="A754" s="62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</row>
    <row r="755" spans="1:21" ht="13" x14ac:dyDescent="0.15">
      <c r="A755" s="62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</row>
    <row r="756" spans="1:21" ht="13" x14ac:dyDescent="0.15">
      <c r="A756" s="62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</row>
    <row r="757" spans="1:21" ht="13" x14ac:dyDescent="0.15">
      <c r="A757" s="62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</row>
    <row r="758" spans="1:21" ht="13" x14ac:dyDescent="0.15">
      <c r="A758" s="62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</row>
    <row r="759" spans="1:21" ht="13" x14ac:dyDescent="0.15">
      <c r="A759" s="62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</row>
    <row r="760" spans="1:21" ht="13" x14ac:dyDescent="0.15">
      <c r="A760" s="62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</row>
    <row r="761" spans="1:21" ht="13" x14ac:dyDescent="0.15">
      <c r="A761" s="62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</row>
    <row r="762" spans="1:21" ht="13" x14ac:dyDescent="0.15">
      <c r="A762" s="62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</row>
    <row r="763" spans="1:21" ht="13" x14ac:dyDescent="0.15">
      <c r="A763" s="62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</row>
    <row r="764" spans="1:21" ht="13" x14ac:dyDescent="0.15">
      <c r="A764" s="62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</row>
    <row r="765" spans="1:21" ht="13" x14ac:dyDescent="0.15">
      <c r="A765" s="62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</row>
    <row r="766" spans="1:21" ht="13" x14ac:dyDescent="0.15">
      <c r="A766" s="62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</row>
    <row r="767" spans="1:21" ht="13" x14ac:dyDescent="0.15">
      <c r="A767" s="62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</row>
    <row r="768" spans="1:21" ht="13" x14ac:dyDescent="0.15">
      <c r="A768" s="62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</row>
    <row r="769" spans="1:21" ht="13" x14ac:dyDescent="0.15">
      <c r="A769" s="62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</row>
    <row r="770" spans="1:21" ht="13" x14ac:dyDescent="0.15">
      <c r="A770" s="62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</row>
    <row r="771" spans="1:21" ht="13" x14ac:dyDescent="0.15">
      <c r="A771" s="62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</row>
    <row r="772" spans="1:21" ht="13" x14ac:dyDescent="0.15">
      <c r="A772" s="62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</row>
    <row r="773" spans="1:21" ht="13" x14ac:dyDescent="0.15">
      <c r="A773" s="62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</row>
    <row r="774" spans="1:21" ht="13" x14ac:dyDescent="0.15">
      <c r="A774" s="62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</row>
    <row r="775" spans="1:21" ht="13" x14ac:dyDescent="0.15">
      <c r="A775" s="62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</row>
    <row r="776" spans="1:21" ht="13" x14ac:dyDescent="0.15">
      <c r="A776" s="62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</row>
    <row r="777" spans="1:21" ht="13" x14ac:dyDescent="0.15">
      <c r="A777" s="62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</row>
    <row r="778" spans="1:21" ht="13" x14ac:dyDescent="0.15">
      <c r="A778" s="62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</row>
    <row r="779" spans="1:21" ht="13" x14ac:dyDescent="0.15">
      <c r="A779" s="62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</row>
    <row r="780" spans="1:21" ht="13" x14ac:dyDescent="0.15">
      <c r="A780" s="62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</row>
    <row r="781" spans="1:21" ht="13" x14ac:dyDescent="0.15">
      <c r="A781" s="62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</row>
    <row r="782" spans="1:21" ht="13" x14ac:dyDescent="0.15">
      <c r="A782" s="62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</row>
    <row r="783" spans="1:21" ht="13" x14ac:dyDescent="0.15">
      <c r="A783" s="62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</row>
    <row r="784" spans="1:21" ht="13" x14ac:dyDescent="0.15">
      <c r="A784" s="62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</row>
    <row r="785" spans="1:21" ht="13" x14ac:dyDescent="0.15">
      <c r="A785" s="62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</row>
    <row r="786" spans="1:21" ht="13" x14ac:dyDescent="0.15">
      <c r="A786" s="62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</row>
    <row r="787" spans="1:21" ht="13" x14ac:dyDescent="0.15">
      <c r="A787" s="62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</row>
    <row r="788" spans="1:21" ht="13" x14ac:dyDescent="0.15">
      <c r="A788" s="62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</row>
    <row r="789" spans="1:21" ht="13" x14ac:dyDescent="0.15">
      <c r="A789" s="62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</row>
    <row r="790" spans="1:21" ht="13" x14ac:dyDescent="0.15">
      <c r="A790" s="62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</row>
    <row r="791" spans="1:21" ht="13" x14ac:dyDescent="0.15">
      <c r="A791" s="62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</row>
    <row r="792" spans="1:21" ht="13" x14ac:dyDescent="0.15">
      <c r="A792" s="62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</row>
    <row r="793" spans="1:21" ht="13" x14ac:dyDescent="0.15">
      <c r="A793" s="62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</row>
    <row r="794" spans="1:21" ht="13" x14ac:dyDescent="0.15">
      <c r="A794" s="62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</row>
    <row r="795" spans="1:21" ht="13" x14ac:dyDescent="0.15">
      <c r="A795" s="62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</row>
    <row r="796" spans="1:21" ht="13" x14ac:dyDescent="0.15">
      <c r="A796" s="62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</row>
    <row r="797" spans="1:21" ht="13" x14ac:dyDescent="0.15">
      <c r="A797" s="62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</row>
    <row r="798" spans="1:21" ht="13" x14ac:dyDescent="0.15">
      <c r="A798" s="62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</row>
    <row r="799" spans="1:21" ht="13" x14ac:dyDescent="0.15">
      <c r="A799" s="62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</row>
    <row r="800" spans="1:21" ht="13" x14ac:dyDescent="0.15">
      <c r="A800" s="62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</row>
    <row r="801" spans="1:21" ht="13" x14ac:dyDescent="0.15">
      <c r="A801" s="62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</row>
    <row r="802" spans="1:21" ht="13" x14ac:dyDescent="0.15">
      <c r="A802" s="62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</row>
    <row r="803" spans="1:21" ht="13" x14ac:dyDescent="0.15">
      <c r="A803" s="62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</row>
    <row r="804" spans="1:21" ht="13" x14ac:dyDescent="0.15">
      <c r="A804" s="62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</row>
    <row r="805" spans="1:21" ht="13" x14ac:dyDescent="0.15">
      <c r="A805" s="62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</row>
    <row r="806" spans="1:21" ht="13" x14ac:dyDescent="0.15">
      <c r="A806" s="62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</row>
    <row r="807" spans="1:21" ht="13" x14ac:dyDescent="0.15">
      <c r="A807" s="62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</row>
    <row r="808" spans="1:21" ht="13" x14ac:dyDescent="0.15">
      <c r="A808" s="62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</row>
    <row r="809" spans="1:21" ht="13" x14ac:dyDescent="0.15">
      <c r="A809" s="62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</row>
    <row r="810" spans="1:21" ht="13" x14ac:dyDescent="0.15">
      <c r="A810" s="62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</row>
    <row r="811" spans="1:21" ht="13" x14ac:dyDescent="0.15">
      <c r="A811" s="62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</row>
    <row r="812" spans="1:21" ht="13" x14ac:dyDescent="0.15">
      <c r="A812" s="62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</row>
    <row r="813" spans="1:21" ht="13" x14ac:dyDescent="0.15">
      <c r="A813" s="62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</row>
    <row r="814" spans="1:21" ht="13" x14ac:dyDescent="0.15">
      <c r="A814" s="62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</row>
    <row r="815" spans="1:21" ht="13" x14ac:dyDescent="0.15">
      <c r="A815" s="62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</row>
    <row r="816" spans="1:21" ht="13" x14ac:dyDescent="0.15">
      <c r="A816" s="62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</row>
    <row r="817" spans="1:21" ht="13" x14ac:dyDescent="0.15">
      <c r="A817" s="62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</row>
    <row r="818" spans="1:21" ht="13" x14ac:dyDescent="0.15">
      <c r="A818" s="62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</row>
    <row r="819" spans="1:21" ht="13" x14ac:dyDescent="0.15">
      <c r="A819" s="62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</row>
    <row r="820" spans="1:21" ht="13" x14ac:dyDescent="0.15">
      <c r="A820" s="62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</row>
    <row r="821" spans="1:21" ht="13" x14ac:dyDescent="0.15">
      <c r="A821" s="62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</row>
    <row r="822" spans="1:21" ht="13" x14ac:dyDescent="0.15">
      <c r="A822" s="62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</row>
    <row r="823" spans="1:21" ht="13" x14ac:dyDescent="0.15">
      <c r="A823" s="62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</row>
    <row r="824" spans="1:21" ht="13" x14ac:dyDescent="0.15">
      <c r="A824" s="62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</row>
    <row r="825" spans="1:21" ht="13" x14ac:dyDescent="0.15">
      <c r="A825" s="62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</row>
    <row r="826" spans="1:21" ht="13" x14ac:dyDescent="0.15">
      <c r="A826" s="62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</row>
    <row r="827" spans="1:21" ht="13" x14ac:dyDescent="0.15">
      <c r="A827" s="62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</row>
    <row r="828" spans="1:21" ht="13" x14ac:dyDescent="0.15">
      <c r="A828" s="62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</row>
    <row r="829" spans="1:21" ht="13" x14ac:dyDescent="0.15">
      <c r="A829" s="62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</row>
    <row r="830" spans="1:21" ht="13" x14ac:dyDescent="0.15">
      <c r="A830" s="62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</row>
    <row r="831" spans="1:21" ht="13" x14ac:dyDescent="0.15">
      <c r="A831" s="62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</row>
    <row r="832" spans="1:21" ht="13" x14ac:dyDescent="0.15">
      <c r="A832" s="62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</row>
    <row r="833" spans="1:21" ht="13" x14ac:dyDescent="0.15">
      <c r="A833" s="62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</row>
    <row r="834" spans="1:21" ht="13" x14ac:dyDescent="0.15">
      <c r="A834" s="62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</row>
    <row r="835" spans="1:21" ht="13" x14ac:dyDescent="0.15">
      <c r="A835" s="62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</row>
    <row r="836" spans="1:21" ht="13" x14ac:dyDescent="0.15">
      <c r="A836" s="62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</row>
    <row r="837" spans="1:21" ht="13" x14ac:dyDescent="0.15">
      <c r="A837" s="62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</row>
    <row r="838" spans="1:21" ht="13" x14ac:dyDescent="0.15">
      <c r="A838" s="62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</row>
    <row r="839" spans="1:21" ht="13" x14ac:dyDescent="0.15">
      <c r="A839" s="62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</row>
    <row r="840" spans="1:21" ht="13" x14ac:dyDescent="0.15">
      <c r="A840" s="62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</row>
    <row r="841" spans="1:21" ht="13" x14ac:dyDescent="0.15">
      <c r="A841" s="62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</row>
    <row r="842" spans="1:21" ht="13" x14ac:dyDescent="0.15">
      <c r="A842" s="62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</row>
    <row r="843" spans="1:21" ht="13" x14ac:dyDescent="0.15">
      <c r="A843" s="62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</row>
    <row r="844" spans="1:21" ht="13" x14ac:dyDescent="0.15">
      <c r="A844" s="62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</row>
    <row r="845" spans="1:21" ht="13" x14ac:dyDescent="0.15">
      <c r="A845" s="62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</row>
    <row r="846" spans="1:21" ht="13" x14ac:dyDescent="0.15">
      <c r="A846" s="62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</row>
    <row r="847" spans="1:21" ht="13" x14ac:dyDescent="0.15">
      <c r="A847" s="62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</row>
    <row r="848" spans="1:21" ht="13" x14ac:dyDescent="0.15">
      <c r="A848" s="62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</row>
    <row r="849" spans="1:21" ht="13" x14ac:dyDescent="0.15">
      <c r="A849" s="62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</row>
    <row r="850" spans="1:21" ht="13" x14ac:dyDescent="0.15">
      <c r="A850" s="62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</row>
    <row r="851" spans="1:21" ht="13" x14ac:dyDescent="0.15">
      <c r="A851" s="62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</row>
    <row r="852" spans="1:21" ht="13" x14ac:dyDescent="0.15">
      <c r="A852" s="62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</row>
    <row r="853" spans="1:21" ht="13" x14ac:dyDescent="0.15">
      <c r="A853" s="62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</row>
    <row r="854" spans="1:21" ht="13" x14ac:dyDescent="0.15">
      <c r="A854" s="62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</row>
    <row r="855" spans="1:21" ht="13" x14ac:dyDescent="0.15">
      <c r="A855" s="62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</row>
    <row r="856" spans="1:21" ht="13" x14ac:dyDescent="0.15">
      <c r="A856" s="62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</row>
    <row r="857" spans="1:21" ht="13" x14ac:dyDescent="0.15">
      <c r="A857" s="62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</row>
    <row r="858" spans="1:21" ht="13" x14ac:dyDescent="0.15">
      <c r="A858" s="62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</row>
    <row r="859" spans="1:21" ht="13" x14ac:dyDescent="0.15">
      <c r="A859" s="62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</row>
    <row r="860" spans="1:21" ht="13" x14ac:dyDescent="0.15">
      <c r="A860" s="62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</row>
    <row r="861" spans="1:21" ht="13" x14ac:dyDescent="0.15">
      <c r="A861" s="62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</row>
    <row r="862" spans="1:21" ht="13" x14ac:dyDescent="0.15">
      <c r="A862" s="62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</row>
    <row r="863" spans="1:21" ht="13" x14ac:dyDescent="0.15">
      <c r="A863" s="62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</row>
    <row r="864" spans="1:21" ht="13" x14ac:dyDescent="0.15">
      <c r="A864" s="62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</row>
    <row r="865" spans="1:21" ht="13" x14ac:dyDescent="0.15">
      <c r="A865" s="62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</row>
    <row r="866" spans="1:21" ht="13" x14ac:dyDescent="0.15">
      <c r="A866" s="62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</row>
    <row r="867" spans="1:21" ht="13" x14ac:dyDescent="0.15">
      <c r="A867" s="62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</row>
    <row r="868" spans="1:21" ht="13" x14ac:dyDescent="0.15">
      <c r="A868" s="62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</row>
    <row r="869" spans="1:21" ht="13" x14ac:dyDescent="0.15">
      <c r="A869" s="62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</row>
    <row r="870" spans="1:21" ht="13" x14ac:dyDescent="0.15">
      <c r="A870" s="62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</row>
    <row r="871" spans="1:21" ht="13" x14ac:dyDescent="0.15">
      <c r="A871" s="62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</row>
    <row r="872" spans="1:21" ht="13" x14ac:dyDescent="0.15">
      <c r="A872" s="62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</row>
    <row r="873" spans="1:21" ht="13" x14ac:dyDescent="0.15">
      <c r="A873" s="62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</row>
    <row r="874" spans="1:21" ht="13" x14ac:dyDescent="0.15">
      <c r="A874" s="62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</row>
    <row r="875" spans="1:21" ht="13" x14ac:dyDescent="0.15">
      <c r="A875" s="62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</row>
    <row r="876" spans="1:21" ht="13" x14ac:dyDescent="0.15">
      <c r="A876" s="62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</row>
    <row r="877" spans="1:21" ht="13" x14ac:dyDescent="0.15">
      <c r="A877" s="62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</row>
    <row r="878" spans="1:21" ht="13" x14ac:dyDescent="0.15">
      <c r="A878" s="62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</row>
    <row r="879" spans="1:21" ht="13" x14ac:dyDescent="0.15">
      <c r="A879" s="62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</row>
    <row r="880" spans="1:21" ht="13" x14ac:dyDescent="0.15">
      <c r="A880" s="62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</row>
    <row r="881" spans="1:21" ht="13" x14ac:dyDescent="0.15">
      <c r="A881" s="62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</row>
    <row r="882" spans="1:21" ht="13" x14ac:dyDescent="0.15">
      <c r="A882" s="62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</row>
    <row r="883" spans="1:21" ht="13" x14ac:dyDescent="0.15">
      <c r="A883" s="62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</row>
    <row r="884" spans="1:21" ht="13" x14ac:dyDescent="0.15">
      <c r="A884" s="62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</row>
    <row r="885" spans="1:21" ht="13" x14ac:dyDescent="0.15">
      <c r="A885" s="62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</row>
    <row r="886" spans="1:21" ht="13" x14ac:dyDescent="0.15">
      <c r="A886" s="62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</row>
    <row r="887" spans="1:21" ht="13" x14ac:dyDescent="0.15">
      <c r="A887" s="62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</row>
    <row r="888" spans="1:21" ht="13" x14ac:dyDescent="0.15">
      <c r="A888" s="62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</row>
    <row r="889" spans="1:21" ht="13" x14ac:dyDescent="0.15">
      <c r="A889" s="62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</row>
    <row r="890" spans="1:21" ht="13" x14ac:dyDescent="0.15">
      <c r="A890" s="62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</row>
    <row r="891" spans="1:21" ht="13" x14ac:dyDescent="0.15">
      <c r="A891" s="62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</row>
    <row r="892" spans="1:21" ht="13" x14ac:dyDescent="0.15">
      <c r="A892" s="62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</row>
    <row r="893" spans="1:21" ht="13" x14ac:dyDescent="0.15">
      <c r="A893" s="62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</row>
    <row r="894" spans="1:21" ht="13" x14ac:dyDescent="0.15">
      <c r="A894" s="62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</row>
    <row r="895" spans="1:21" ht="13" x14ac:dyDescent="0.15">
      <c r="A895" s="62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</row>
    <row r="896" spans="1:21" ht="13" x14ac:dyDescent="0.15">
      <c r="A896" s="62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</row>
    <row r="897" spans="1:21" ht="13" x14ac:dyDescent="0.15">
      <c r="A897" s="62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</row>
    <row r="898" spans="1:21" ht="13" x14ac:dyDescent="0.15">
      <c r="A898" s="62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</row>
    <row r="899" spans="1:21" ht="13" x14ac:dyDescent="0.15">
      <c r="A899" s="62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</row>
    <row r="900" spans="1:21" ht="13" x14ac:dyDescent="0.15">
      <c r="A900" s="62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</row>
    <row r="901" spans="1:21" ht="13" x14ac:dyDescent="0.15">
      <c r="A901" s="62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</row>
    <row r="902" spans="1:21" ht="13" x14ac:dyDescent="0.15">
      <c r="A902" s="62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</row>
    <row r="903" spans="1:21" ht="13" x14ac:dyDescent="0.15">
      <c r="A903" s="62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</row>
    <row r="904" spans="1:21" ht="13" x14ac:dyDescent="0.15">
      <c r="A904" s="62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</row>
    <row r="905" spans="1:21" ht="13" x14ac:dyDescent="0.15">
      <c r="A905" s="62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</row>
    <row r="906" spans="1:21" ht="13" x14ac:dyDescent="0.15">
      <c r="A906" s="62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</row>
    <row r="907" spans="1:21" ht="13" x14ac:dyDescent="0.15">
      <c r="A907" s="62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</row>
    <row r="908" spans="1:21" ht="13" x14ac:dyDescent="0.15">
      <c r="A908" s="62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</row>
    <row r="909" spans="1:21" ht="13" x14ac:dyDescent="0.15">
      <c r="A909" s="62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</row>
    <row r="910" spans="1:21" ht="13" x14ac:dyDescent="0.15">
      <c r="A910" s="62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</row>
    <row r="911" spans="1:21" ht="13" x14ac:dyDescent="0.15">
      <c r="A911" s="62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</row>
    <row r="912" spans="1:21" ht="13" x14ac:dyDescent="0.15">
      <c r="A912" s="62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</row>
    <row r="913" spans="1:21" ht="13" x14ac:dyDescent="0.15">
      <c r="A913" s="62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</row>
    <row r="914" spans="1:21" ht="13" x14ac:dyDescent="0.15">
      <c r="A914" s="62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</row>
    <row r="915" spans="1:21" ht="13" x14ac:dyDescent="0.15">
      <c r="A915" s="62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</row>
    <row r="916" spans="1:21" ht="13" x14ac:dyDescent="0.15">
      <c r="A916" s="62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</row>
    <row r="917" spans="1:21" ht="13" x14ac:dyDescent="0.15">
      <c r="A917" s="62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</row>
    <row r="918" spans="1:21" ht="13" x14ac:dyDescent="0.15">
      <c r="A918" s="62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</row>
    <row r="919" spans="1:21" ht="13" x14ac:dyDescent="0.15">
      <c r="A919" s="62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</row>
    <row r="920" spans="1:21" ht="13" x14ac:dyDescent="0.15">
      <c r="A920" s="62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</row>
    <row r="921" spans="1:21" ht="13" x14ac:dyDescent="0.15">
      <c r="A921" s="62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</row>
    <row r="922" spans="1:21" ht="13" x14ac:dyDescent="0.15">
      <c r="A922" s="62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</row>
    <row r="923" spans="1:21" ht="13" x14ac:dyDescent="0.15">
      <c r="A923" s="62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</row>
    <row r="924" spans="1:21" ht="13" x14ac:dyDescent="0.15">
      <c r="A924" s="62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</row>
    <row r="925" spans="1:21" ht="13" x14ac:dyDescent="0.15">
      <c r="A925" s="62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</row>
    <row r="926" spans="1:21" ht="13" x14ac:dyDescent="0.15">
      <c r="A926" s="62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</row>
    <row r="927" spans="1:21" ht="13" x14ac:dyDescent="0.15">
      <c r="A927" s="62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</row>
    <row r="928" spans="1:21" ht="13" x14ac:dyDescent="0.15">
      <c r="A928" s="62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</row>
    <row r="929" spans="1:21" ht="13" x14ac:dyDescent="0.15">
      <c r="A929" s="62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</row>
    <row r="930" spans="1:21" ht="13" x14ac:dyDescent="0.15">
      <c r="A930" s="62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</row>
    <row r="931" spans="1:21" ht="13" x14ac:dyDescent="0.15">
      <c r="A931" s="62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</row>
    <row r="932" spans="1:21" ht="13" x14ac:dyDescent="0.15">
      <c r="A932" s="62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</row>
    <row r="933" spans="1:21" ht="13" x14ac:dyDescent="0.15">
      <c r="A933" s="62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</row>
    <row r="934" spans="1:21" ht="13" x14ac:dyDescent="0.15">
      <c r="A934" s="62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</row>
    <row r="935" spans="1:21" ht="13" x14ac:dyDescent="0.15">
      <c r="A935" s="62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</row>
    <row r="936" spans="1:21" ht="13" x14ac:dyDescent="0.15">
      <c r="A936" s="62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</row>
    <row r="937" spans="1:21" ht="13" x14ac:dyDescent="0.15">
      <c r="A937" s="62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</row>
    <row r="938" spans="1:21" ht="13" x14ac:dyDescent="0.15">
      <c r="A938" s="62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</row>
    <row r="939" spans="1:21" ht="13" x14ac:dyDescent="0.15">
      <c r="A939" s="62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</row>
    <row r="940" spans="1:21" ht="13" x14ac:dyDescent="0.15">
      <c r="A940" s="62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</row>
    <row r="941" spans="1:21" ht="13" x14ac:dyDescent="0.15">
      <c r="A941" s="62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</row>
    <row r="942" spans="1:21" ht="13" x14ac:dyDescent="0.15">
      <c r="A942" s="62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</row>
    <row r="943" spans="1:21" ht="13" x14ac:dyDescent="0.15">
      <c r="A943" s="62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</row>
    <row r="944" spans="1:21" ht="13" x14ac:dyDescent="0.15">
      <c r="A944" s="62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</row>
    <row r="945" spans="1:21" ht="13" x14ac:dyDescent="0.15">
      <c r="A945" s="62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</row>
    <row r="946" spans="1:21" ht="13" x14ac:dyDescent="0.15">
      <c r="A946" s="62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</row>
    <row r="947" spans="1:21" ht="13" x14ac:dyDescent="0.15">
      <c r="A947" s="62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</row>
    <row r="948" spans="1:21" ht="13" x14ac:dyDescent="0.15">
      <c r="A948" s="62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</row>
    <row r="949" spans="1:21" ht="13" x14ac:dyDescent="0.15">
      <c r="A949" s="62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</row>
    <row r="950" spans="1:21" ht="13" x14ac:dyDescent="0.15">
      <c r="A950" s="62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</row>
    <row r="951" spans="1:21" ht="13" x14ac:dyDescent="0.15">
      <c r="A951" s="62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</row>
    <row r="952" spans="1:21" ht="13" x14ac:dyDescent="0.15">
      <c r="A952" s="62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</row>
    <row r="953" spans="1:21" ht="13" x14ac:dyDescent="0.15">
      <c r="A953" s="62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</row>
    <row r="954" spans="1:21" ht="13" x14ac:dyDescent="0.15">
      <c r="A954" s="62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</row>
    <row r="955" spans="1:21" ht="13" x14ac:dyDescent="0.15">
      <c r="A955" s="62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</row>
    <row r="956" spans="1:21" ht="13" x14ac:dyDescent="0.15">
      <c r="A956" s="62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</row>
    <row r="957" spans="1:21" ht="13" x14ac:dyDescent="0.15">
      <c r="A957" s="62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</row>
    <row r="958" spans="1:21" ht="13" x14ac:dyDescent="0.15">
      <c r="A958" s="62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</row>
    <row r="959" spans="1:21" ht="13" x14ac:dyDescent="0.15">
      <c r="A959" s="62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</row>
    <row r="960" spans="1:21" ht="13" x14ac:dyDescent="0.15">
      <c r="A960" s="62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</row>
    <row r="961" spans="1:21" ht="13" x14ac:dyDescent="0.15">
      <c r="A961" s="62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</row>
    <row r="962" spans="1:21" ht="13" x14ac:dyDescent="0.15">
      <c r="A962" s="62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</row>
    <row r="963" spans="1:21" ht="13" x14ac:dyDescent="0.15">
      <c r="A963" s="62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</row>
    <row r="964" spans="1:21" ht="13" x14ac:dyDescent="0.15">
      <c r="A964" s="62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</row>
    <row r="965" spans="1:21" ht="13" x14ac:dyDescent="0.15">
      <c r="A965" s="62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</row>
    <row r="966" spans="1:21" ht="13" x14ac:dyDescent="0.15">
      <c r="A966" s="62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</row>
    <row r="967" spans="1:21" ht="13" x14ac:dyDescent="0.15">
      <c r="A967" s="62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</row>
    <row r="968" spans="1:21" ht="13" x14ac:dyDescent="0.15">
      <c r="A968" s="62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</row>
    <row r="969" spans="1:21" ht="13" x14ac:dyDescent="0.15">
      <c r="A969" s="62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</row>
    <row r="970" spans="1:21" ht="13" x14ac:dyDescent="0.15">
      <c r="A970" s="62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</row>
    <row r="971" spans="1:21" ht="13" x14ac:dyDescent="0.15">
      <c r="A971" s="62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</row>
    <row r="972" spans="1:21" ht="13" x14ac:dyDescent="0.15">
      <c r="A972" s="62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</row>
    <row r="973" spans="1:21" ht="13" x14ac:dyDescent="0.15">
      <c r="A973" s="62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</row>
    <row r="974" spans="1:21" ht="13" x14ac:dyDescent="0.15">
      <c r="A974" s="62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</row>
    <row r="975" spans="1:21" ht="13" x14ac:dyDescent="0.15">
      <c r="A975" s="62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</row>
    <row r="976" spans="1:21" ht="13" x14ac:dyDescent="0.15">
      <c r="A976" s="62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</row>
    <row r="977" spans="1:21" ht="13" x14ac:dyDescent="0.15">
      <c r="A977" s="62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</row>
    <row r="978" spans="1:21" ht="13" x14ac:dyDescent="0.15">
      <c r="A978" s="62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</row>
    <row r="979" spans="1:21" ht="13" x14ac:dyDescent="0.15">
      <c r="A979" s="62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</row>
    <row r="980" spans="1:21" ht="13" x14ac:dyDescent="0.15">
      <c r="A980" s="62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</row>
    <row r="981" spans="1:21" ht="13" x14ac:dyDescent="0.15">
      <c r="A981" s="62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</row>
    <row r="982" spans="1:21" ht="13" x14ac:dyDescent="0.15">
      <c r="A982" s="62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</row>
    <row r="983" spans="1:21" ht="13" x14ac:dyDescent="0.15">
      <c r="A983" s="62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</row>
    <row r="984" spans="1:21" ht="13" x14ac:dyDescent="0.15">
      <c r="A984" s="62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</row>
    <row r="985" spans="1:21" ht="13" x14ac:dyDescent="0.15">
      <c r="A985" s="62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</row>
    <row r="986" spans="1:21" ht="13" x14ac:dyDescent="0.15">
      <c r="A986" s="62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</row>
    <row r="987" spans="1:21" ht="13" x14ac:dyDescent="0.15">
      <c r="A987" s="62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</row>
    <row r="988" spans="1:21" ht="13" x14ac:dyDescent="0.15">
      <c r="A988" s="62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</row>
    <row r="989" spans="1:21" ht="13" x14ac:dyDescent="0.15">
      <c r="A989" s="62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</row>
    <row r="990" spans="1:21" ht="13" x14ac:dyDescent="0.15">
      <c r="A990" s="62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</row>
    <row r="991" spans="1:21" ht="13" x14ac:dyDescent="0.15">
      <c r="A991" s="62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</row>
    <row r="992" spans="1:21" ht="13" x14ac:dyDescent="0.15">
      <c r="A992" s="62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</row>
    <row r="993" spans="1:21" ht="13" x14ac:dyDescent="0.15">
      <c r="A993" s="62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</row>
    <row r="994" spans="1:21" ht="13" x14ac:dyDescent="0.15">
      <c r="A994" s="62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</row>
  </sheetData>
  <mergeCells count="1">
    <mergeCell ref="F1:U1"/>
  </mergeCells>
  <conditionalFormatting sqref="D3:E3">
    <cfRule type="containsText" dxfId="8" priority="1" operator="containsText" text="hosteller">
      <formula>NOT(ISERROR(SEARCH(("hosteller"),(D3))))</formula>
    </cfRule>
  </conditionalFormatting>
  <printOptions horizontalCentered="1" gridLines="1"/>
  <pageMargins left="0.7" right="0.7" top="0.75" bottom="0.75" header="0" footer="0"/>
  <pageSetup paperSize="9" pageOrder="overThenDown" orientation="landscape" cellComments="atEnd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F1001"/>
  <sheetViews>
    <sheetView workbookViewId="0"/>
  </sheetViews>
  <sheetFormatPr baseColWidth="10" defaultColWidth="12.6640625" defaultRowHeight="15.75" customHeight="1" x14ac:dyDescent="0.15"/>
  <cols>
    <col min="1" max="1" width="14.33203125" customWidth="1"/>
    <col min="2" max="2" width="20.5" customWidth="1"/>
    <col min="3" max="3" width="20.83203125" customWidth="1"/>
    <col min="4" max="4" width="10.1640625" customWidth="1"/>
    <col min="5" max="5" width="11.1640625" customWidth="1"/>
    <col min="6" max="6" width="7.1640625" customWidth="1"/>
    <col min="7" max="7" width="4.6640625" customWidth="1"/>
    <col min="8" max="8" width="4.83203125" customWidth="1"/>
    <col min="9" max="9" width="4.5" customWidth="1"/>
    <col min="10" max="10" width="6" customWidth="1"/>
    <col min="11" max="11" width="4.6640625" customWidth="1"/>
    <col min="12" max="12" width="4" customWidth="1"/>
    <col min="13" max="13" width="3.6640625" customWidth="1"/>
    <col min="14" max="14" width="5" customWidth="1"/>
    <col min="15" max="15" width="5.1640625" customWidth="1"/>
    <col min="16" max="16" width="4.1640625" customWidth="1"/>
    <col min="17" max="17" width="3" customWidth="1"/>
    <col min="18" max="18" width="4.6640625" customWidth="1"/>
    <col min="19" max="19" width="5.5" customWidth="1"/>
    <col min="20" max="20" width="4.6640625" customWidth="1"/>
    <col min="21" max="21" width="6.1640625" customWidth="1"/>
  </cols>
  <sheetData>
    <row r="1" spans="1:32" ht="15.75" customHeight="1" x14ac:dyDescent="0.15">
      <c r="A1" s="52" t="s">
        <v>574</v>
      </c>
      <c r="B1" s="52" t="s">
        <v>15</v>
      </c>
      <c r="C1" s="52" t="s">
        <v>22</v>
      </c>
      <c r="D1" s="63"/>
      <c r="E1" s="63" t="s">
        <v>567</v>
      </c>
      <c r="F1" s="100" t="s">
        <v>550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32" ht="15.75" customHeight="1" x14ac:dyDescent="0.15">
      <c r="A2" s="54">
        <f>COUNT(A4:A365)</f>
        <v>31</v>
      </c>
      <c r="B2" s="2">
        <f t="shared" ref="B2:C2" si="0">COUNTIF($E$4:$E$191,B1)</f>
        <v>17</v>
      </c>
      <c r="C2" s="2">
        <f t="shared" si="0"/>
        <v>14</v>
      </c>
      <c r="D2" s="64"/>
      <c r="E2" s="64">
        <f>SUM(F2:U2)</f>
        <v>733900</v>
      </c>
      <c r="F2" s="55">
        <f t="shared" ref="F2:H2" si="1">SUM(F$4:F$1001)</f>
        <v>52100</v>
      </c>
      <c r="G2" s="55">
        <f t="shared" si="1"/>
        <v>56500</v>
      </c>
      <c r="H2" s="55">
        <f t="shared" si="1"/>
        <v>67000</v>
      </c>
      <c r="I2" s="55">
        <f>SUM(I4:I34)</f>
        <v>4300</v>
      </c>
      <c r="J2" s="55">
        <f t="shared" ref="J2:U2" si="2">SUM(J$4:J$1001)</f>
        <v>67000</v>
      </c>
      <c r="K2" s="55">
        <f t="shared" si="2"/>
        <v>67000</v>
      </c>
      <c r="L2" s="55">
        <f t="shared" si="2"/>
        <v>67000</v>
      </c>
      <c r="M2" s="55">
        <f t="shared" si="2"/>
        <v>4200</v>
      </c>
      <c r="N2" s="55">
        <f t="shared" si="2"/>
        <v>60200</v>
      </c>
      <c r="O2" s="55">
        <f t="shared" si="2"/>
        <v>59600</v>
      </c>
      <c r="P2" s="55">
        <f t="shared" si="2"/>
        <v>55900</v>
      </c>
      <c r="Q2" s="55">
        <f t="shared" si="2"/>
        <v>3400</v>
      </c>
      <c r="R2" s="55">
        <f t="shared" si="2"/>
        <v>55500</v>
      </c>
      <c r="S2" s="55">
        <f t="shared" si="2"/>
        <v>55300</v>
      </c>
      <c r="T2" s="55">
        <f t="shared" si="2"/>
        <v>3600</v>
      </c>
      <c r="U2" s="55">
        <f t="shared" si="2"/>
        <v>55300</v>
      </c>
    </row>
    <row r="3" spans="1:32" ht="15.75" customHeight="1" x14ac:dyDescent="0.15">
      <c r="A3" s="56" t="s">
        <v>551</v>
      </c>
      <c r="B3" s="56" t="s">
        <v>3</v>
      </c>
      <c r="C3" s="56" t="s">
        <v>552</v>
      </c>
      <c r="D3" s="57" t="s">
        <v>568</v>
      </c>
      <c r="E3" s="56" t="s">
        <v>2</v>
      </c>
      <c r="F3" s="56" t="s">
        <v>557</v>
      </c>
      <c r="G3" s="56" t="s">
        <v>558</v>
      </c>
      <c r="H3" s="57" t="s">
        <v>559</v>
      </c>
      <c r="I3" s="57" t="s">
        <v>575</v>
      </c>
      <c r="J3" s="56" t="s">
        <v>560</v>
      </c>
      <c r="K3" s="56" t="s">
        <v>561</v>
      </c>
      <c r="L3" s="56" t="s">
        <v>562</v>
      </c>
      <c r="M3" s="57" t="s">
        <v>570</v>
      </c>
      <c r="N3" s="56" t="s">
        <v>563</v>
      </c>
      <c r="O3" s="56" t="s">
        <v>564</v>
      </c>
      <c r="P3" s="56" t="s">
        <v>565</v>
      </c>
      <c r="Q3" s="57" t="s">
        <v>570</v>
      </c>
      <c r="R3" s="56" t="s">
        <v>554</v>
      </c>
      <c r="S3" s="56" t="s">
        <v>555</v>
      </c>
      <c r="T3" s="57" t="s">
        <v>570</v>
      </c>
      <c r="U3" s="56" t="s">
        <v>556</v>
      </c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spans="1:32" ht="15.75" customHeight="1" x14ac:dyDescent="0.15">
      <c r="A4" s="58">
        <v>3</v>
      </c>
      <c r="B4" s="66" t="str">
        <f>IFERROR(VLOOKUP($A4,Admission!$1:$998,4,0),"")</f>
        <v>TANISHA NAJ</v>
      </c>
      <c r="C4" s="66" t="str">
        <f>IFERROR(VLOOKUP($A4,Admission!$1:$998,5,0),"")</f>
        <v>MD JARRAR HUSSAIN</v>
      </c>
      <c r="D4" s="66">
        <f>IFERROR(VLOOKUP($A4,Admission!$1:$998,10,0),"")</f>
        <v>7654919187</v>
      </c>
      <c r="E4" s="66" t="str">
        <f>IFERROR(VLOOKUP($A4,Admission!$1:$998,3,0),"")</f>
        <v>Day Scholar</v>
      </c>
      <c r="F4" s="25">
        <v>600</v>
      </c>
      <c r="G4" s="25">
        <v>600</v>
      </c>
      <c r="H4" s="25">
        <v>600</v>
      </c>
      <c r="I4" s="25"/>
      <c r="J4" s="25">
        <v>600</v>
      </c>
      <c r="K4" s="25">
        <v>600</v>
      </c>
      <c r="L4" s="25">
        <v>600</v>
      </c>
      <c r="M4" s="25"/>
      <c r="N4" s="25">
        <v>600</v>
      </c>
      <c r="O4" s="25" t="s">
        <v>313</v>
      </c>
      <c r="P4" s="25" t="s">
        <v>313</v>
      </c>
      <c r="Q4" s="25" t="s">
        <v>313</v>
      </c>
      <c r="R4" s="25" t="s">
        <v>313</v>
      </c>
      <c r="S4" s="25" t="s">
        <v>313</v>
      </c>
      <c r="T4" s="25" t="s">
        <v>313</v>
      </c>
      <c r="U4" s="25" t="s">
        <v>313</v>
      </c>
    </row>
    <row r="5" spans="1:32" ht="15.75" customHeight="1" x14ac:dyDescent="0.15">
      <c r="A5" s="70">
        <v>5</v>
      </c>
      <c r="B5" s="66" t="str">
        <f>IFERROR(VLOOKUP($A5,Admission!$1:$998,4,0),"")</f>
        <v>ARHAAN HAQUE</v>
      </c>
      <c r="C5" s="66" t="str">
        <f>IFERROR(VLOOKUP($A5,Admission!$1:$998,5,0),"")</f>
        <v>IZAJUL HAQUE</v>
      </c>
      <c r="D5" s="66">
        <f>IFERROR(VLOOKUP($A5,Admission!$1:$998,10,0),"")</f>
        <v>9507760994</v>
      </c>
      <c r="E5" s="66" t="str">
        <f>IFERROR(VLOOKUP($A5,Admission!$1:$998,3,0),"")</f>
        <v>Day Scholar</v>
      </c>
      <c r="F5" s="25">
        <v>600</v>
      </c>
      <c r="G5" s="25">
        <v>600</v>
      </c>
      <c r="H5" s="25">
        <v>600</v>
      </c>
      <c r="I5" s="25">
        <v>200</v>
      </c>
      <c r="J5" s="25">
        <v>600</v>
      </c>
      <c r="K5" s="25">
        <v>600</v>
      </c>
      <c r="L5" s="25">
        <v>600</v>
      </c>
      <c r="M5" s="25">
        <v>200</v>
      </c>
      <c r="N5" s="25">
        <v>600</v>
      </c>
      <c r="O5" s="25">
        <v>600</v>
      </c>
      <c r="P5" s="25">
        <v>600</v>
      </c>
      <c r="Q5" s="25"/>
      <c r="R5" s="25">
        <v>600</v>
      </c>
      <c r="S5" s="25" t="s">
        <v>313</v>
      </c>
      <c r="T5" s="25" t="s">
        <v>313</v>
      </c>
      <c r="U5" s="25" t="s">
        <v>313</v>
      </c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</row>
    <row r="6" spans="1:32" ht="15.75" customHeight="1" x14ac:dyDescent="0.15">
      <c r="A6" s="58">
        <v>7</v>
      </c>
      <c r="B6" s="66" t="str">
        <f>IFERROR(VLOOKUP($A6,Admission!$1:$998,4,0),"")</f>
        <v>PARWEJ ISLAM</v>
      </c>
      <c r="C6" s="66" t="str">
        <f>IFERROR(VLOOKUP($A6,Admission!$1:$998,5,0),"")</f>
        <v>RAFIKUL ISLAM</v>
      </c>
      <c r="D6" s="66">
        <f>IFERROR(VLOOKUP($A6,Admission!$1:$998,10,0),"")</f>
        <v>9142128216</v>
      </c>
      <c r="E6" s="66" t="str">
        <f>IFERROR(VLOOKUP($A6,Admission!$1:$998,3,0),"")</f>
        <v>Hosteller</v>
      </c>
      <c r="F6" s="25">
        <v>3700</v>
      </c>
      <c r="G6" s="25">
        <v>3700</v>
      </c>
      <c r="H6" s="25">
        <v>3700</v>
      </c>
      <c r="I6" s="25"/>
      <c r="J6" s="25">
        <v>3700</v>
      </c>
      <c r="K6" s="25">
        <v>3700</v>
      </c>
      <c r="L6" s="25">
        <v>3700</v>
      </c>
      <c r="M6" s="25"/>
      <c r="N6" s="25">
        <v>3700</v>
      </c>
      <c r="O6" s="25">
        <v>3700</v>
      </c>
      <c r="P6" s="25">
        <v>3700</v>
      </c>
      <c r="Q6" s="25"/>
      <c r="R6" s="25">
        <v>3700</v>
      </c>
      <c r="S6" s="25">
        <v>3700</v>
      </c>
      <c r="T6" s="25"/>
      <c r="U6" s="25">
        <v>3700</v>
      </c>
    </row>
    <row r="7" spans="1:32" ht="15.75" customHeight="1" x14ac:dyDescent="0.15">
      <c r="A7" s="58">
        <v>19</v>
      </c>
      <c r="B7" s="66" t="str">
        <f>IFERROR(VLOOKUP($A7,Admission!$1:$998,4,0),"")</f>
        <v>SIRAJ AHMAD</v>
      </c>
      <c r="C7" s="66" t="str">
        <f>IFERROR(VLOOKUP($A7,Admission!$1:$998,5,0),"")</f>
        <v>KHUSHIRUDDIN SHEKH</v>
      </c>
      <c r="D7" s="66">
        <f>IFERROR(VLOOKUP($A7,Admission!$1:$998,10,0),"")</f>
        <v>9386044411</v>
      </c>
      <c r="E7" s="66" t="str">
        <f>IFERROR(VLOOKUP($A7,Admission!$1:$998,3,0),"")</f>
        <v>Hosteller</v>
      </c>
      <c r="F7" s="25">
        <v>3700</v>
      </c>
      <c r="G7" s="25">
        <v>3700</v>
      </c>
      <c r="H7" s="25">
        <v>3700</v>
      </c>
      <c r="I7" s="25">
        <v>200</v>
      </c>
      <c r="J7" s="25">
        <v>3700</v>
      </c>
      <c r="K7" s="25">
        <v>3700</v>
      </c>
      <c r="L7" s="25">
        <v>3700</v>
      </c>
      <c r="M7" s="25">
        <v>200</v>
      </c>
      <c r="N7" s="25">
        <v>3700</v>
      </c>
      <c r="O7" s="25">
        <v>3700</v>
      </c>
      <c r="P7" s="25">
        <v>3700</v>
      </c>
      <c r="Q7" s="25">
        <v>200</v>
      </c>
      <c r="R7" s="25">
        <v>3700</v>
      </c>
      <c r="S7" s="25">
        <v>3700</v>
      </c>
      <c r="T7" s="25">
        <v>200</v>
      </c>
      <c r="U7" s="25">
        <v>3700</v>
      </c>
    </row>
    <row r="8" spans="1:32" ht="15.75" customHeight="1" x14ac:dyDescent="0.15">
      <c r="A8" s="58">
        <v>20</v>
      </c>
      <c r="B8" s="66" t="str">
        <f>IFERROR(VLOOKUP($A8,Admission!$1:$998,4,0),"")</f>
        <v>NUSRAT KHATUN</v>
      </c>
      <c r="C8" s="66" t="str">
        <f>IFERROR(VLOOKUP($A8,Admission!$1:$998,5,0),"")</f>
        <v>KALAM ANSARI</v>
      </c>
      <c r="D8" s="66">
        <f>IFERROR(VLOOKUP($A8,Admission!$1:$998,10,0),"")</f>
        <v>7667191848</v>
      </c>
      <c r="E8" s="66" t="str">
        <f>IFERROR(VLOOKUP($A8,Admission!$1:$998,3,0),"")</f>
        <v>Day Scholar</v>
      </c>
      <c r="F8" s="25">
        <v>600</v>
      </c>
      <c r="G8" s="25">
        <v>600</v>
      </c>
      <c r="H8" s="25">
        <v>600</v>
      </c>
      <c r="I8" s="25">
        <v>200</v>
      </c>
      <c r="J8" s="25">
        <v>600</v>
      </c>
      <c r="K8" s="25">
        <v>600</v>
      </c>
      <c r="L8" s="25">
        <v>600</v>
      </c>
      <c r="M8" s="25">
        <v>200</v>
      </c>
      <c r="N8" s="25">
        <v>600</v>
      </c>
      <c r="O8" s="25">
        <v>600</v>
      </c>
      <c r="P8" s="25">
        <v>600</v>
      </c>
      <c r="Q8" s="25">
        <v>200</v>
      </c>
      <c r="R8" s="25">
        <v>600</v>
      </c>
      <c r="S8" s="25">
        <v>600</v>
      </c>
      <c r="T8" s="25">
        <v>200</v>
      </c>
      <c r="U8" s="25">
        <v>600</v>
      </c>
    </row>
    <row r="9" spans="1:32" ht="15.75" customHeight="1" x14ac:dyDescent="0.15">
      <c r="A9" s="58">
        <v>24</v>
      </c>
      <c r="B9" s="66" t="str">
        <f>IFERROR(VLOOKUP($A9,Admission!$1:$998,4,0),"")</f>
        <v>AZIZA ASLAMI</v>
      </c>
      <c r="C9" s="66" t="str">
        <f>IFERROR(VLOOKUP($A9,Admission!$1:$998,5,0),"")</f>
        <v>ABDUL HAKIM</v>
      </c>
      <c r="D9" s="66">
        <f>IFERROR(VLOOKUP($A9,Admission!$1:$998,10,0),"")</f>
        <v>9631552396</v>
      </c>
      <c r="E9" s="66" t="str">
        <f>IFERROR(VLOOKUP($A9,Admission!$1:$998,3,0),"")</f>
        <v>Day Scholar</v>
      </c>
      <c r="F9" s="25">
        <v>600</v>
      </c>
      <c r="G9" s="25">
        <v>600</v>
      </c>
      <c r="H9" s="25">
        <v>600</v>
      </c>
      <c r="I9" s="25">
        <v>200</v>
      </c>
      <c r="J9" s="25">
        <v>600</v>
      </c>
      <c r="K9" s="25">
        <v>600</v>
      </c>
      <c r="L9" s="25">
        <v>600</v>
      </c>
      <c r="M9" s="25">
        <v>200</v>
      </c>
      <c r="N9" s="25">
        <v>600</v>
      </c>
      <c r="O9" s="25">
        <v>600</v>
      </c>
      <c r="P9" s="25">
        <v>600</v>
      </c>
      <c r="Q9" s="25">
        <v>200</v>
      </c>
      <c r="R9" s="25">
        <v>600</v>
      </c>
      <c r="S9" s="25">
        <v>600</v>
      </c>
      <c r="T9" s="25">
        <v>200</v>
      </c>
      <c r="U9" s="25">
        <v>600</v>
      </c>
    </row>
    <row r="10" spans="1:32" ht="15.75" customHeight="1" x14ac:dyDescent="0.15">
      <c r="A10" s="58">
        <v>30</v>
      </c>
      <c r="B10" s="66" t="str">
        <f>IFERROR(VLOOKUP($A10,Admission!$1:$998,4,0),"")</f>
        <v>MD REHAN</v>
      </c>
      <c r="C10" s="66" t="str">
        <f>IFERROR(VLOOKUP($A10,Admission!$1:$998,5,0),"")</f>
        <v>NASIUR RAHMAN</v>
      </c>
      <c r="D10" s="66">
        <f>IFERROR(VLOOKUP($A10,Admission!$1:$998,10,0),"")</f>
        <v>8969545954</v>
      </c>
      <c r="E10" s="66" t="str">
        <f>IFERROR(VLOOKUP($A10,Admission!$1:$998,3,0),"")</f>
        <v>Hosteller</v>
      </c>
      <c r="F10" s="25">
        <v>600</v>
      </c>
      <c r="G10" s="25">
        <v>600</v>
      </c>
      <c r="H10" s="25">
        <v>3700</v>
      </c>
      <c r="I10" s="25">
        <v>200</v>
      </c>
      <c r="J10" s="25">
        <v>3700</v>
      </c>
      <c r="K10" s="25">
        <v>3700</v>
      </c>
      <c r="L10" s="25">
        <v>3700</v>
      </c>
      <c r="M10" s="25">
        <v>200</v>
      </c>
      <c r="N10" s="25">
        <v>600</v>
      </c>
      <c r="O10" s="25">
        <v>600</v>
      </c>
      <c r="P10" s="25">
        <v>600</v>
      </c>
      <c r="Q10" s="25">
        <v>200</v>
      </c>
      <c r="R10" s="25">
        <v>600</v>
      </c>
      <c r="S10" s="25">
        <v>600</v>
      </c>
      <c r="T10" s="25">
        <v>200</v>
      </c>
      <c r="U10" s="25">
        <v>600</v>
      </c>
    </row>
    <row r="11" spans="1:32" ht="15.75" customHeight="1" x14ac:dyDescent="0.15">
      <c r="A11" s="58">
        <v>37</v>
      </c>
      <c r="B11" s="66" t="str">
        <f>IFERROR(VLOOKUP($A11,Admission!$1:$998,4,0),"")</f>
        <v>SHAH JISAN</v>
      </c>
      <c r="C11" s="66" t="str">
        <f>IFERROR(VLOOKUP($A11,Admission!$1:$998,5,0),"")</f>
        <v>RAFIK ALAM</v>
      </c>
      <c r="D11" s="66">
        <f>IFERROR(VLOOKUP($A11,Admission!$1:$998,10,0),"")</f>
        <v>9955943696</v>
      </c>
      <c r="E11" s="66" t="str">
        <f>IFERROR(VLOOKUP($A11,Admission!$1:$998,3,0),"")</f>
        <v>Day Scholar</v>
      </c>
      <c r="F11" s="25">
        <v>600</v>
      </c>
      <c r="G11" s="25">
        <v>600</v>
      </c>
      <c r="H11" s="25">
        <v>600</v>
      </c>
      <c r="I11" s="25">
        <v>200</v>
      </c>
      <c r="J11" s="25">
        <v>600</v>
      </c>
      <c r="K11" s="25">
        <v>600</v>
      </c>
      <c r="L11" s="25">
        <v>600</v>
      </c>
      <c r="M11" s="25">
        <v>200</v>
      </c>
      <c r="N11" s="25">
        <v>600</v>
      </c>
      <c r="O11" s="25">
        <v>600</v>
      </c>
      <c r="P11" s="25">
        <v>600</v>
      </c>
      <c r="Q11" s="25">
        <v>200</v>
      </c>
      <c r="R11" s="25">
        <v>600</v>
      </c>
      <c r="S11" s="25">
        <v>600</v>
      </c>
      <c r="T11" s="25">
        <v>200</v>
      </c>
      <c r="U11" s="25">
        <v>600</v>
      </c>
    </row>
    <row r="12" spans="1:32" ht="15.75" customHeight="1" x14ac:dyDescent="0.15">
      <c r="A12" s="58">
        <v>40</v>
      </c>
      <c r="B12" s="66" t="str">
        <f>IFERROR(VLOOKUP($A12,Admission!$1:$998,4,0),"")</f>
        <v>NIMAT PARVEEN</v>
      </c>
      <c r="C12" s="66" t="str">
        <f>IFERROR(VLOOKUP($A12,Admission!$1:$998,5,0),"")</f>
        <v>HAJIKUL ALAM</v>
      </c>
      <c r="D12" s="66">
        <f>IFERROR(VLOOKUP($A12,Admission!$1:$998,10,0),"")</f>
        <v>8084078810</v>
      </c>
      <c r="E12" s="66" t="str">
        <f>IFERROR(VLOOKUP($A12,Admission!$1:$998,3,0),"")</f>
        <v>Day Scholar</v>
      </c>
      <c r="F12" s="25">
        <v>600</v>
      </c>
      <c r="G12" s="25">
        <v>600</v>
      </c>
      <c r="H12" s="25">
        <v>600</v>
      </c>
      <c r="I12" s="25">
        <v>200</v>
      </c>
      <c r="J12" s="25">
        <v>600</v>
      </c>
      <c r="K12" s="25">
        <v>600</v>
      </c>
      <c r="L12" s="25">
        <v>600</v>
      </c>
      <c r="M12" s="25">
        <v>200</v>
      </c>
      <c r="N12" s="25">
        <v>600</v>
      </c>
      <c r="O12" s="25">
        <v>600</v>
      </c>
      <c r="P12" s="25">
        <v>600</v>
      </c>
      <c r="Q12" s="25">
        <v>200</v>
      </c>
      <c r="R12" s="25">
        <v>600</v>
      </c>
      <c r="S12" s="25">
        <v>600</v>
      </c>
      <c r="T12" s="25">
        <v>200</v>
      </c>
      <c r="U12" s="25">
        <v>600</v>
      </c>
    </row>
    <row r="13" spans="1:32" ht="15.75" customHeight="1" x14ac:dyDescent="0.15">
      <c r="A13" s="58">
        <v>42</v>
      </c>
      <c r="B13" s="66" t="str">
        <f>IFERROR(VLOOKUP($A13,Admission!$1:$998,4,0),"")</f>
        <v xml:space="preserve">MAHDIYA SULTANA </v>
      </c>
      <c r="C13" s="66" t="str">
        <f>IFERROR(VLOOKUP($A13,Admission!$1:$998,5,0),"")</f>
        <v>FAHIM AKHTAR</v>
      </c>
      <c r="D13" s="66">
        <f>IFERROR(VLOOKUP($A13,Admission!$1:$998,10,0),"")</f>
        <v>9932282091</v>
      </c>
      <c r="E13" s="66" t="str">
        <f>IFERROR(VLOOKUP($A13,Admission!$1:$998,3,0),"")</f>
        <v>Day Scholar</v>
      </c>
      <c r="F13" s="25">
        <v>500</v>
      </c>
      <c r="G13" s="25">
        <v>600</v>
      </c>
      <c r="H13" s="25">
        <v>600</v>
      </c>
      <c r="I13" s="25">
        <v>200</v>
      </c>
      <c r="J13" s="25">
        <v>600</v>
      </c>
      <c r="K13" s="25">
        <v>600</v>
      </c>
      <c r="L13" s="25">
        <v>600</v>
      </c>
      <c r="M13" s="25">
        <v>200</v>
      </c>
      <c r="N13" s="25">
        <v>600</v>
      </c>
      <c r="O13" s="25">
        <v>600</v>
      </c>
      <c r="P13" s="25">
        <v>600</v>
      </c>
      <c r="Q13" s="25">
        <v>200</v>
      </c>
      <c r="R13" s="25">
        <v>600</v>
      </c>
      <c r="S13" s="25">
        <v>600</v>
      </c>
      <c r="T13" s="25">
        <v>200</v>
      </c>
      <c r="U13" s="25">
        <v>600</v>
      </c>
    </row>
    <row r="14" spans="1:32" ht="15.75" customHeight="1" x14ac:dyDescent="0.15">
      <c r="A14" s="58">
        <v>44</v>
      </c>
      <c r="B14" s="66" t="str">
        <f>IFERROR(VLOOKUP($A14,Admission!$1:$998,4,0),"")</f>
        <v>ISRAT KHATUN</v>
      </c>
      <c r="C14" s="66" t="str">
        <f>IFERROR(VLOOKUP($A14,Admission!$1:$998,5,0),"")</f>
        <v>USMAN SHEKH</v>
      </c>
      <c r="D14" s="66">
        <f>IFERROR(VLOOKUP($A14,Admission!$1:$998,10,0),"")</f>
        <v>8292473552</v>
      </c>
      <c r="E14" s="66" t="str">
        <f>IFERROR(VLOOKUP($A14,Admission!$1:$998,3,0),"")</f>
        <v>Day Scholar</v>
      </c>
      <c r="F14" s="25">
        <v>600</v>
      </c>
      <c r="G14" s="25">
        <v>600</v>
      </c>
      <c r="H14" s="25">
        <v>600</v>
      </c>
      <c r="I14" s="25">
        <v>200</v>
      </c>
      <c r="J14" s="25">
        <v>600</v>
      </c>
      <c r="K14" s="25">
        <v>600</v>
      </c>
      <c r="L14" s="25">
        <v>600</v>
      </c>
      <c r="M14" s="25">
        <v>200</v>
      </c>
      <c r="N14" s="25">
        <v>600</v>
      </c>
      <c r="O14" s="25">
        <v>600</v>
      </c>
      <c r="P14" s="25">
        <v>600</v>
      </c>
      <c r="Q14" s="25">
        <v>200</v>
      </c>
      <c r="R14" s="25">
        <v>600</v>
      </c>
      <c r="S14" s="25">
        <v>600</v>
      </c>
      <c r="T14" s="25">
        <v>200</v>
      </c>
      <c r="U14" s="25">
        <v>600</v>
      </c>
    </row>
    <row r="15" spans="1:32" ht="15.75" customHeight="1" x14ac:dyDescent="0.15">
      <c r="A15" s="58">
        <v>47</v>
      </c>
      <c r="B15" s="66" t="str">
        <f>IFERROR(VLOOKUP($A15,Admission!$1:$998,4,0),"")</f>
        <v>EHAN ISLAM</v>
      </c>
      <c r="C15" s="66" t="str">
        <f>IFERROR(VLOOKUP($A15,Admission!$1:$998,5,0),"")</f>
        <v>ANIKUL ISLAM</v>
      </c>
      <c r="D15" s="66">
        <f>IFERROR(VLOOKUP($A15,Admission!$1:$998,10,0),"")</f>
        <v>9064803071</v>
      </c>
      <c r="E15" s="66" t="str">
        <f>IFERROR(VLOOKUP($A15,Admission!$1:$998,3,0),"")</f>
        <v>Day Scholar</v>
      </c>
      <c r="F15" s="25">
        <v>600</v>
      </c>
      <c r="G15" s="25">
        <v>600</v>
      </c>
      <c r="H15" s="25">
        <v>600</v>
      </c>
      <c r="I15" s="25">
        <v>200</v>
      </c>
      <c r="J15" s="25">
        <v>600</v>
      </c>
      <c r="K15" s="25">
        <v>600</v>
      </c>
      <c r="L15" s="25">
        <v>600</v>
      </c>
      <c r="M15" s="25">
        <v>200</v>
      </c>
      <c r="N15" s="25">
        <v>600</v>
      </c>
      <c r="O15" s="25">
        <v>600</v>
      </c>
      <c r="P15" s="25">
        <v>600</v>
      </c>
      <c r="Q15" s="25">
        <v>200</v>
      </c>
      <c r="R15" s="25">
        <v>600</v>
      </c>
      <c r="S15" s="25">
        <v>600</v>
      </c>
      <c r="T15" s="25">
        <v>200</v>
      </c>
      <c r="U15" s="25">
        <v>600</v>
      </c>
    </row>
    <row r="16" spans="1:32" ht="15.75" customHeight="1" x14ac:dyDescent="0.15">
      <c r="A16" s="58">
        <v>48</v>
      </c>
      <c r="B16" s="66" t="str">
        <f>IFERROR(VLOOKUP($A16,Admission!$1:$998,4,0),"")</f>
        <v>SAHIDA PARWEEN</v>
      </c>
      <c r="C16" s="66" t="str">
        <f>IFERROR(VLOOKUP($A16,Admission!$1:$998,5,0),"")</f>
        <v>JAMIRUL ISLAM</v>
      </c>
      <c r="D16" s="66">
        <f>IFERROR(VLOOKUP($A16,Admission!$1:$998,10,0),"")</f>
        <v>9661301181</v>
      </c>
      <c r="E16" s="66" t="str">
        <f>IFERROR(VLOOKUP($A16,Admission!$1:$998,3,0),"")</f>
        <v>Day Scholar</v>
      </c>
      <c r="F16" s="25">
        <v>600</v>
      </c>
      <c r="G16" s="25">
        <v>600</v>
      </c>
      <c r="H16" s="25">
        <v>600</v>
      </c>
      <c r="I16" s="25"/>
      <c r="J16" s="25">
        <v>600</v>
      </c>
      <c r="K16" s="25">
        <v>600</v>
      </c>
      <c r="L16" s="25">
        <v>600</v>
      </c>
      <c r="M16" s="25"/>
      <c r="N16" s="25">
        <v>600</v>
      </c>
      <c r="O16" s="25">
        <v>600</v>
      </c>
      <c r="P16" s="25">
        <v>600</v>
      </c>
      <c r="Q16" s="25"/>
      <c r="R16" s="25">
        <v>600</v>
      </c>
      <c r="S16" s="25">
        <v>600</v>
      </c>
      <c r="T16" s="25"/>
      <c r="U16" s="25">
        <v>600</v>
      </c>
    </row>
    <row r="17" spans="1:21" ht="15.75" customHeight="1" x14ac:dyDescent="0.15">
      <c r="A17" s="58">
        <v>53</v>
      </c>
      <c r="B17" s="66" t="str">
        <f>IFERROR(VLOOKUP($A17,Admission!$1:$998,4,0),"")</f>
        <v>ROSHHAK ANSARI</v>
      </c>
      <c r="C17" s="66" t="str">
        <f>IFERROR(VLOOKUP($A17,Admission!$1:$998,5,0),"")</f>
        <v>ISRAIL ANSARI</v>
      </c>
      <c r="D17" s="66">
        <f>IFERROR(VLOOKUP($A17,Admission!$1:$998,10,0),"")</f>
        <v>9801331446</v>
      </c>
      <c r="E17" s="66" t="str">
        <f>IFERROR(VLOOKUP($A17,Admission!$1:$998,3,0),"")</f>
        <v>Hosteller</v>
      </c>
      <c r="F17" s="25">
        <v>3700</v>
      </c>
      <c r="G17" s="25">
        <v>3700</v>
      </c>
      <c r="H17" s="25">
        <v>3700</v>
      </c>
      <c r="I17" s="25">
        <v>200</v>
      </c>
      <c r="J17" s="25">
        <v>3700</v>
      </c>
      <c r="K17" s="25">
        <v>3700</v>
      </c>
      <c r="L17" s="25">
        <v>3700</v>
      </c>
      <c r="M17" s="25">
        <v>200</v>
      </c>
      <c r="N17" s="25">
        <v>3700</v>
      </c>
      <c r="O17" s="25">
        <v>3700</v>
      </c>
      <c r="P17" s="25">
        <v>3700</v>
      </c>
      <c r="Q17" s="25">
        <v>200</v>
      </c>
      <c r="R17" s="25">
        <v>3700</v>
      </c>
      <c r="S17" s="25">
        <v>3700</v>
      </c>
      <c r="T17" s="25">
        <v>200</v>
      </c>
      <c r="U17" s="25">
        <v>3700</v>
      </c>
    </row>
    <row r="18" spans="1:21" ht="15.75" customHeight="1" x14ac:dyDescent="0.15">
      <c r="A18" s="58">
        <v>52</v>
      </c>
      <c r="B18" s="66" t="str">
        <f>IFERROR(VLOOKUP($A18,Admission!$1:$998,4,0),"")</f>
        <v>MIFTAHUL ISLAM</v>
      </c>
      <c r="C18" s="66" t="str">
        <f>IFERROR(VLOOKUP($A18,Admission!$1:$998,5,0),"")</f>
        <v xml:space="preserve">MD ALAUDDIN </v>
      </c>
      <c r="D18" s="66">
        <f>IFERROR(VLOOKUP($A18,Admission!$1:$998,10,0),"")</f>
        <v>9955001819</v>
      </c>
      <c r="E18" s="66" t="str">
        <f>IFERROR(VLOOKUP($A18,Admission!$1:$998,3,0),"")</f>
        <v>Hosteller</v>
      </c>
      <c r="F18" s="25">
        <v>3700</v>
      </c>
      <c r="G18" s="25">
        <v>3700</v>
      </c>
      <c r="H18" s="25">
        <v>3700</v>
      </c>
      <c r="I18" s="25">
        <v>200</v>
      </c>
      <c r="J18" s="25">
        <v>3700</v>
      </c>
      <c r="K18" s="25">
        <v>3700</v>
      </c>
      <c r="L18" s="25">
        <v>3700</v>
      </c>
      <c r="M18" s="25">
        <v>200</v>
      </c>
      <c r="N18" s="25">
        <v>3700</v>
      </c>
      <c r="O18" s="25">
        <v>3700</v>
      </c>
      <c r="P18" s="25">
        <v>3700</v>
      </c>
      <c r="Q18" s="25"/>
      <c r="R18" s="25">
        <v>3700</v>
      </c>
      <c r="S18" s="25">
        <v>3700</v>
      </c>
      <c r="T18" s="25"/>
      <c r="U18" s="25">
        <v>3700</v>
      </c>
    </row>
    <row r="19" spans="1:21" ht="15.75" customHeight="1" x14ac:dyDescent="0.15">
      <c r="A19" s="58">
        <v>70</v>
      </c>
      <c r="B19" s="66" t="str">
        <f>IFERROR(VLOOKUP($A19,Admission!$1:$998,4,0),"")</f>
        <v>MD ADIL AZHAR</v>
      </c>
      <c r="C19" s="66" t="str">
        <f>IFERROR(VLOOKUP($A19,Admission!$1:$998,5,0),"")</f>
        <v>MD ZIAUL HAQUE</v>
      </c>
      <c r="D19" s="66">
        <f>IFERROR(VLOOKUP($A19,Admission!$1:$998,10,0),"")</f>
        <v>8809983740</v>
      </c>
      <c r="E19" s="66" t="str">
        <f>IFERROR(VLOOKUP($A19,Admission!$1:$998,3,0),"")</f>
        <v>Hosteller</v>
      </c>
      <c r="F19" s="25">
        <v>3700</v>
      </c>
      <c r="G19" s="25">
        <v>3700</v>
      </c>
      <c r="H19" s="25">
        <v>3700</v>
      </c>
      <c r="I19" s="25">
        <v>200</v>
      </c>
      <c r="J19" s="25">
        <v>3700</v>
      </c>
      <c r="K19" s="25">
        <v>3700</v>
      </c>
      <c r="L19" s="25">
        <v>3700</v>
      </c>
      <c r="M19" s="25">
        <v>200</v>
      </c>
      <c r="N19" s="25">
        <v>3700</v>
      </c>
      <c r="O19" s="25">
        <v>3700</v>
      </c>
      <c r="P19" s="25">
        <v>3700</v>
      </c>
      <c r="Q19" s="25">
        <v>200</v>
      </c>
      <c r="R19" s="25">
        <v>3700</v>
      </c>
      <c r="S19" s="25">
        <v>3700</v>
      </c>
      <c r="T19" s="25">
        <v>200</v>
      </c>
      <c r="U19" s="25">
        <v>3700</v>
      </c>
    </row>
    <row r="20" spans="1:21" ht="15.75" customHeight="1" x14ac:dyDescent="0.15">
      <c r="A20" s="58">
        <v>73</v>
      </c>
      <c r="B20" s="66" t="str">
        <f>IFERROR(VLOOKUP($A20,Admission!$1:$998,4,0),"")</f>
        <v>MD JAYED AKHTAT</v>
      </c>
      <c r="C20" s="66" t="str">
        <f>IFERROR(VLOOKUP($A20,Admission!$1:$998,5,0),"")</f>
        <v>FEKARUL SHEKH</v>
      </c>
      <c r="D20" s="66">
        <f>IFERROR(VLOOKUP($A20,Admission!$1:$998,10,0),"")</f>
        <v>9534235548</v>
      </c>
      <c r="E20" s="66" t="str">
        <f>IFERROR(VLOOKUP($A20,Admission!$1:$998,3,0),"")</f>
        <v>Hosteller</v>
      </c>
      <c r="F20" s="25">
        <v>3700</v>
      </c>
      <c r="G20" s="25">
        <v>3700</v>
      </c>
      <c r="H20" s="25">
        <v>3700</v>
      </c>
      <c r="I20" s="25">
        <v>200</v>
      </c>
      <c r="J20" s="25">
        <v>3700</v>
      </c>
      <c r="K20" s="25">
        <v>3700</v>
      </c>
      <c r="L20" s="25">
        <v>3700</v>
      </c>
      <c r="M20" s="25"/>
      <c r="N20" s="25">
        <v>3700</v>
      </c>
      <c r="O20" s="25">
        <v>3700</v>
      </c>
      <c r="P20" s="25">
        <v>3700</v>
      </c>
      <c r="Q20" s="25"/>
      <c r="R20" s="25">
        <v>3700</v>
      </c>
      <c r="S20" s="25">
        <v>3700</v>
      </c>
      <c r="T20" s="25"/>
      <c r="U20" s="25">
        <v>3700</v>
      </c>
    </row>
    <row r="21" spans="1:21" ht="15.75" customHeight="1" x14ac:dyDescent="0.15">
      <c r="A21" s="58">
        <v>75</v>
      </c>
      <c r="B21" s="66" t="str">
        <f>IFERROR(VLOOKUP($A21,Admission!$1:$998,4,0),"")</f>
        <v>MOHAMMAD FARHAN ANSARI</v>
      </c>
      <c r="C21" s="66" t="str">
        <f>IFERROR(VLOOKUP($A21,Admission!$1:$998,5,0),"")</f>
        <v>MOHAMMAD JIYAUL ANSARI</v>
      </c>
      <c r="D21" s="66">
        <f>IFERROR(VLOOKUP($A21,Admission!$1:$998,10,0),"")</f>
        <v>8809023587</v>
      </c>
      <c r="E21" s="66" t="str">
        <f>IFERROR(VLOOKUP($A21,Admission!$1:$998,3,0),"")</f>
        <v>Hosteller</v>
      </c>
      <c r="F21" s="25">
        <v>3700</v>
      </c>
      <c r="G21" s="25">
        <v>3700</v>
      </c>
      <c r="H21" s="25">
        <v>3700</v>
      </c>
      <c r="I21" s="25">
        <v>150</v>
      </c>
      <c r="J21" s="25">
        <v>3700</v>
      </c>
      <c r="K21" s="25">
        <v>3700</v>
      </c>
      <c r="L21" s="25">
        <v>3700</v>
      </c>
      <c r="M21" s="25">
        <v>200</v>
      </c>
      <c r="N21" s="25">
        <v>3700</v>
      </c>
      <c r="O21" s="25">
        <v>3700</v>
      </c>
      <c r="P21" s="25">
        <v>3700</v>
      </c>
      <c r="Q21" s="25">
        <v>200</v>
      </c>
      <c r="R21" s="25">
        <v>3700</v>
      </c>
      <c r="S21" s="25">
        <v>3700</v>
      </c>
      <c r="T21" s="25"/>
      <c r="U21" s="25">
        <v>3700</v>
      </c>
    </row>
    <row r="22" spans="1:21" ht="15.75" customHeight="1" x14ac:dyDescent="0.15">
      <c r="A22" s="58">
        <v>81</v>
      </c>
      <c r="B22" s="66" t="str">
        <f>IFERROR(VLOOKUP($A22,Admission!$1:$998,4,0),"")</f>
        <v>MD MODDASSHIR</v>
      </c>
      <c r="C22" s="66" t="str">
        <f>IFERROR(VLOOKUP($A22,Admission!$1:$998,5,0),"")</f>
        <v>MD MOJAMMEL HAQUE</v>
      </c>
      <c r="D22" s="66">
        <f>IFERROR(VLOOKUP($A22,Admission!$1:$998,10,0),"")</f>
        <v>8051005138</v>
      </c>
      <c r="E22" s="66" t="str">
        <f>IFERROR(VLOOKUP($A22,Admission!$1:$998,3,0),"")</f>
        <v>Hosteller</v>
      </c>
      <c r="F22" s="25">
        <v>3700</v>
      </c>
      <c r="G22" s="25">
        <v>3700</v>
      </c>
      <c r="H22" s="25">
        <v>3700</v>
      </c>
      <c r="I22" s="25"/>
      <c r="J22" s="25">
        <v>3700</v>
      </c>
      <c r="K22" s="25">
        <v>3700</v>
      </c>
      <c r="L22" s="25">
        <v>3700</v>
      </c>
      <c r="M22" s="25"/>
      <c r="N22" s="25" t="s">
        <v>313</v>
      </c>
      <c r="O22" s="25" t="s">
        <v>313</v>
      </c>
      <c r="P22" s="25" t="s">
        <v>313</v>
      </c>
      <c r="Q22" s="25"/>
      <c r="R22" s="25" t="s">
        <v>313</v>
      </c>
      <c r="S22" s="25" t="s">
        <v>313</v>
      </c>
      <c r="T22" s="25" t="s">
        <v>313</v>
      </c>
      <c r="U22" s="25" t="s">
        <v>313</v>
      </c>
    </row>
    <row r="23" spans="1:21" ht="15.75" customHeight="1" x14ac:dyDescent="0.15">
      <c r="A23" s="58">
        <v>85</v>
      </c>
      <c r="B23" s="66" t="str">
        <f>IFERROR(VLOOKUP($A23,Admission!$1:$998,4,0),"")</f>
        <v>MD ANAS</v>
      </c>
      <c r="C23" s="66" t="str">
        <f>IFERROR(VLOOKUP($A23,Admission!$1:$998,5,0),"")</f>
        <v>MOTIUR RAHMAN</v>
      </c>
      <c r="D23" s="66">
        <f>IFERROR(VLOOKUP($A23,Admission!$1:$998,10,0),"")</f>
        <v>9801054651</v>
      </c>
      <c r="E23" s="66" t="str">
        <f>IFERROR(VLOOKUP($A23,Admission!$1:$998,3,0),"")</f>
        <v>Hosteller</v>
      </c>
      <c r="F23" s="25">
        <v>0</v>
      </c>
      <c r="G23" s="25">
        <v>0</v>
      </c>
      <c r="H23" s="25">
        <v>3700</v>
      </c>
      <c r="I23" s="25">
        <v>150</v>
      </c>
      <c r="J23" s="25">
        <v>3700</v>
      </c>
      <c r="K23" s="25">
        <v>3700</v>
      </c>
      <c r="L23" s="25">
        <v>3700</v>
      </c>
      <c r="M23" s="25">
        <v>200</v>
      </c>
      <c r="N23" s="25">
        <v>3700</v>
      </c>
      <c r="O23" s="25">
        <v>3700</v>
      </c>
      <c r="P23" s="25">
        <v>3700</v>
      </c>
      <c r="Q23" s="25"/>
      <c r="R23" s="25">
        <v>3700</v>
      </c>
      <c r="S23" s="25">
        <v>3700</v>
      </c>
      <c r="T23" s="25">
        <v>200</v>
      </c>
      <c r="U23" s="25">
        <v>3700</v>
      </c>
    </row>
    <row r="24" spans="1:21" ht="15.75" customHeight="1" x14ac:dyDescent="0.15">
      <c r="A24" s="58">
        <v>91</v>
      </c>
      <c r="B24" s="66" t="str">
        <f>IFERROR(VLOOKUP($A24,Admission!$1:$998,4,0),"")</f>
        <v>SABA KARIM</v>
      </c>
      <c r="C24" s="66" t="str">
        <f>IFERROR(VLOOKUP($A24,Admission!$1:$998,5,0),"")</f>
        <v>MD ASHTAK</v>
      </c>
      <c r="D24" s="66">
        <f>IFERROR(VLOOKUP($A24,Admission!$1:$998,10,0),"")</f>
        <v>9162959792</v>
      </c>
      <c r="E24" s="66" t="str">
        <f>IFERROR(VLOOKUP($A24,Admission!$1:$998,3,0),"")</f>
        <v>Day Scholar</v>
      </c>
      <c r="F24" s="25" t="s">
        <v>313</v>
      </c>
      <c r="G24" s="25" t="s">
        <v>313</v>
      </c>
      <c r="H24" s="25" t="s">
        <v>576</v>
      </c>
      <c r="I24" s="25" t="s">
        <v>313</v>
      </c>
      <c r="J24" s="25" t="s">
        <v>313</v>
      </c>
      <c r="K24" s="25" t="s">
        <v>313</v>
      </c>
      <c r="L24" s="25" t="s">
        <v>313</v>
      </c>
      <c r="M24" s="25"/>
      <c r="N24" s="25" t="s">
        <v>313</v>
      </c>
      <c r="O24" s="25" t="s">
        <v>313</v>
      </c>
      <c r="P24" s="25" t="s">
        <v>313</v>
      </c>
      <c r="Q24" s="25" t="s">
        <v>313</v>
      </c>
      <c r="R24" s="25" t="s">
        <v>313</v>
      </c>
      <c r="S24" s="25" t="s">
        <v>313</v>
      </c>
      <c r="T24" s="25" t="s">
        <v>313</v>
      </c>
      <c r="U24" s="25" t="s">
        <v>313</v>
      </c>
    </row>
    <row r="25" spans="1:21" ht="15.75" customHeight="1" x14ac:dyDescent="0.15">
      <c r="A25" s="58">
        <v>101</v>
      </c>
      <c r="B25" s="66" t="str">
        <f>IFERROR(VLOOKUP($A25,Admission!$1:$998,4,0),"")</f>
        <v>MD JUBAYER</v>
      </c>
      <c r="C25" s="66" t="str">
        <f>IFERROR(VLOOKUP($A25,Admission!$1:$998,5,0),"")</f>
        <v>S.K MOSTAKIM</v>
      </c>
      <c r="D25" s="66">
        <f>IFERROR(VLOOKUP($A25,Admission!$1:$998,10,0),"")</f>
        <v>7407845971</v>
      </c>
      <c r="E25" s="66" t="str">
        <f>IFERROR(VLOOKUP($A25,Admission!$1:$998,3,0),"")</f>
        <v>Day Scholar</v>
      </c>
      <c r="F25" s="25">
        <v>0</v>
      </c>
      <c r="G25" s="25">
        <v>600</v>
      </c>
      <c r="H25" s="25">
        <v>600</v>
      </c>
      <c r="I25" s="25">
        <v>200</v>
      </c>
      <c r="J25" s="25">
        <v>600</v>
      </c>
      <c r="K25" s="25">
        <v>600</v>
      </c>
      <c r="L25" s="25">
        <v>600</v>
      </c>
      <c r="M25" s="25">
        <v>200</v>
      </c>
      <c r="N25" s="25">
        <v>600</v>
      </c>
      <c r="O25" s="25">
        <v>600</v>
      </c>
      <c r="P25" s="25">
        <v>600</v>
      </c>
      <c r="Q25" s="25">
        <v>200</v>
      </c>
      <c r="R25" s="25">
        <v>600</v>
      </c>
      <c r="S25" s="25">
        <v>600</v>
      </c>
      <c r="T25" s="25">
        <v>200</v>
      </c>
      <c r="U25" s="25">
        <v>600</v>
      </c>
    </row>
    <row r="26" spans="1:21" ht="15.75" customHeight="1" x14ac:dyDescent="0.15">
      <c r="A26" s="58">
        <v>110</v>
      </c>
      <c r="B26" s="66" t="str">
        <f>IFERROR(VLOOKUP($A26,Admission!$1:$998,4,0),"")</f>
        <v>SAAD GANI</v>
      </c>
      <c r="C26" s="66" t="str">
        <f>IFERROR(VLOOKUP($A26,Admission!$1:$998,5,0),"")</f>
        <v>ABDUL GANI</v>
      </c>
      <c r="D26" s="66">
        <f>IFERROR(VLOOKUP($A26,Admission!$1:$998,10,0),"")</f>
        <v>8521469562</v>
      </c>
      <c r="E26" s="66" t="str">
        <f>IFERROR(VLOOKUP($A26,Admission!$1:$998,3,0),"")</f>
        <v>Day Scholar</v>
      </c>
      <c r="F26" s="25">
        <v>600</v>
      </c>
      <c r="G26" s="25">
        <v>600</v>
      </c>
      <c r="H26" s="25">
        <v>600</v>
      </c>
      <c r="I26" s="25">
        <v>200</v>
      </c>
      <c r="J26" s="25">
        <v>600</v>
      </c>
      <c r="K26" s="25">
        <v>600</v>
      </c>
      <c r="L26" s="25">
        <v>600</v>
      </c>
      <c r="M26" s="25">
        <v>200</v>
      </c>
      <c r="N26" s="25">
        <v>600</v>
      </c>
      <c r="O26" s="25">
        <v>600</v>
      </c>
      <c r="P26" s="25">
        <v>600</v>
      </c>
      <c r="Q26" s="25"/>
      <c r="R26" s="25">
        <v>600</v>
      </c>
      <c r="S26" s="25">
        <v>600</v>
      </c>
      <c r="T26" s="25">
        <v>200</v>
      </c>
      <c r="U26" s="25">
        <v>600</v>
      </c>
    </row>
    <row r="27" spans="1:21" ht="15.75" customHeight="1" x14ac:dyDescent="0.15">
      <c r="A27" s="58">
        <v>115</v>
      </c>
      <c r="B27" s="66" t="str">
        <f>IFERROR(VLOOKUP($A27,Admission!$1:$998,4,0),"")</f>
        <v>MD DILNAWAZ ANSARI</v>
      </c>
      <c r="C27" s="66" t="str">
        <f>IFERROR(VLOOKUP($A27,Admission!$1:$998,5,0),"")</f>
        <v>MD DILDAR ANSARI</v>
      </c>
      <c r="D27" s="66">
        <f>IFERROR(VLOOKUP($A27,Admission!$1:$998,10,0),"")</f>
        <v>6200725672</v>
      </c>
      <c r="E27" s="66" t="str">
        <f>IFERROR(VLOOKUP($A27,Admission!$1:$998,3,0),"")</f>
        <v>Hosteller</v>
      </c>
      <c r="F27" s="25">
        <v>3700</v>
      </c>
      <c r="G27" s="25">
        <v>3700</v>
      </c>
      <c r="H27" s="25">
        <v>3700</v>
      </c>
      <c r="I27" s="25"/>
      <c r="J27" s="25">
        <v>3700</v>
      </c>
      <c r="K27" s="25">
        <v>3700</v>
      </c>
      <c r="L27" s="25">
        <v>3700</v>
      </c>
      <c r="M27" s="25"/>
      <c r="N27" s="25">
        <v>3700</v>
      </c>
      <c r="O27" s="25">
        <v>3700</v>
      </c>
      <c r="P27" s="25">
        <v>3700</v>
      </c>
      <c r="Q27" s="25"/>
      <c r="R27" s="25">
        <v>3700</v>
      </c>
      <c r="S27" s="25">
        <v>3700</v>
      </c>
      <c r="T27" s="25"/>
      <c r="U27" s="25">
        <v>3700</v>
      </c>
    </row>
    <row r="28" spans="1:21" ht="15.75" customHeight="1" x14ac:dyDescent="0.15">
      <c r="A28" s="58">
        <v>116</v>
      </c>
      <c r="B28" s="66" t="str">
        <f>IFERROR(VLOOKUP($A28,Admission!$1:$998,4,0),"")</f>
        <v>MD NASHIR ANSARI</v>
      </c>
      <c r="C28" s="66" t="str">
        <f>IFERROR(VLOOKUP($A28,Admission!$1:$998,5,0),"")</f>
        <v>MD DILDAR ANSARI</v>
      </c>
      <c r="D28" s="66">
        <f>IFERROR(VLOOKUP($A28,Admission!$1:$998,10,0),"")</f>
        <v>6200725672</v>
      </c>
      <c r="E28" s="66" t="str">
        <f>IFERROR(VLOOKUP($A28,Admission!$1:$998,3,0),"")</f>
        <v>Hosteller</v>
      </c>
      <c r="F28" s="25">
        <v>3700</v>
      </c>
      <c r="G28" s="25">
        <v>3700</v>
      </c>
      <c r="H28" s="25">
        <v>3700</v>
      </c>
      <c r="I28" s="25"/>
      <c r="J28" s="25">
        <v>3700</v>
      </c>
      <c r="K28" s="25">
        <v>3700</v>
      </c>
      <c r="L28" s="25">
        <v>3700</v>
      </c>
      <c r="M28" s="25"/>
      <c r="N28" s="25">
        <v>3700</v>
      </c>
      <c r="O28" s="25">
        <v>3700</v>
      </c>
      <c r="P28" s="25">
        <v>3700</v>
      </c>
      <c r="Q28" s="25"/>
      <c r="R28" s="25">
        <v>3700</v>
      </c>
      <c r="S28" s="25">
        <v>3700</v>
      </c>
      <c r="T28" s="25"/>
      <c r="U28" s="25">
        <v>3700</v>
      </c>
    </row>
    <row r="29" spans="1:21" ht="15.75" customHeight="1" x14ac:dyDescent="0.15">
      <c r="A29" s="58">
        <v>128</v>
      </c>
      <c r="B29" s="66" t="str">
        <f>IFERROR(VLOOKUP($A29,Admission!$1:$998,4,0),"")</f>
        <v>AMRIN NISHA</v>
      </c>
      <c r="C29" s="66" t="str">
        <f>IFERROR(VLOOKUP($A29,Admission!$1:$998,5,0),"")</f>
        <v xml:space="preserve"> FIROJ ALAM</v>
      </c>
      <c r="D29" s="66">
        <f>IFERROR(VLOOKUP($A29,Admission!$1:$998,10,0),"")</f>
        <v>0</v>
      </c>
      <c r="E29" s="66" t="str">
        <f>IFERROR(VLOOKUP($A29,Admission!$1:$998,3,0),"")</f>
        <v>Hosteller</v>
      </c>
      <c r="F29" s="25" t="s">
        <v>577</v>
      </c>
      <c r="G29" s="25" t="s">
        <v>577</v>
      </c>
      <c r="H29" s="25" t="s">
        <v>577</v>
      </c>
      <c r="I29" s="25" t="s">
        <v>572</v>
      </c>
      <c r="J29" s="25" t="s">
        <v>572</v>
      </c>
      <c r="K29" s="25" t="s">
        <v>572</v>
      </c>
      <c r="L29" s="25" t="s">
        <v>572</v>
      </c>
      <c r="M29" s="25" t="s">
        <v>572</v>
      </c>
      <c r="N29" s="25" t="s">
        <v>572</v>
      </c>
      <c r="O29" s="25" t="s">
        <v>572</v>
      </c>
      <c r="P29" s="25" t="s">
        <v>572</v>
      </c>
      <c r="Q29" s="25" t="s">
        <v>572</v>
      </c>
      <c r="R29" s="25" t="s">
        <v>572</v>
      </c>
      <c r="S29" s="25" t="s">
        <v>572</v>
      </c>
      <c r="T29" s="25" t="s">
        <v>572</v>
      </c>
      <c r="U29" s="25" t="s">
        <v>572</v>
      </c>
    </row>
    <row r="30" spans="1:21" ht="15.75" customHeight="1" x14ac:dyDescent="0.15">
      <c r="A30" s="58">
        <v>142</v>
      </c>
      <c r="B30" s="66" t="str">
        <f>IFERROR(VLOOKUP($A30,Admission!$1:$998,4,0),"")</f>
        <v>MD ALTAMAS FAIQ</v>
      </c>
      <c r="C30" s="66" t="str">
        <f>IFERROR(VLOOKUP($A30,Admission!$1:$998,5,0),"")</f>
        <v>MD UMED ALI ANSARI</v>
      </c>
      <c r="D30" s="66">
        <f>IFERROR(VLOOKUP($A30,Admission!$1:$998,10,0),"")</f>
        <v>9643292878</v>
      </c>
      <c r="E30" s="66" t="str">
        <f>IFERROR(VLOOKUP($A30,Admission!$1:$998,3,0),"")</f>
        <v>Hosteller</v>
      </c>
      <c r="F30" s="25">
        <v>0</v>
      </c>
      <c r="G30" s="25">
        <v>3700</v>
      </c>
      <c r="H30" s="25">
        <v>3700</v>
      </c>
      <c r="I30" s="25">
        <v>200</v>
      </c>
      <c r="J30" s="25">
        <v>3700</v>
      </c>
      <c r="K30" s="25">
        <v>3700</v>
      </c>
      <c r="L30" s="25">
        <v>3700</v>
      </c>
      <c r="M30" s="25">
        <v>200</v>
      </c>
      <c r="N30" s="25">
        <v>3700</v>
      </c>
      <c r="O30" s="25">
        <v>3700</v>
      </c>
      <c r="P30" s="25">
        <v>3700</v>
      </c>
      <c r="Q30" s="25">
        <v>200</v>
      </c>
      <c r="R30" s="25">
        <v>3700</v>
      </c>
      <c r="S30" s="25">
        <v>3700</v>
      </c>
      <c r="T30" s="25">
        <v>200</v>
      </c>
      <c r="U30" s="25">
        <v>3700</v>
      </c>
    </row>
    <row r="31" spans="1:21" ht="15.75" customHeight="1" x14ac:dyDescent="0.15">
      <c r="A31" s="58">
        <v>146</v>
      </c>
      <c r="B31" s="66" t="str">
        <f>IFERROR(VLOOKUP($A31,Admission!$1:$998,4,0),"")</f>
        <v>SAYEEDA SULTANA</v>
      </c>
      <c r="C31" s="66" t="str">
        <f>IFERROR(VLOOKUP($A31,Admission!$1:$998,5,0),"")</f>
        <v>MD FARHAD HUSSAIN</v>
      </c>
      <c r="D31" s="66">
        <f>IFERROR(VLOOKUP($A31,Admission!$1:$998,10,0),"")</f>
        <v>7739445488</v>
      </c>
      <c r="E31" s="66" t="str">
        <f>IFERROR(VLOOKUP($A31,Admission!$1:$998,3,0),"")</f>
        <v>Day Scholar</v>
      </c>
      <c r="F31" s="25">
        <v>600</v>
      </c>
      <c r="G31" s="25">
        <v>600</v>
      </c>
      <c r="H31" s="25">
        <v>600</v>
      </c>
      <c r="I31" s="25">
        <v>200</v>
      </c>
      <c r="J31" s="25">
        <v>600</v>
      </c>
      <c r="K31" s="25">
        <v>600</v>
      </c>
      <c r="L31" s="25">
        <v>600</v>
      </c>
      <c r="M31" s="25">
        <v>200</v>
      </c>
      <c r="N31" s="25">
        <v>600</v>
      </c>
      <c r="O31" s="25">
        <v>600</v>
      </c>
      <c r="P31" s="25">
        <v>600</v>
      </c>
      <c r="Q31" s="25">
        <v>200</v>
      </c>
      <c r="R31" s="25">
        <v>200</v>
      </c>
      <c r="S31" s="25">
        <v>600</v>
      </c>
      <c r="T31" s="25">
        <v>200</v>
      </c>
      <c r="U31" s="25">
        <v>600</v>
      </c>
    </row>
    <row r="32" spans="1:21" ht="15.75" customHeight="1" x14ac:dyDescent="0.15">
      <c r="A32" s="58">
        <v>173</v>
      </c>
      <c r="B32" s="66" t="str">
        <f>IFERROR(VLOOKUP($A32,Admission!$1:$998,4,0),"")</f>
        <v>SHAIKH AFRIDI</v>
      </c>
      <c r="C32" s="66" t="str">
        <f>IFERROR(VLOOKUP($A32,Admission!$1:$998,5,0),"")</f>
        <v>SEKSADI SHAIKH</v>
      </c>
      <c r="D32" s="66">
        <f>IFERROR(VLOOKUP($A32,Admission!$1:$998,10,0),"")</f>
        <v>8789923616</v>
      </c>
      <c r="E32" s="66" t="str">
        <f>IFERROR(VLOOKUP($A32,Admission!$1:$998,3,0),"")</f>
        <v>Hosteller</v>
      </c>
      <c r="F32" s="25">
        <v>0</v>
      </c>
      <c r="G32" s="25">
        <v>0</v>
      </c>
      <c r="H32" s="25">
        <v>3700</v>
      </c>
      <c r="J32" s="25">
        <v>3700</v>
      </c>
      <c r="K32" s="25">
        <v>3700</v>
      </c>
      <c r="L32" s="25">
        <v>3700</v>
      </c>
      <c r="M32" s="25"/>
      <c r="N32" s="25">
        <v>3700</v>
      </c>
      <c r="O32" s="25">
        <v>3700</v>
      </c>
      <c r="P32" s="25" t="s">
        <v>313</v>
      </c>
      <c r="Q32" s="25" t="s">
        <v>313</v>
      </c>
      <c r="R32" s="25" t="s">
        <v>313</v>
      </c>
      <c r="S32" s="25" t="s">
        <v>313</v>
      </c>
      <c r="T32" s="25" t="s">
        <v>313</v>
      </c>
      <c r="U32" s="25" t="s">
        <v>313</v>
      </c>
    </row>
    <row r="33" spans="1:21" ht="15.75" customHeight="1" x14ac:dyDescent="0.15">
      <c r="A33" s="58">
        <v>79</v>
      </c>
      <c r="B33" s="66" t="str">
        <f>IFERROR(VLOOKUP($A33,Admission!$1:$998,4,0),"")</f>
        <v>MD MUSTAKIM</v>
      </c>
      <c r="C33" s="66" t="str">
        <f>IFERROR(VLOOKUP($A33,Admission!$1:$998,5,0),"")</f>
        <v>MD AKHTAR ALAM</v>
      </c>
      <c r="D33" s="66">
        <f>IFERROR(VLOOKUP($A33,Admission!$1:$998,10,0),"")</f>
        <v>9931742146</v>
      </c>
      <c r="E33" s="66" t="str">
        <f>IFERROR(VLOOKUP($A33,Admission!$1:$998,3,0),"")</f>
        <v>Hosteller</v>
      </c>
      <c r="F33" s="25">
        <v>3700</v>
      </c>
      <c r="G33" s="25">
        <v>3700</v>
      </c>
      <c r="H33" s="25">
        <v>3700</v>
      </c>
      <c r="I33" s="25">
        <v>200</v>
      </c>
      <c r="J33" s="25">
        <v>3700</v>
      </c>
      <c r="K33" s="25">
        <v>3700</v>
      </c>
      <c r="L33" s="25">
        <v>3700</v>
      </c>
      <c r="M33" s="25">
        <v>200</v>
      </c>
      <c r="N33" s="25">
        <v>3700</v>
      </c>
      <c r="O33" s="25">
        <v>3700</v>
      </c>
      <c r="P33" s="25">
        <v>3700</v>
      </c>
      <c r="Q33" s="25">
        <v>200</v>
      </c>
      <c r="R33" s="25">
        <v>3700</v>
      </c>
      <c r="S33" s="25">
        <v>3700</v>
      </c>
      <c r="T33" s="25">
        <v>200</v>
      </c>
      <c r="U33" s="25">
        <v>3700</v>
      </c>
    </row>
    <row r="34" spans="1:21" ht="15.75" customHeight="1" x14ac:dyDescent="0.15">
      <c r="A34" s="58">
        <v>80</v>
      </c>
      <c r="B34" s="66" t="str">
        <f>IFERROR(VLOOKUP($A34,Admission!$1:$998,4,0),"")</f>
        <v>MD SAHID</v>
      </c>
      <c r="C34" s="66" t="str">
        <f>IFERROR(VLOOKUP($A34,Admission!$1:$998,5,0),"")</f>
        <v>MD AZAD ALI</v>
      </c>
      <c r="D34" s="66">
        <f>IFERROR(VLOOKUP($A34,Admission!$1:$998,10,0),"")</f>
        <v>6299311049</v>
      </c>
      <c r="E34" s="66" t="str">
        <f>IFERROR(VLOOKUP($A34,Admission!$1:$998,3,0),"")</f>
        <v>Hosteller</v>
      </c>
      <c r="F34" s="25">
        <v>3700</v>
      </c>
      <c r="G34" s="25">
        <v>3700</v>
      </c>
      <c r="H34" s="25">
        <v>3700</v>
      </c>
      <c r="I34" s="25">
        <v>200</v>
      </c>
      <c r="J34" s="25">
        <v>3700</v>
      </c>
      <c r="K34" s="25">
        <v>3700</v>
      </c>
      <c r="L34" s="25">
        <v>3700</v>
      </c>
      <c r="M34" s="25">
        <v>200</v>
      </c>
      <c r="N34" s="25">
        <v>3700</v>
      </c>
      <c r="O34" s="25">
        <v>3700</v>
      </c>
      <c r="P34" s="25">
        <v>3700</v>
      </c>
      <c r="Q34" s="25">
        <v>200</v>
      </c>
      <c r="R34" s="25">
        <v>3700</v>
      </c>
      <c r="S34" s="25">
        <v>3700</v>
      </c>
      <c r="T34" s="25">
        <v>200</v>
      </c>
      <c r="U34" s="25">
        <v>3700</v>
      </c>
    </row>
    <row r="35" spans="1:21" ht="15.75" customHeight="1" x14ac:dyDescent="0.15">
      <c r="A35" s="58"/>
      <c r="B35" s="66" t="str">
        <f>IFERROR(VLOOKUP($A35,Admission!$1:$998,4,0),"")</f>
        <v/>
      </c>
      <c r="C35" s="66" t="str">
        <f>IFERROR(VLOOKUP($A35,Admission!$1:$998,5,0),"")</f>
        <v/>
      </c>
      <c r="D35" s="66" t="str">
        <f>IFERROR(VLOOKUP($A35,Admission!$1:$998,10,0),"")</f>
        <v/>
      </c>
      <c r="E35" s="66" t="str">
        <f>IFERROR(VLOOKUP($A35,Admission!$1:$998,3,0),"")</f>
        <v/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1:21" ht="15.75" customHeight="1" x14ac:dyDescent="0.15">
      <c r="A36" s="58"/>
      <c r="B36" s="66" t="str">
        <f>IFERROR(VLOOKUP($A36,Admission!$1:$998,4,0),"")</f>
        <v/>
      </c>
      <c r="C36" s="66" t="str">
        <f>IFERROR(VLOOKUP($A36,Admission!$1:$998,5,0),"")</f>
        <v/>
      </c>
      <c r="D36" s="66" t="str">
        <f>IFERROR(VLOOKUP($A36,Admission!$1:$998,10,0),"")</f>
        <v/>
      </c>
      <c r="E36" s="66" t="str">
        <f>IFERROR(VLOOKUP($A36,Admission!$1:$998,3,0),"")</f>
        <v/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1:21" ht="15.75" customHeight="1" x14ac:dyDescent="0.15">
      <c r="A37" s="58"/>
      <c r="B37" s="66" t="str">
        <f>IFERROR(VLOOKUP($A37,Admission!$1:$998,4,0),"")</f>
        <v/>
      </c>
      <c r="C37" s="66" t="str">
        <f>IFERROR(VLOOKUP($A37,Admission!$1:$998,5,0),"")</f>
        <v/>
      </c>
      <c r="D37" s="66" t="str">
        <f>IFERROR(VLOOKUP($A37,Admission!$1:$998,10,0),"")</f>
        <v/>
      </c>
      <c r="E37" s="66" t="str">
        <f>IFERROR(VLOOKUP($A37,Admission!$1:$998,3,0),"")</f>
        <v/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1:21" ht="15.75" customHeight="1" x14ac:dyDescent="0.15">
      <c r="A38" s="58"/>
      <c r="B38" s="66" t="str">
        <f>IFERROR(VLOOKUP($A38,Admission!$1:$998,4,0),"")</f>
        <v/>
      </c>
      <c r="C38" s="66" t="str">
        <f>IFERROR(VLOOKUP($A38,Admission!$1:$998,5,0),"")</f>
        <v/>
      </c>
      <c r="D38" s="66" t="str">
        <f>IFERROR(VLOOKUP($A38,Admission!$1:$998,10,0),"")</f>
        <v/>
      </c>
      <c r="E38" s="66" t="str">
        <f>IFERROR(VLOOKUP($A38,Admission!$1:$998,3,0),"")</f>
        <v/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1:21" ht="15.75" customHeight="1" x14ac:dyDescent="0.15">
      <c r="A39" s="58"/>
      <c r="B39" s="66" t="str">
        <f>IFERROR(VLOOKUP($A39,Admission!$1:$998,4,0),"")</f>
        <v/>
      </c>
      <c r="C39" s="66" t="str">
        <f>IFERROR(VLOOKUP($A39,Admission!$1:$998,5,0),"")</f>
        <v/>
      </c>
      <c r="D39" s="66" t="str">
        <f>IFERROR(VLOOKUP($A39,Admission!$1:$998,10,0),"")</f>
        <v/>
      </c>
      <c r="E39" s="66" t="str">
        <f>IFERROR(VLOOKUP($A39,Admission!$1:$998,3,0),"")</f>
        <v/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ht="15.75" customHeight="1" x14ac:dyDescent="0.15">
      <c r="A40" s="58"/>
      <c r="B40" s="66" t="str">
        <f>IFERROR(VLOOKUP($A40,Admission!$1:$998,4,0),"")</f>
        <v/>
      </c>
      <c r="C40" s="66" t="str">
        <f>IFERROR(VLOOKUP($A40,Admission!$1:$998,5,0),"")</f>
        <v/>
      </c>
      <c r="D40" s="66" t="str">
        <f>IFERROR(VLOOKUP($A40,Admission!$1:$998,10,0),"")</f>
        <v/>
      </c>
      <c r="E40" s="66" t="str">
        <f>IFERROR(VLOOKUP($A40,Admission!$1:$998,3,0),"")</f>
        <v/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1:21" ht="15.75" customHeight="1" x14ac:dyDescent="0.15">
      <c r="A41" s="58"/>
      <c r="B41" s="66" t="str">
        <f>IFERROR(VLOOKUP($A41,Admission!$1:$998,4,0),"")</f>
        <v/>
      </c>
      <c r="C41" s="66" t="str">
        <f>IFERROR(VLOOKUP($A41,Admission!$1:$998,5,0),"")</f>
        <v/>
      </c>
      <c r="D41" s="66" t="str">
        <f>IFERROR(VLOOKUP($A41,Admission!$1:$998,10,0),"")</f>
        <v/>
      </c>
      <c r="E41" s="66" t="str">
        <f>IFERROR(VLOOKUP($A41,Admission!$1:$998,3,0),"")</f>
        <v/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1:21" ht="15.75" customHeight="1" x14ac:dyDescent="0.15">
      <c r="A42" s="58"/>
      <c r="B42" s="66" t="str">
        <f>IFERROR(VLOOKUP($A42,Admission!$1:$998,4,0),"")</f>
        <v/>
      </c>
      <c r="C42" s="66" t="str">
        <f>IFERROR(VLOOKUP($A42,Admission!$1:$998,5,0),"")</f>
        <v/>
      </c>
      <c r="D42" s="66" t="str">
        <f>IFERROR(VLOOKUP($A42,Admission!$1:$998,10,0),"")</f>
        <v/>
      </c>
      <c r="E42" s="66" t="str">
        <f>IFERROR(VLOOKUP($A42,Admission!$1:$998,3,0),"")</f>
        <v/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1:21" ht="15.75" customHeight="1" x14ac:dyDescent="0.15">
      <c r="A43" s="58"/>
      <c r="B43" s="66" t="str">
        <f>IFERROR(VLOOKUP($A43,Admission!$1:$998,4,0),"")</f>
        <v/>
      </c>
      <c r="C43" s="66" t="str">
        <f>IFERROR(VLOOKUP($A43,Admission!$1:$998,5,0),"")</f>
        <v/>
      </c>
      <c r="D43" s="66" t="str">
        <f>IFERROR(VLOOKUP($A43,Admission!$1:$998,10,0),"")</f>
        <v/>
      </c>
      <c r="E43" s="66" t="str">
        <f>IFERROR(VLOOKUP($A43,Admission!$1:$998,3,0),"")</f>
        <v/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21" ht="15.75" customHeight="1" x14ac:dyDescent="0.15">
      <c r="A44" s="58"/>
      <c r="B44" s="66" t="str">
        <f>IFERROR(VLOOKUP($A44,Admission!$1:$998,4,0),"")</f>
        <v/>
      </c>
      <c r="C44" s="66" t="str">
        <f>IFERROR(VLOOKUP($A44,Admission!$1:$998,5,0),"")</f>
        <v/>
      </c>
      <c r="D44" s="66" t="str">
        <f>IFERROR(VLOOKUP($A44,Admission!$1:$998,10,0),"")</f>
        <v/>
      </c>
      <c r="E44" s="66" t="str">
        <f>IFERROR(VLOOKUP($A44,Admission!$1:$998,3,0),"")</f>
        <v/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21" ht="15.75" customHeight="1" x14ac:dyDescent="0.15">
      <c r="A45" s="58"/>
      <c r="B45" s="66" t="str">
        <f>IFERROR(VLOOKUP($A45,Admission!$1:$998,4,0),"")</f>
        <v/>
      </c>
      <c r="C45" s="66" t="str">
        <f>IFERROR(VLOOKUP($A45,Admission!$1:$998,5,0),"")</f>
        <v/>
      </c>
      <c r="D45" s="66" t="str">
        <f>IFERROR(VLOOKUP($A45,Admission!$1:$998,10,0),"")</f>
        <v/>
      </c>
      <c r="E45" s="66" t="str">
        <f>IFERROR(VLOOKUP($A45,Admission!$1:$998,3,0),"")</f>
        <v/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1:21" ht="15.75" customHeight="1" x14ac:dyDescent="0.15">
      <c r="A46" s="58"/>
      <c r="B46" s="66" t="str">
        <f>IFERROR(VLOOKUP($A46,Admission!$1:$998,4,0),"")</f>
        <v/>
      </c>
      <c r="C46" s="66" t="str">
        <f>IFERROR(VLOOKUP($A46,Admission!$1:$998,5,0),"")</f>
        <v/>
      </c>
      <c r="D46" s="66" t="str">
        <f>IFERROR(VLOOKUP($A46,Admission!$1:$998,10,0),"")</f>
        <v/>
      </c>
      <c r="E46" s="66" t="str">
        <f>IFERROR(VLOOKUP($A46,Admission!$1:$998,3,0),"")</f>
        <v/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1:21" ht="15.75" customHeight="1" x14ac:dyDescent="0.15">
      <c r="A47" s="58"/>
      <c r="B47" s="66" t="str">
        <f>IFERROR(VLOOKUP($A47,Admission!$1:$998,4,0),"")</f>
        <v/>
      </c>
      <c r="C47" s="66" t="str">
        <f>IFERROR(VLOOKUP($A47,Admission!$1:$998,5,0),"")</f>
        <v/>
      </c>
      <c r="D47" s="66" t="str">
        <f>IFERROR(VLOOKUP($A47,Admission!$1:$998,10,0),"")</f>
        <v/>
      </c>
      <c r="E47" s="66" t="str">
        <f>IFERROR(VLOOKUP($A47,Admission!$1:$998,3,0),"")</f>
        <v/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1:21" ht="15.75" customHeight="1" x14ac:dyDescent="0.15">
      <c r="A48" s="58"/>
      <c r="B48" s="66" t="str">
        <f>IFERROR(VLOOKUP($A48,Admission!$1:$998,4,0),"")</f>
        <v/>
      </c>
      <c r="C48" s="66" t="str">
        <f>IFERROR(VLOOKUP($A48,Admission!$1:$998,5,0),"")</f>
        <v/>
      </c>
      <c r="D48" s="66" t="str">
        <f>IFERROR(VLOOKUP($A48,Admission!$1:$998,10,0),"")</f>
        <v/>
      </c>
      <c r="E48" s="66" t="str">
        <f>IFERROR(VLOOKUP($A48,Admission!$1:$998,3,0),"")</f>
        <v/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1:21" ht="15.75" customHeight="1" x14ac:dyDescent="0.15">
      <c r="A49" s="58"/>
      <c r="B49" s="66" t="str">
        <f>IFERROR(VLOOKUP($A49,Admission!$1:$998,4,0),"")</f>
        <v/>
      </c>
      <c r="C49" s="66" t="str">
        <f>IFERROR(VLOOKUP($A49,Admission!$1:$998,5,0),"")</f>
        <v/>
      </c>
      <c r="D49" s="66" t="str">
        <f>IFERROR(VLOOKUP($A49,Admission!$1:$998,10,0),"")</f>
        <v/>
      </c>
      <c r="E49" s="66" t="str">
        <f>IFERROR(VLOOKUP($A49,Admission!$1:$998,3,0),"")</f>
        <v/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1:21" ht="15.75" customHeight="1" x14ac:dyDescent="0.15">
      <c r="A50" s="58"/>
      <c r="B50" s="66" t="str">
        <f>IFERROR(VLOOKUP($A50,Admission!$1:$998,4,0),"")</f>
        <v/>
      </c>
      <c r="C50" s="66" t="str">
        <f>IFERROR(VLOOKUP($A50,Admission!$1:$998,5,0),"")</f>
        <v/>
      </c>
      <c r="D50" s="66"/>
      <c r="E50" s="66" t="str">
        <f>IFERROR(VLOOKUP($A50,Admission!$1:$998,3,0),"")</f>
        <v/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1:21" ht="15.75" customHeight="1" x14ac:dyDescent="0.15">
      <c r="A51" s="58"/>
      <c r="B51" s="66" t="str">
        <f>IFERROR(VLOOKUP($A51,Admission!$1:$998,4,0),"")</f>
        <v/>
      </c>
      <c r="C51" s="66" t="str">
        <f>IFERROR(VLOOKUP($A51,Admission!$1:$998,5,0),"")</f>
        <v/>
      </c>
      <c r="D51" s="66"/>
      <c r="E51" s="66" t="str">
        <f>IFERROR(VLOOKUP($A51,Admission!$1:$998,3,0),"")</f>
        <v/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</row>
    <row r="52" spans="1:21" ht="15.75" customHeight="1" x14ac:dyDescent="0.15">
      <c r="A52" s="58"/>
      <c r="B52" s="66" t="str">
        <f>IFERROR(VLOOKUP($A52,Admission!$1:$998,4,0),"")</f>
        <v/>
      </c>
      <c r="C52" s="66" t="str">
        <f>IFERROR(VLOOKUP($A52,Admission!$1:$998,5,0),"")</f>
        <v/>
      </c>
      <c r="D52" s="66"/>
      <c r="E52" s="66" t="str">
        <f>IFERROR(VLOOKUP($A52,Admission!$1:$998,3,0),"")</f>
        <v/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ht="15.75" customHeight="1" x14ac:dyDescent="0.15">
      <c r="A53" s="58"/>
      <c r="B53" s="66" t="str">
        <f>IFERROR(VLOOKUP($A53,Admission!$1:$998,4,0),"")</f>
        <v/>
      </c>
      <c r="C53" s="66" t="str">
        <f>IFERROR(VLOOKUP($A53,Admission!$1:$998,5,0),"")</f>
        <v/>
      </c>
      <c r="D53" s="66"/>
      <c r="E53" s="66" t="str">
        <f>IFERROR(VLOOKUP($A53,Admission!$1:$998,3,0),"")</f>
        <v/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1:21" ht="15.75" customHeight="1" x14ac:dyDescent="0.15">
      <c r="A54" s="58"/>
      <c r="B54" s="66" t="str">
        <f>IFERROR(VLOOKUP($A54,Admission!$1:$998,4,0),"")</f>
        <v/>
      </c>
      <c r="C54" s="66" t="str">
        <f>IFERROR(VLOOKUP($A54,Admission!$1:$998,5,0),"")</f>
        <v/>
      </c>
      <c r="D54" s="66"/>
      <c r="E54" s="66" t="str">
        <f>IFERROR(VLOOKUP($A54,Admission!$1:$998,3,0),"")</f>
        <v/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1:21" ht="15.75" customHeight="1" x14ac:dyDescent="0.15">
      <c r="A55" s="58"/>
      <c r="B55" s="66" t="str">
        <f>IFERROR(VLOOKUP($A55,Admission!$1:$998,4,0),"")</f>
        <v/>
      </c>
      <c r="C55" s="66" t="str">
        <f>IFERROR(VLOOKUP($A55,Admission!$1:$998,5,0),"")</f>
        <v/>
      </c>
      <c r="D55" s="66"/>
      <c r="E55" s="66" t="str">
        <f>IFERROR(VLOOKUP($A55,Admission!$1:$998,3,0),"")</f>
        <v/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 spans="1:21" ht="15.75" customHeight="1" x14ac:dyDescent="0.15">
      <c r="A56" s="58"/>
      <c r="B56" s="66" t="str">
        <f>IFERROR(VLOOKUP($A56,Admission!$1:$998,4,0),"")</f>
        <v/>
      </c>
      <c r="C56" s="66" t="str">
        <f>IFERROR(VLOOKUP($A56,Admission!$1:$998,5,0),"")</f>
        <v/>
      </c>
      <c r="D56" s="66"/>
      <c r="E56" s="66" t="str">
        <f>IFERROR(VLOOKUP($A56,Admission!$1:$998,3,0),"")</f>
        <v/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1:21" ht="15.75" customHeight="1" x14ac:dyDescent="0.15">
      <c r="A57" s="58"/>
      <c r="B57" s="66" t="str">
        <f>IFERROR(VLOOKUP($A57,Admission!$1:$998,4,0),"")</f>
        <v/>
      </c>
      <c r="C57" s="66" t="str">
        <f>IFERROR(VLOOKUP($A57,Admission!$1:$998,5,0),"")</f>
        <v/>
      </c>
      <c r="D57" s="66"/>
      <c r="E57" s="66" t="str">
        <f>IFERROR(VLOOKUP($A57,Admission!$1:$998,3,0),"")</f>
        <v/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1:21" ht="15.75" customHeight="1" x14ac:dyDescent="0.15">
      <c r="A58" s="58"/>
      <c r="B58" s="66" t="str">
        <f>IFERROR(VLOOKUP($A58,Admission!$1:$998,4,0),"")</f>
        <v/>
      </c>
      <c r="C58" s="66" t="str">
        <f>IFERROR(VLOOKUP($A58,Admission!$1:$998,5,0),"")</f>
        <v/>
      </c>
      <c r="D58" s="66"/>
      <c r="E58" s="66" t="str">
        <f>IFERROR(VLOOKUP($A58,Admission!$1:$998,3,0),"")</f>
        <v/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1:21" ht="15.75" customHeight="1" x14ac:dyDescent="0.15">
      <c r="A59" s="58"/>
      <c r="B59" s="66" t="str">
        <f>IFERROR(VLOOKUP($A59,Admission!$1:$998,4,0),"")</f>
        <v/>
      </c>
      <c r="C59" s="66" t="str">
        <f>IFERROR(VLOOKUP($A59,Admission!$1:$998,5,0),"")</f>
        <v/>
      </c>
      <c r="D59" s="66"/>
      <c r="E59" s="66" t="str">
        <f>IFERROR(VLOOKUP($A59,Admission!$1:$998,3,0),"")</f>
        <v/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1:21" ht="15.75" customHeight="1" x14ac:dyDescent="0.15">
      <c r="A60" s="58"/>
      <c r="B60" s="66" t="str">
        <f>IFERROR(VLOOKUP($A60,Admission!$1:$998,4,0),"")</f>
        <v/>
      </c>
      <c r="C60" s="66" t="str">
        <f>IFERROR(VLOOKUP($A60,Admission!$1:$998,5,0),"")</f>
        <v/>
      </c>
      <c r="D60" s="66"/>
      <c r="E60" s="66" t="str">
        <f>IFERROR(VLOOKUP($A60,Admission!$1:$998,3,0),"")</f>
        <v/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</row>
    <row r="61" spans="1:21" ht="15.75" customHeight="1" x14ac:dyDescent="0.15">
      <c r="A61" s="58"/>
      <c r="B61" s="66" t="str">
        <f>IFERROR(VLOOKUP($A61,Admission!$1:$998,4,0),"")</f>
        <v/>
      </c>
      <c r="C61" s="66" t="str">
        <f>IFERROR(VLOOKUP($A61,Admission!$1:$998,5,0),"")</f>
        <v/>
      </c>
      <c r="D61" s="66"/>
      <c r="E61" s="66" t="str">
        <f>IFERROR(VLOOKUP($A61,Admission!$1:$998,3,0),"")</f>
        <v/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1:21" ht="15.75" customHeight="1" x14ac:dyDescent="0.15">
      <c r="A62" s="58"/>
      <c r="B62" s="66" t="str">
        <f>IFERROR(VLOOKUP($A62,Admission!$1:$998,4,0),"")</f>
        <v/>
      </c>
      <c r="C62" s="66" t="str">
        <f>IFERROR(VLOOKUP($A62,Admission!$1:$998,5,0),"")</f>
        <v/>
      </c>
      <c r="D62" s="66"/>
      <c r="E62" s="66" t="str">
        <f>IFERROR(VLOOKUP($A62,Admission!$1:$998,3,0),"")</f>
        <v/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1:21" ht="15.75" customHeight="1" x14ac:dyDescent="0.15">
      <c r="A63" s="58"/>
      <c r="B63" s="66" t="str">
        <f>IFERROR(VLOOKUP($A63,Admission!$1:$998,4,0),"")</f>
        <v/>
      </c>
      <c r="C63" s="66" t="str">
        <f>IFERROR(VLOOKUP($A63,Admission!$1:$998,5,0),"")</f>
        <v/>
      </c>
      <c r="D63" s="66"/>
      <c r="E63" s="66" t="str">
        <f>IFERROR(VLOOKUP($A63,Admission!$1:$998,3,0),"")</f>
        <v/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1:21" ht="15.75" customHeight="1" x14ac:dyDescent="0.15">
      <c r="A64" s="58"/>
      <c r="B64" s="66" t="str">
        <f>IFERROR(VLOOKUP($A64,Admission!$1:$998,4,0),"")</f>
        <v/>
      </c>
      <c r="C64" s="66" t="str">
        <f>IFERROR(VLOOKUP($A64,Admission!$1:$998,5,0),"")</f>
        <v/>
      </c>
      <c r="D64" s="66"/>
      <c r="E64" s="66" t="str">
        <f>IFERROR(VLOOKUP($A64,Admission!$1:$998,3,0),"")</f>
        <v/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</row>
    <row r="65" spans="1:21" ht="15.75" customHeight="1" x14ac:dyDescent="0.15">
      <c r="A65" s="58"/>
      <c r="B65" s="66" t="str">
        <f>IFERROR(VLOOKUP($A65,Admission!$1:$998,4,0),"")</f>
        <v/>
      </c>
      <c r="C65" s="66" t="str">
        <f>IFERROR(VLOOKUP($A65,Admission!$1:$998,5,0),"")</f>
        <v/>
      </c>
      <c r="D65" s="66"/>
      <c r="E65" s="66" t="str">
        <f>IFERROR(VLOOKUP($A65,Admission!$1:$998,3,0),"")</f>
        <v/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1:21" ht="15.75" customHeight="1" x14ac:dyDescent="0.15">
      <c r="A66" s="58"/>
      <c r="B66" s="66" t="str">
        <f>IFERROR(VLOOKUP($A66,Admission!$1:$998,4,0),"")</f>
        <v/>
      </c>
      <c r="C66" s="66" t="str">
        <f>IFERROR(VLOOKUP($A66,Admission!$1:$998,5,0),"")</f>
        <v/>
      </c>
      <c r="D66" s="66"/>
      <c r="E66" s="66" t="str">
        <f>IFERROR(VLOOKUP($A66,Admission!$1:$998,3,0),"")</f>
        <v/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1:21" ht="15.75" customHeight="1" x14ac:dyDescent="0.15">
      <c r="A67" s="58"/>
      <c r="B67" s="66" t="str">
        <f>IFERROR(VLOOKUP($A67,Admission!$1:$998,4,0),"")</f>
        <v/>
      </c>
      <c r="C67" s="66" t="str">
        <f>IFERROR(VLOOKUP($A67,Admission!$1:$998,5,0),"")</f>
        <v/>
      </c>
      <c r="D67" s="66"/>
      <c r="E67" s="66" t="str">
        <f>IFERROR(VLOOKUP($A67,Admission!$1:$998,3,0),"")</f>
        <v/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1:21" ht="15.75" customHeight="1" x14ac:dyDescent="0.15">
      <c r="A68" s="58"/>
      <c r="B68" s="66" t="str">
        <f>IFERROR(VLOOKUP($A68,Admission!$1:$998,4,0),"")</f>
        <v/>
      </c>
      <c r="C68" s="66" t="str">
        <f>IFERROR(VLOOKUP($A68,Admission!$1:$998,5,0),"")</f>
        <v/>
      </c>
      <c r="D68" s="66"/>
      <c r="E68" s="66" t="str">
        <f>IFERROR(VLOOKUP($A68,Admission!$1:$998,3,0),"")</f>
        <v/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</row>
    <row r="69" spans="1:21" ht="15.75" customHeight="1" x14ac:dyDescent="0.15">
      <c r="A69" s="58"/>
      <c r="B69" s="66" t="str">
        <f>IFERROR(VLOOKUP($A69,Admission!$1:$998,4,0),"")</f>
        <v/>
      </c>
      <c r="C69" s="66" t="str">
        <f>IFERROR(VLOOKUP($A69,Admission!$1:$998,5,0),"")</f>
        <v/>
      </c>
      <c r="D69" s="66"/>
      <c r="E69" s="66" t="str">
        <f>IFERROR(VLOOKUP($A69,Admission!$1:$998,3,0),"")</f>
        <v/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1:21" ht="15.75" customHeight="1" x14ac:dyDescent="0.15">
      <c r="A70" s="58"/>
      <c r="B70" s="66" t="str">
        <f>IFERROR(VLOOKUP($A70,Admission!$1:$998,4,0),"")</f>
        <v/>
      </c>
      <c r="C70" s="66" t="str">
        <f>IFERROR(VLOOKUP($A70,Admission!$1:$998,5,0),"")</f>
        <v/>
      </c>
      <c r="D70" s="66"/>
      <c r="E70" s="66" t="str">
        <f>IFERROR(VLOOKUP($A70,Admission!$1:$998,3,0),"")</f>
        <v/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1:21" ht="15.75" customHeight="1" x14ac:dyDescent="0.15">
      <c r="A71" s="58"/>
      <c r="B71" s="66" t="str">
        <f>IFERROR(VLOOKUP($A71,Admission!$1:$998,4,0),"")</f>
        <v/>
      </c>
      <c r="C71" s="66" t="str">
        <f>IFERROR(VLOOKUP($A71,Admission!$1:$998,5,0),"")</f>
        <v/>
      </c>
      <c r="D71" s="66"/>
      <c r="E71" s="66" t="str">
        <f>IFERROR(VLOOKUP($A71,Admission!$1:$998,3,0),"")</f>
        <v/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1:21" ht="15.75" customHeight="1" x14ac:dyDescent="0.15">
      <c r="A72" s="58"/>
      <c r="B72" s="66" t="str">
        <f>IFERROR(VLOOKUP($A72,Admission!$1:$998,4,0),"")</f>
        <v/>
      </c>
      <c r="C72" s="66" t="str">
        <f>IFERROR(VLOOKUP($A72,Admission!$1:$998,5,0),"")</f>
        <v/>
      </c>
      <c r="D72" s="66"/>
      <c r="E72" s="66" t="str">
        <f>IFERROR(VLOOKUP($A72,Admission!$1:$998,3,0),"")</f>
        <v/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1:21" ht="15.75" customHeight="1" x14ac:dyDescent="0.15">
      <c r="A73" s="58"/>
      <c r="B73" s="66" t="str">
        <f>IFERROR(VLOOKUP($A73,Admission!$1:$998,4,0),"")</f>
        <v/>
      </c>
      <c r="C73" s="66" t="str">
        <f>IFERROR(VLOOKUP($A73,Admission!$1:$998,5,0),"")</f>
        <v/>
      </c>
      <c r="D73" s="66"/>
      <c r="E73" s="66" t="str">
        <f>IFERROR(VLOOKUP($A73,Admission!$1:$998,3,0),"")</f>
        <v/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</row>
    <row r="74" spans="1:21" ht="15.75" customHeight="1" x14ac:dyDescent="0.15">
      <c r="A74" s="58"/>
      <c r="B74" s="66" t="str">
        <f>IFERROR(VLOOKUP($A74,Admission!$1:$998,4,0),"")</f>
        <v/>
      </c>
      <c r="C74" s="66" t="str">
        <f>IFERROR(VLOOKUP($A74,Admission!$1:$998,5,0),"")</f>
        <v/>
      </c>
      <c r="D74" s="66"/>
      <c r="E74" s="66" t="str">
        <f>IFERROR(VLOOKUP($A74,Admission!$1:$998,3,0),"")</f>
        <v/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1:21" ht="15.75" customHeight="1" x14ac:dyDescent="0.15">
      <c r="A75" s="58"/>
      <c r="B75" s="66" t="str">
        <f>IFERROR(VLOOKUP($A75,Admission!$1:$998,4,0),"")</f>
        <v/>
      </c>
      <c r="C75" s="66" t="str">
        <f>IFERROR(VLOOKUP($A75,Admission!$1:$998,5,0),"")</f>
        <v/>
      </c>
      <c r="D75" s="66"/>
      <c r="E75" s="66" t="str">
        <f>IFERROR(VLOOKUP($A75,Admission!$1:$998,3,0),"")</f>
        <v/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1:21" ht="15.75" customHeight="1" x14ac:dyDescent="0.15">
      <c r="A76" s="58"/>
      <c r="B76" s="66" t="str">
        <f>IFERROR(VLOOKUP($A76,Admission!$1:$998,4,0),"")</f>
        <v/>
      </c>
      <c r="C76" s="66" t="str">
        <f>IFERROR(VLOOKUP($A76,Admission!$1:$998,5,0),"")</f>
        <v/>
      </c>
      <c r="D76" s="66"/>
      <c r="E76" s="66" t="str">
        <f>IFERROR(VLOOKUP($A76,Admission!$1:$998,3,0),"")</f>
        <v/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1:21" ht="15.75" customHeight="1" x14ac:dyDescent="0.15">
      <c r="A77" s="58"/>
      <c r="B77" s="66" t="str">
        <f>IFERROR(VLOOKUP($A77,Admission!$1:$998,4,0),"")</f>
        <v/>
      </c>
      <c r="C77" s="66" t="str">
        <f>IFERROR(VLOOKUP($A77,Admission!$1:$998,5,0),"")</f>
        <v/>
      </c>
      <c r="D77" s="66"/>
      <c r="E77" s="66" t="str">
        <f>IFERROR(VLOOKUP($A77,Admission!$1:$998,3,0),"")</f>
        <v/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1:21" ht="15.75" customHeight="1" x14ac:dyDescent="0.15">
      <c r="A78" s="58"/>
      <c r="B78" s="66" t="str">
        <f>IFERROR(VLOOKUP($A78,Admission!$1:$998,4,0),"")</f>
        <v/>
      </c>
      <c r="C78" s="66" t="str">
        <f>IFERROR(VLOOKUP($A78,Admission!$1:$998,5,0),"")</f>
        <v/>
      </c>
      <c r="D78" s="66"/>
      <c r="E78" s="66" t="str">
        <f>IFERROR(VLOOKUP($A78,Admission!$1:$998,3,0),"")</f>
        <v/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1:21" ht="15.75" customHeight="1" x14ac:dyDescent="0.15">
      <c r="A79" s="58"/>
      <c r="B79" s="66" t="str">
        <f>IFERROR(VLOOKUP($A79,Admission!$1:$998,4,0),"")</f>
        <v/>
      </c>
      <c r="C79" s="66" t="str">
        <f>IFERROR(VLOOKUP($A79,Admission!$1:$998,5,0),"")</f>
        <v/>
      </c>
      <c r="D79" s="66"/>
      <c r="E79" s="66" t="str">
        <f>IFERROR(VLOOKUP($A79,Admission!$1:$998,3,0),"")</f>
        <v/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1:21" ht="15.75" customHeight="1" x14ac:dyDescent="0.15">
      <c r="A80" s="58"/>
      <c r="B80" s="66" t="str">
        <f>IFERROR(VLOOKUP($A80,Admission!$1:$998,4,0),"")</f>
        <v/>
      </c>
      <c r="C80" s="66" t="str">
        <f>IFERROR(VLOOKUP($A80,Admission!$1:$998,5,0),"")</f>
        <v/>
      </c>
      <c r="D80" s="66"/>
      <c r="E80" s="66" t="str">
        <f>IFERROR(VLOOKUP($A80,Admission!$1:$998,3,0),"")</f>
        <v/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1:21" ht="15.75" customHeight="1" x14ac:dyDescent="0.15">
      <c r="A81" s="58"/>
      <c r="B81" s="66" t="str">
        <f>IFERROR(VLOOKUP($A81,Admission!$1:$998,4,0),"")</f>
        <v/>
      </c>
      <c r="C81" s="66" t="str">
        <f>IFERROR(VLOOKUP($A81,Admission!$1:$998,5,0),"")</f>
        <v/>
      </c>
      <c r="D81" s="66"/>
      <c r="E81" s="66" t="str">
        <f>IFERROR(VLOOKUP($A81,Admission!$1:$998,3,0),"")</f>
        <v/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1:21" ht="15.75" customHeight="1" x14ac:dyDescent="0.15">
      <c r="A82" s="58"/>
      <c r="B82" s="66" t="str">
        <f>IFERROR(VLOOKUP($A82,Admission!$1:$998,4,0),"")</f>
        <v/>
      </c>
      <c r="C82" s="66" t="str">
        <f>IFERROR(VLOOKUP($A82,Admission!$1:$998,5,0),"")</f>
        <v/>
      </c>
      <c r="D82" s="66"/>
      <c r="E82" s="66" t="str">
        <f>IFERROR(VLOOKUP($A82,Admission!$1:$998,3,0),"")</f>
        <v/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1:21" ht="15.75" customHeight="1" x14ac:dyDescent="0.15">
      <c r="A83" s="58"/>
      <c r="B83" s="66" t="str">
        <f>IFERROR(VLOOKUP($A83,Admission!$1:$998,4,0),"")</f>
        <v/>
      </c>
      <c r="C83" s="66" t="str">
        <f>IFERROR(VLOOKUP($A83,Admission!$1:$998,5,0),"")</f>
        <v/>
      </c>
      <c r="D83" s="66"/>
      <c r="E83" s="66" t="str">
        <f>IFERROR(VLOOKUP($A83,Admission!$1:$998,3,0),"")</f>
        <v/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1:21" ht="15.75" customHeight="1" x14ac:dyDescent="0.15">
      <c r="A84" s="58"/>
      <c r="B84" s="66" t="str">
        <f>IFERROR(VLOOKUP($A84,Admission!$1:$998,4,0),"")</f>
        <v/>
      </c>
      <c r="C84" s="66" t="str">
        <f>IFERROR(VLOOKUP($A84,Admission!$1:$998,5,0),"")</f>
        <v/>
      </c>
      <c r="D84" s="66"/>
      <c r="E84" s="66" t="str">
        <f>IFERROR(VLOOKUP($A84,Admission!$1:$998,3,0),"")</f>
        <v/>
      </c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1:21" ht="15.75" customHeight="1" x14ac:dyDescent="0.15">
      <c r="A85" s="58"/>
      <c r="B85" s="66" t="str">
        <f>IFERROR(VLOOKUP($A85,Admission!$1:$998,4,0),"")</f>
        <v/>
      </c>
      <c r="C85" s="66" t="str">
        <f>IFERROR(VLOOKUP($A85,Admission!$1:$998,5,0),"")</f>
        <v/>
      </c>
      <c r="D85" s="66"/>
      <c r="E85" s="66" t="str">
        <f>IFERROR(VLOOKUP($A85,Admission!$1:$998,3,0),"")</f>
        <v/>
      </c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1:21" ht="15.75" customHeight="1" x14ac:dyDescent="0.15">
      <c r="A86" s="58"/>
      <c r="B86" s="66" t="str">
        <f>IFERROR(VLOOKUP($A86,Admission!$1:$998,4,0),"")</f>
        <v/>
      </c>
      <c r="C86" s="66" t="str">
        <f>IFERROR(VLOOKUP($A86,Admission!$1:$998,5,0),"")</f>
        <v/>
      </c>
      <c r="D86" s="66"/>
      <c r="E86" s="66" t="str">
        <f>IFERROR(VLOOKUP($A86,Admission!$1:$998,3,0),"")</f>
        <v/>
      </c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1:21" ht="15.75" customHeight="1" x14ac:dyDescent="0.15">
      <c r="A87" s="58"/>
      <c r="B87" s="66" t="str">
        <f>IFERROR(VLOOKUP($A87,Admission!$1:$998,4,0),"")</f>
        <v/>
      </c>
      <c r="C87" s="66" t="str">
        <f>IFERROR(VLOOKUP($A87,Admission!$1:$998,5,0),"")</f>
        <v/>
      </c>
      <c r="D87" s="66"/>
      <c r="E87" s="66" t="str">
        <f>IFERROR(VLOOKUP($A87,Admission!$1:$998,3,0),"")</f>
        <v/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1:21" ht="15.75" customHeight="1" x14ac:dyDescent="0.15">
      <c r="A88" s="58"/>
      <c r="B88" s="66" t="str">
        <f>IFERROR(VLOOKUP($A88,Admission!$1:$998,4,0),"")</f>
        <v/>
      </c>
      <c r="C88" s="66" t="str">
        <f>IFERROR(VLOOKUP($A88,Admission!$1:$998,5,0),"")</f>
        <v/>
      </c>
      <c r="D88" s="66"/>
      <c r="E88" s="66" t="str">
        <f>IFERROR(VLOOKUP($A88,Admission!$1:$998,3,0),"")</f>
        <v/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1:21" ht="15.75" customHeight="1" x14ac:dyDescent="0.15">
      <c r="A89" s="58"/>
      <c r="B89" s="66" t="str">
        <f>IFERROR(VLOOKUP($A89,Admission!$1:$998,4,0),"")</f>
        <v/>
      </c>
      <c r="C89" s="66" t="str">
        <f>IFERROR(VLOOKUP($A89,Admission!$1:$998,5,0),"")</f>
        <v/>
      </c>
      <c r="D89" s="66"/>
      <c r="E89" s="66" t="str">
        <f>IFERROR(VLOOKUP($A89,Admission!$1:$998,3,0),"")</f>
        <v/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1:21" ht="15.75" customHeight="1" x14ac:dyDescent="0.15">
      <c r="A90" s="58"/>
      <c r="B90" s="66" t="str">
        <f>IFERROR(VLOOKUP($A90,Admission!$1:$998,4,0),"")</f>
        <v/>
      </c>
      <c r="C90" s="66" t="str">
        <f>IFERROR(VLOOKUP($A90,Admission!$1:$998,5,0),"")</f>
        <v/>
      </c>
      <c r="D90" s="66"/>
      <c r="E90" s="66" t="str">
        <f>IFERROR(VLOOKUP($A90,Admission!$1:$998,3,0),"")</f>
        <v/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1:21" ht="13" x14ac:dyDescent="0.15">
      <c r="A91" s="58"/>
      <c r="B91" s="66" t="str">
        <f>IFERROR(VLOOKUP($A91,Admission!$1:$998,4,0),"")</f>
        <v/>
      </c>
      <c r="C91" s="66" t="str">
        <f>IFERROR(VLOOKUP($A91,Admission!$1:$998,5,0),"")</f>
        <v/>
      </c>
      <c r="D91" s="66"/>
      <c r="E91" s="66" t="str">
        <f>IFERROR(VLOOKUP($A91,Admission!$1:$998,3,0),"")</f>
        <v/>
      </c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1:21" ht="13" x14ac:dyDescent="0.15">
      <c r="A92" s="58"/>
      <c r="B92" s="66" t="str">
        <f>IFERROR(VLOOKUP($A92,Admission!$1:$998,4,0),"")</f>
        <v/>
      </c>
      <c r="C92" s="66" t="str">
        <f>IFERROR(VLOOKUP($A92,Admission!$1:$998,5,0),"")</f>
        <v/>
      </c>
      <c r="D92" s="66"/>
      <c r="E92" s="66" t="str">
        <f>IFERROR(VLOOKUP($A92,Admission!$1:$998,3,0),"")</f>
        <v/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1:21" ht="13" x14ac:dyDescent="0.15">
      <c r="A93" s="58"/>
      <c r="B93" s="66" t="str">
        <f>IFERROR(VLOOKUP($A93,Admission!$1:$998,4,0),"")</f>
        <v/>
      </c>
      <c r="C93" s="66" t="str">
        <f>IFERROR(VLOOKUP($A93,Admission!$1:$998,5,0),"")</f>
        <v/>
      </c>
      <c r="D93" s="66"/>
      <c r="E93" s="66" t="str">
        <f>IFERROR(VLOOKUP($A93,Admission!$1:$998,3,0),"")</f>
        <v/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1:21" ht="13" x14ac:dyDescent="0.15">
      <c r="A94" s="58"/>
      <c r="B94" s="66" t="str">
        <f>IFERROR(VLOOKUP($A94,Admission!$1:$998,4,0),"")</f>
        <v/>
      </c>
      <c r="C94" s="66" t="str">
        <f>IFERROR(VLOOKUP($A94,Admission!$1:$998,5,0),"")</f>
        <v/>
      </c>
      <c r="D94" s="66"/>
      <c r="E94" s="66" t="str">
        <f>IFERROR(VLOOKUP($A94,Admission!$1:$998,3,0),"")</f>
        <v/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1:21" ht="13" x14ac:dyDescent="0.15">
      <c r="A95" s="58"/>
      <c r="B95" s="66" t="str">
        <f>IFERROR(VLOOKUP($A95,Admission!$1:$998,4,0),"")</f>
        <v/>
      </c>
      <c r="C95" s="66" t="str">
        <f>IFERROR(VLOOKUP($A95,Admission!$1:$998,5,0),"")</f>
        <v/>
      </c>
      <c r="D95" s="66"/>
      <c r="E95" s="66" t="str">
        <f>IFERROR(VLOOKUP($A95,Admission!$1:$998,3,0),"")</f>
        <v/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1:21" ht="13" x14ac:dyDescent="0.15">
      <c r="A96" s="58"/>
      <c r="B96" s="66" t="str">
        <f>IFERROR(VLOOKUP($A96,Admission!$1:$998,4,0),"")</f>
        <v/>
      </c>
      <c r="C96" s="66" t="str">
        <f>IFERROR(VLOOKUP($A96,Admission!$1:$998,5,0),"")</f>
        <v/>
      </c>
      <c r="D96" s="66"/>
      <c r="E96" s="66" t="str">
        <f>IFERROR(VLOOKUP($A96,Admission!$1:$998,3,0),"")</f>
        <v/>
      </c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1:21" ht="13" x14ac:dyDescent="0.15">
      <c r="A97" s="58"/>
      <c r="B97" s="66" t="str">
        <f>IFERROR(VLOOKUP($A97,Admission!$1:$998,4,0),"")</f>
        <v/>
      </c>
      <c r="C97" s="66" t="str">
        <f>IFERROR(VLOOKUP($A97,Admission!$1:$998,5,0),"")</f>
        <v/>
      </c>
      <c r="D97" s="66"/>
      <c r="E97" s="66" t="str">
        <f>IFERROR(VLOOKUP($A97,Admission!$1:$998,3,0),"")</f>
        <v/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1:21" ht="13" x14ac:dyDescent="0.15">
      <c r="A98" s="58"/>
      <c r="B98" s="66" t="str">
        <f>IFERROR(VLOOKUP($A98,Admission!$1:$998,4,0),"")</f>
        <v/>
      </c>
      <c r="C98" s="66" t="str">
        <f>IFERROR(VLOOKUP($A98,Admission!$1:$998,5,0),"")</f>
        <v/>
      </c>
      <c r="D98" s="66"/>
      <c r="E98" s="66" t="str">
        <f>IFERROR(VLOOKUP($A98,Admission!$1:$998,3,0),"")</f>
        <v/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1:21" ht="13" x14ac:dyDescent="0.15">
      <c r="A99" s="58"/>
      <c r="B99" s="66" t="str">
        <f>IFERROR(VLOOKUP($A99,Admission!$1:$998,4,0),"")</f>
        <v/>
      </c>
      <c r="C99" s="66" t="str">
        <f>IFERROR(VLOOKUP($A99,Admission!$1:$998,5,0),"")</f>
        <v/>
      </c>
      <c r="D99" s="66"/>
      <c r="E99" s="66" t="str">
        <f>IFERROR(VLOOKUP($A99,Admission!$1:$998,3,0),"")</f>
        <v/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1:21" ht="13" x14ac:dyDescent="0.15">
      <c r="A100" s="58"/>
      <c r="B100" s="66" t="str">
        <f>IFERROR(VLOOKUP($A100,Admission!$1:$998,4,0),"")</f>
        <v/>
      </c>
      <c r="C100" s="66" t="str">
        <f>IFERROR(VLOOKUP($A100,Admission!$1:$998,5,0),"")</f>
        <v/>
      </c>
      <c r="D100" s="66"/>
      <c r="E100" s="66" t="str">
        <f>IFERROR(VLOOKUP($A100,Admission!$1:$998,3,0),"")</f>
        <v/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1:21" ht="13" x14ac:dyDescent="0.15">
      <c r="A101" s="58"/>
      <c r="B101" s="66" t="str">
        <f>IFERROR(VLOOKUP($A101,Admission!$1:$998,4,0),"")</f>
        <v/>
      </c>
      <c r="C101" s="66" t="str">
        <f>IFERROR(VLOOKUP($A101,Admission!$1:$998,5,0),"")</f>
        <v/>
      </c>
      <c r="D101" s="66"/>
      <c r="E101" s="66" t="str">
        <f>IFERROR(VLOOKUP($A101,Admission!$1:$998,3,0),"")</f>
        <v/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1:21" ht="13" x14ac:dyDescent="0.15">
      <c r="A102" s="58"/>
      <c r="B102" s="66" t="str">
        <f>IFERROR(VLOOKUP($A102,Admission!$1:$998,4,0),"")</f>
        <v/>
      </c>
      <c r="C102" s="66" t="str">
        <f>IFERROR(VLOOKUP($A102,Admission!$1:$998,5,0),"")</f>
        <v/>
      </c>
      <c r="D102" s="66"/>
      <c r="E102" s="66" t="str">
        <f>IFERROR(VLOOKUP($A102,Admission!$1:$998,3,0),"")</f>
        <v/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1:21" ht="13" x14ac:dyDescent="0.15">
      <c r="A103" s="58"/>
      <c r="B103" s="66" t="str">
        <f>IFERROR(VLOOKUP($A103,Admission!$1:$998,4,0),"")</f>
        <v/>
      </c>
      <c r="C103" s="66" t="str">
        <f>IFERROR(VLOOKUP($A103,Admission!$1:$998,5,0),"")</f>
        <v/>
      </c>
      <c r="D103" s="66"/>
      <c r="E103" s="66" t="str">
        <f>IFERROR(VLOOKUP($A103,Admission!$1:$998,3,0),"")</f>
        <v/>
      </c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1:21" ht="13" x14ac:dyDescent="0.15">
      <c r="A104" s="58"/>
      <c r="B104" s="66" t="str">
        <f>IFERROR(VLOOKUP($A104,Admission!$1:$998,4,0),"")</f>
        <v/>
      </c>
      <c r="C104" s="66" t="str">
        <f>IFERROR(VLOOKUP($A104,Admission!$1:$998,5,0),"")</f>
        <v/>
      </c>
      <c r="D104" s="66"/>
      <c r="E104" s="66" t="str">
        <f>IFERROR(VLOOKUP($A104,Admission!$1:$998,3,0),"")</f>
        <v/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1:21" ht="13" x14ac:dyDescent="0.15">
      <c r="A105" s="58"/>
      <c r="B105" s="66" t="str">
        <f>IFERROR(VLOOKUP($A105,Admission!$1:$998,4,0),"")</f>
        <v/>
      </c>
      <c r="C105" s="66" t="str">
        <f>IFERROR(VLOOKUP($A105,Admission!$1:$998,5,0),"")</f>
        <v/>
      </c>
      <c r="D105" s="66"/>
      <c r="E105" s="66" t="str">
        <f>IFERROR(VLOOKUP($A105,Admission!$1:$998,3,0),"")</f>
        <v/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1:21" ht="13" x14ac:dyDescent="0.15">
      <c r="A106" s="58"/>
      <c r="B106" s="66" t="str">
        <f>IFERROR(VLOOKUP($A106,Admission!$1:$998,4,0),"")</f>
        <v/>
      </c>
      <c r="C106" s="66" t="str">
        <f>IFERROR(VLOOKUP($A106,Admission!$1:$998,5,0),"")</f>
        <v/>
      </c>
      <c r="D106" s="66"/>
      <c r="E106" s="66" t="str">
        <f>IFERROR(VLOOKUP($A106,Admission!$1:$998,3,0),"")</f>
        <v/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1:21" ht="13" x14ac:dyDescent="0.15">
      <c r="A107" s="58"/>
      <c r="B107" s="66" t="str">
        <f>IFERROR(VLOOKUP($A107,Admission!$1:$998,4,0),"")</f>
        <v/>
      </c>
      <c r="C107" s="66" t="str">
        <f>IFERROR(VLOOKUP($A107,Admission!$1:$998,5,0),"")</f>
        <v/>
      </c>
      <c r="D107" s="66"/>
      <c r="E107" s="66" t="str">
        <f>IFERROR(VLOOKUP($A107,Admission!$1:$998,3,0),"")</f>
        <v/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 ht="13" x14ac:dyDescent="0.15">
      <c r="A108" s="58"/>
      <c r="B108" s="66" t="str">
        <f>IFERROR(VLOOKUP($A108,Admission!$1:$998,4,0),"")</f>
        <v/>
      </c>
      <c r="C108" s="66" t="str">
        <f>IFERROR(VLOOKUP($A108,Admission!$1:$998,5,0),"")</f>
        <v/>
      </c>
      <c r="D108" s="66"/>
      <c r="E108" s="66" t="str">
        <f>IFERROR(VLOOKUP($A108,Admission!$1:$998,3,0),"")</f>
        <v/>
      </c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1:21" ht="13" x14ac:dyDescent="0.15">
      <c r="A109" s="58"/>
      <c r="B109" s="66" t="str">
        <f>IFERROR(VLOOKUP($A109,Admission!$1:$998,4,0),"")</f>
        <v/>
      </c>
      <c r="C109" s="66" t="str">
        <f>IFERROR(VLOOKUP($A109,Admission!$1:$998,5,0),"")</f>
        <v/>
      </c>
      <c r="D109" s="66"/>
      <c r="E109" s="66" t="str">
        <f>IFERROR(VLOOKUP($A109,Admission!$1:$998,3,0),"")</f>
        <v/>
      </c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1:21" ht="13" x14ac:dyDescent="0.15">
      <c r="A110" s="58"/>
      <c r="B110" s="66" t="str">
        <f>IFERROR(VLOOKUP($A110,Admission!$1:$998,4,0),"")</f>
        <v/>
      </c>
      <c r="C110" s="66" t="str">
        <f>IFERROR(VLOOKUP($A110,Admission!$1:$998,5,0),"")</f>
        <v/>
      </c>
      <c r="D110" s="66"/>
      <c r="E110" s="66" t="str">
        <f>IFERROR(VLOOKUP($A110,Admission!$1:$998,3,0),"")</f>
        <v/>
      </c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ht="13" x14ac:dyDescent="0.15">
      <c r="A111" s="58"/>
      <c r="B111" s="66" t="str">
        <f>IFERROR(VLOOKUP($A111,Admission!$1:$998,4,0),"")</f>
        <v/>
      </c>
      <c r="C111" s="66" t="str">
        <f>IFERROR(VLOOKUP($A111,Admission!$1:$998,5,0),"")</f>
        <v/>
      </c>
      <c r="D111" s="66"/>
      <c r="E111" s="66" t="str">
        <f>IFERROR(VLOOKUP($A111,Admission!$1:$998,3,0),"")</f>
        <v/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1:21" ht="13" x14ac:dyDescent="0.15">
      <c r="A112" s="58"/>
      <c r="B112" s="66" t="str">
        <f>IFERROR(VLOOKUP($A112,Admission!$1:$998,4,0),"")</f>
        <v/>
      </c>
      <c r="C112" s="66" t="str">
        <f>IFERROR(VLOOKUP($A112,Admission!$1:$998,5,0),"")</f>
        <v/>
      </c>
      <c r="D112" s="66"/>
      <c r="E112" s="66" t="str">
        <f>IFERROR(VLOOKUP($A112,Admission!$1:$998,3,0),"")</f>
        <v/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1:21" ht="13" x14ac:dyDescent="0.15">
      <c r="A113" s="58"/>
      <c r="B113" s="66" t="str">
        <f>IFERROR(VLOOKUP($A113,Admission!$1:$998,4,0),"")</f>
        <v/>
      </c>
      <c r="C113" s="66" t="str">
        <f>IFERROR(VLOOKUP($A113,Admission!$1:$998,5,0),"")</f>
        <v/>
      </c>
      <c r="D113" s="66"/>
      <c r="E113" s="66" t="str">
        <f>IFERROR(VLOOKUP($A113,Admission!$1:$998,3,0),"")</f>
        <v/>
      </c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1:21" ht="13" x14ac:dyDescent="0.15">
      <c r="A114" s="58"/>
      <c r="B114" s="66" t="str">
        <f>IFERROR(VLOOKUP($A114,Admission!$1:$998,4,0),"")</f>
        <v/>
      </c>
      <c r="C114" s="66" t="str">
        <f>IFERROR(VLOOKUP($A114,Admission!$1:$998,5,0),"")</f>
        <v/>
      </c>
      <c r="D114" s="66"/>
      <c r="E114" s="66" t="str">
        <f>IFERROR(VLOOKUP($A114,Admission!$1:$998,3,0),"")</f>
        <v/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1:21" ht="13" x14ac:dyDescent="0.15">
      <c r="A115" s="58"/>
      <c r="B115" s="66" t="str">
        <f>IFERROR(VLOOKUP($A115,Admission!$1:$998,4,0),"")</f>
        <v/>
      </c>
      <c r="C115" s="66" t="str">
        <f>IFERROR(VLOOKUP($A115,Admission!$1:$998,5,0),"")</f>
        <v/>
      </c>
      <c r="D115" s="66"/>
      <c r="E115" s="66" t="str">
        <f>IFERROR(VLOOKUP($A115,Admission!$1:$998,3,0),"")</f>
        <v/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1:21" ht="13" x14ac:dyDescent="0.15">
      <c r="A116" s="58"/>
      <c r="B116" s="66" t="str">
        <f>IFERROR(VLOOKUP($A116,Admission!$1:$998,4,0),"")</f>
        <v/>
      </c>
      <c r="C116" s="66" t="str">
        <f>IFERROR(VLOOKUP($A116,Admission!$1:$998,5,0),"")</f>
        <v/>
      </c>
      <c r="D116" s="66"/>
      <c r="E116" s="66" t="str">
        <f>IFERROR(VLOOKUP($A116,Admission!$1:$998,3,0),"")</f>
        <v/>
      </c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1:21" ht="13" x14ac:dyDescent="0.15">
      <c r="A117" s="58"/>
      <c r="B117" s="66" t="str">
        <f>IFERROR(VLOOKUP($A117,Admission!$1:$998,4,0),"")</f>
        <v/>
      </c>
      <c r="C117" s="66" t="str">
        <f>IFERROR(VLOOKUP($A117,Admission!$1:$998,5,0),"")</f>
        <v/>
      </c>
      <c r="D117" s="66"/>
      <c r="E117" s="66" t="str">
        <f>IFERROR(VLOOKUP($A117,Admission!$1:$998,3,0),"")</f>
        <v/>
      </c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1:21" ht="13" x14ac:dyDescent="0.15">
      <c r="A118" s="58"/>
      <c r="B118" s="66" t="str">
        <f>IFERROR(VLOOKUP($A118,Admission!$1:$998,4,0),"")</f>
        <v/>
      </c>
      <c r="C118" s="66" t="str">
        <f>IFERROR(VLOOKUP($A118,Admission!$1:$998,5,0),"")</f>
        <v/>
      </c>
      <c r="D118" s="66"/>
      <c r="E118" s="66" t="str">
        <f>IFERROR(VLOOKUP($A118,Admission!$1:$998,3,0),"")</f>
        <v/>
      </c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1:21" ht="13" x14ac:dyDescent="0.15">
      <c r="A119" s="58"/>
      <c r="B119" s="66" t="str">
        <f>IFERROR(VLOOKUP($A119,Admission!$1:$998,4,0),"")</f>
        <v/>
      </c>
      <c r="C119" s="66" t="str">
        <f>IFERROR(VLOOKUP($A119,Admission!$1:$998,5,0),"")</f>
        <v/>
      </c>
      <c r="D119" s="66"/>
      <c r="E119" s="66" t="str">
        <f>IFERROR(VLOOKUP($A119,Admission!$1:$998,3,0),"")</f>
        <v/>
      </c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1:21" ht="13" x14ac:dyDescent="0.15">
      <c r="A120" s="58"/>
      <c r="B120" s="66" t="str">
        <f>IFERROR(VLOOKUP($A120,Admission!$1:$998,4,0),"")</f>
        <v/>
      </c>
      <c r="C120" s="66" t="str">
        <f>IFERROR(VLOOKUP($A120,Admission!$1:$998,5,0),"")</f>
        <v/>
      </c>
      <c r="D120" s="66"/>
      <c r="E120" s="66" t="str">
        <f>IFERROR(VLOOKUP($A120,Admission!$1:$998,3,0),"")</f>
        <v/>
      </c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1:21" ht="13" x14ac:dyDescent="0.15">
      <c r="A121" s="58"/>
      <c r="B121" s="66" t="str">
        <f>IFERROR(VLOOKUP($A121,Admission!$1:$998,4,0),"")</f>
        <v/>
      </c>
      <c r="C121" s="66" t="str">
        <f>IFERROR(VLOOKUP($A121,Admission!$1:$998,5,0),"")</f>
        <v/>
      </c>
      <c r="D121" s="66"/>
      <c r="E121" s="66" t="str">
        <f>IFERROR(VLOOKUP($A121,Admission!$1:$998,3,0),"")</f>
        <v/>
      </c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1:21" ht="13" x14ac:dyDescent="0.15">
      <c r="A122" s="62"/>
      <c r="B122" s="66" t="str">
        <f>IFERROR(VLOOKUP($A122,Admission!$1:$998,4,0),"")</f>
        <v/>
      </c>
      <c r="C122" s="66" t="str">
        <f>IFERROR(VLOOKUP($A122,Admission!$1:$998,5,0),"")</f>
        <v/>
      </c>
      <c r="D122" s="66"/>
      <c r="E122" s="66" t="str">
        <f>IFERROR(VLOOKUP($A122,Admission!$1:$998,3,0),"")</f>
        <v/>
      </c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1:21" ht="13" x14ac:dyDescent="0.15">
      <c r="A123" s="62"/>
      <c r="B123" s="66" t="str">
        <f>IFERROR(VLOOKUP($A123,Admission!$1:$998,4,0),"")</f>
        <v/>
      </c>
      <c r="C123" s="66" t="str">
        <f>IFERROR(VLOOKUP($A123,Admission!$1:$998,5,0),"")</f>
        <v/>
      </c>
      <c r="D123" s="66"/>
      <c r="E123" s="66" t="str">
        <f>IFERROR(VLOOKUP($A123,Admission!$1:$998,3,0),"")</f>
        <v/>
      </c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1:21" ht="13" x14ac:dyDescent="0.15">
      <c r="A124" s="62"/>
      <c r="B124" s="66" t="str">
        <f>IFERROR(VLOOKUP($A124,Admission!$1:$998,4,0),"")</f>
        <v/>
      </c>
      <c r="C124" s="66" t="str">
        <f>IFERROR(VLOOKUP($A124,Admission!$1:$998,5,0),"")</f>
        <v/>
      </c>
      <c r="D124" s="66"/>
      <c r="E124" s="66" t="str">
        <f>IFERROR(VLOOKUP($A124,Admission!$1:$998,3,0),"")</f>
        <v/>
      </c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1:21" ht="13" x14ac:dyDescent="0.15">
      <c r="A125" s="62"/>
      <c r="B125" s="66" t="str">
        <f>IFERROR(VLOOKUP($A125,Admission!$1:$998,4,0),"")</f>
        <v/>
      </c>
      <c r="C125" s="66" t="str">
        <f>IFERROR(VLOOKUP($A125,Admission!$1:$998,5,0),"")</f>
        <v/>
      </c>
      <c r="D125" s="66"/>
      <c r="E125" s="66" t="str">
        <f>IFERROR(VLOOKUP($A125,Admission!$1:$998,3,0),"")</f>
        <v/>
      </c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1:21" ht="13" x14ac:dyDescent="0.15">
      <c r="A126" s="62"/>
      <c r="B126" s="66" t="str">
        <f>IFERROR(VLOOKUP($A126,Admission!$1:$998,4,0),"")</f>
        <v/>
      </c>
      <c r="C126" s="66" t="str">
        <f>IFERROR(VLOOKUP($A126,Admission!$1:$998,5,0),"")</f>
        <v/>
      </c>
      <c r="D126" s="66"/>
      <c r="E126" s="66" t="str">
        <f>IFERROR(VLOOKUP($A126,Admission!$1:$998,3,0),"")</f>
        <v/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1:21" ht="13" x14ac:dyDescent="0.15">
      <c r="A127" s="62"/>
      <c r="B127" s="66" t="str">
        <f>IFERROR(VLOOKUP($A127,Admission!$1:$998,4,0),"")</f>
        <v/>
      </c>
      <c r="C127" s="66" t="str">
        <f>IFERROR(VLOOKUP($A127,Admission!$1:$998,5,0),"")</f>
        <v/>
      </c>
      <c r="D127" s="66"/>
      <c r="E127" s="66" t="str">
        <f>IFERROR(VLOOKUP($A127,Admission!$1:$998,3,0),"")</f>
        <v/>
      </c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1:21" ht="13" x14ac:dyDescent="0.15">
      <c r="A128" s="62"/>
      <c r="B128" s="66" t="str">
        <f>IFERROR(VLOOKUP($A128,Admission!$1:$998,4,0),"")</f>
        <v/>
      </c>
      <c r="C128" s="66" t="str">
        <f>IFERROR(VLOOKUP($A128,Admission!$1:$998,5,0),"")</f>
        <v/>
      </c>
      <c r="D128" s="66"/>
      <c r="E128" s="66" t="str">
        <f>IFERROR(VLOOKUP($A128,Admission!$1:$998,3,0),"")</f>
        <v/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1:21" ht="13" x14ac:dyDescent="0.15">
      <c r="A129" s="62"/>
      <c r="B129" s="66" t="str">
        <f>IFERROR(VLOOKUP($A129,Admission!$1:$998,4,0),"")</f>
        <v/>
      </c>
      <c r="C129" s="66" t="str">
        <f>IFERROR(VLOOKUP($A129,Admission!$1:$998,5,0),"")</f>
        <v/>
      </c>
      <c r="D129" s="66"/>
      <c r="E129" s="66" t="str">
        <f>IFERROR(VLOOKUP($A129,Admission!$1:$998,3,0),"")</f>
        <v/>
      </c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1:21" ht="13" x14ac:dyDescent="0.15">
      <c r="A130" s="62"/>
      <c r="B130" s="66" t="str">
        <f>IFERROR(VLOOKUP($A130,Admission!$1:$998,4,0),"")</f>
        <v/>
      </c>
      <c r="C130" s="66" t="str">
        <f>IFERROR(VLOOKUP($A130,Admission!$1:$998,5,0),"")</f>
        <v/>
      </c>
      <c r="D130" s="66"/>
      <c r="E130" s="66" t="str">
        <f>IFERROR(VLOOKUP($A130,Admission!$1:$998,3,0),"")</f>
        <v/>
      </c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1:21" ht="13" x14ac:dyDescent="0.15">
      <c r="A131" s="62"/>
      <c r="B131" s="66" t="str">
        <f>IFERROR(VLOOKUP($A131,Admission!$1:$998,4,0),"")</f>
        <v/>
      </c>
      <c r="C131" s="66" t="str">
        <f>IFERROR(VLOOKUP($A131,Admission!$1:$998,5,0),"")</f>
        <v/>
      </c>
      <c r="D131" s="66"/>
      <c r="E131" s="66" t="str">
        <f>IFERROR(VLOOKUP($A131,Admission!$1:$998,3,0),"")</f>
        <v/>
      </c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1:21" ht="13" x14ac:dyDescent="0.15">
      <c r="A132" s="62"/>
      <c r="B132" s="66" t="str">
        <f>IFERROR(VLOOKUP($A132,Admission!$1:$998,4,0),"")</f>
        <v/>
      </c>
      <c r="C132" s="66" t="str">
        <f>IFERROR(VLOOKUP($A132,Admission!$1:$998,5,0),"")</f>
        <v/>
      </c>
      <c r="D132" s="66"/>
      <c r="E132" s="66" t="str">
        <f>IFERROR(VLOOKUP($A132,Admission!$1:$998,3,0),"")</f>
        <v/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1:21" ht="13" x14ac:dyDescent="0.15">
      <c r="A133" s="62"/>
      <c r="B133" s="66" t="str">
        <f>IFERROR(VLOOKUP($A133,Admission!$1:$998,4,0),"")</f>
        <v/>
      </c>
      <c r="C133" s="66" t="str">
        <f>IFERROR(VLOOKUP($A133,Admission!$1:$998,5,0),"")</f>
        <v/>
      </c>
      <c r="D133" s="66"/>
      <c r="E133" s="66" t="str">
        <f>IFERROR(VLOOKUP($A133,Admission!$1:$998,3,0),"")</f>
        <v/>
      </c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1:21" ht="13" x14ac:dyDescent="0.15">
      <c r="A134" s="62"/>
      <c r="B134" s="66" t="str">
        <f>IFERROR(VLOOKUP($A134,Admission!$1:$998,4,0),"")</f>
        <v/>
      </c>
      <c r="C134" s="66" t="str">
        <f>IFERROR(VLOOKUP($A134,Admission!$1:$998,5,0),"")</f>
        <v/>
      </c>
      <c r="D134" s="66"/>
      <c r="E134" s="66" t="str">
        <f>IFERROR(VLOOKUP($A134,Admission!$1:$998,3,0),"")</f>
        <v/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1:21" ht="13" x14ac:dyDescent="0.15">
      <c r="A135" s="62"/>
      <c r="B135" s="66" t="str">
        <f>IFERROR(VLOOKUP($A135,Admission!$1:$998,4,0),"")</f>
        <v/>
      </c>
      <c r="C135" s="66" t="str">
        <f>IFERROR(VLOOKUP($A135,Admission!$1:$998,5,0),"")</f>
        <v/>
      </c>
      <c r="D135" s="66"/>
      <c r="E135" s="66" t="str">
        <f>IFERROR(VLOOKUP($A135,Admission!$1:$998,3,0),"")</f>
        <v/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1:21" ht="13" x14ac:dyDescent="0.15">
      <c r="A136" s="62"/>
      <c r="B136" s="66" t="str">
        <f>IFERROR(VLOOKUP($A136,Admission!$1:$998,4,0),"")</f>
        <v/>
      </c>
      <c r="C136" s="66" t="str">
        <f>IFERROR(VLOOKUP($A136,Admission!$1:$998,5,0),"")</f>
        <v/>
      </c>
      <c r="D136" s="66"/>
      <c r="E136" s="66" t="str">
        <f>IFERROR(VLOOKUP($A136,Admission!$1:$998,3,0),"")</f>
        <v/>
      </c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1:21" ht="13" x14ac:dyDescent="0.15">
      <c r="A137" s="62"/>
      <c r="B137" s="66" t="str">
        <f>IFERROR(VLOOKUP($A137,Admission!$1:$998,4,0),"")</f>
        <v/>
      </c>
      <c r="C137" s="66" t="str">
        <f>IFERROR(VLOOKUP($A137,Admission!$1:$998,5,0),"")</f>
        <v/>
      </c>
      <c r="D137" s="66"/>
      <c r="E137" s="66" t="str">
        <f>IFERROR(VLOOKUP($A137,Admission!$1:$998,3,0),"")</f>
        <v/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1:21" ht="13" x14ac:dyDescent="0.15">
      <c r="A138" s="62"/>
      <c r="B138" s="66" t="str">
        <f>IFERROR(VLOOKUP($A138,Admission!$1:$998,4,0),"")</f>
        <v/>
      </c>
      <c r="C138" s="66" t="str">
        <f>IFERROR(VLOOKUP($A138,Admission!$1:$998,5,0),"")</f>
        <v/>
      </c>
      <c r="D138" s="66"/>
      <c r="E138" s="66" t="str">
        <f>IFERROR(VLOOKUP($A138,Admission!$1:$998,3,0),"")</f>
        <v/>
      </c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1:21" ht="13" x14ac:dyDescent="0.15">
      <c r="A139" s="62"/>
      <c r="B139" s="66" t="str">
        <f>IFERROR(VLOOKUP($A139,Admission!$1:$998,4,0),"")</f>
        <v/>
      </c>
      <c r="C139" s="66" t="str">
        <f>IFERROR(VLOOKUP($A139,Admission!$1:$998,5,0),"")</f>
        <v/>
      </c>
      <c r="D139" s="66"/>
      <c r="E139" s="66" t="str">
        <f>IFERROR(VLOOKUP($A139,Admission!$1:$998,3,0),"")</f>
        <v/>
      </c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1:21" ht="13" x14ac:dyDescent="0.15">
      <c r="A140" s="62"/>
      <c r="B140" s="66" t="str">
        <f>IFERROR(VLOOKUP($A140,Admission!$1:$998,4,0),"")</f>
        <v/>
      </c>
      <c r="C140" s="66" t="str">
        <f>IFERROR(VLOOKUP($A140,Admission!$1:$998,5,0),"")</f>
        <v/>
      </c>
      <c r="D140" s="66"/>
      <c r="E140" s="66" t="str">
        <f>IFERROR(VLOOKUP($A140,Admission!$1:$998,3,0),"")</f>
        <v/>
      </c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1:21" ht="13" x14ac:dyDescent="0.15">
      <c r="A141" s="62"/>
      <c r="B141" s="66" t="str">
        <f>IFERROR(VLOOKUP($A141,Admission!$1:$998,4,0),"")</f>
        <v/>
      </c>
      <c r="C141" s="66" t="str">
        <f>IFERROR(VLOOKUP($A141,Admission!$1:$998,5,0),"")</f>
        <v/>
      </c>
      <c r="D141" s="66"/>
      <c r="E141" s="66" t="str">
        <f>IFERROR(VLOOKUP($A141,Admission!$1:$998,3,0),"")</f>
        <v/>
      </c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1:21" ht="13" x14ac:dyDescent="0.15">
      <c r="A142" s="62"/>
      <c r="B142" s="66" t="str">
        <f>IFERROR(VLOOKUP($A142,Admission!$1:$998,4,0),"")</f>
        <v/>
      </c>
      <c r="C142" s="66" t="str">
        <f>IFERROR(VLOOKUP($A142,Admission!$1:$998,5,0),"")</f>
        <v/>
      </c>
      <c r="D142" s="66"/>
      <c r="E142" s="66" t="str">
        <f>IFERROR(VLOOKUP($A142,Admission!$1:$998,3,0),"")</f>
        <v/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1:21" ht="13" x14ac:dyDescent="0.15">
      <c r="A143" s="62"/>
      <c r="B143" s="66" t="str">
        <f>IFERROR(VLOOKUP($A143,Admission!$1:$998,4,0),"")</f>
        <v/>
      </c>
      <c r="C143" s="66" t="str">
        <f>IFERROR(VLOOKUP($A143,Admission!$1:$998,5,0),"")</f>
        <v/>
      </c>
      <c r="D143" s="66"/>
      <c r="E143" s="66" t="str">
        <f>IFERROR(VLOOKUP($A143,Admission!$1:$998,3,0),"")</f>
        <v/>
      </c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1:21" ht="13" x14ac:dyDescent="0.15">
      <c r="A144" s="62"/>
      <c r="B144" s="66" t="str">
        <f>IFERROR(VLOOKUP($A144,Admission!$1:$998,4,0),"")</f>
        <v/>
      </c>
      <c r="C144" s="66" t="str">
        <f>IFERROR(VLOOKUP($A144,Admission!$1:$998,5,0),"")</f>
        <v/>
      </c>
      <c r="D144" s="66"/>
      <c r="E144" s="66" t="str">
        <f>IFERROR(VLOOKUP($A144,Admission!$1:$998,3,0),"")</f>
        <v/>
      </c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1:21" ht="13" x14ac:dyDescent="0.15">
      <c r="A145" s="62"/>
      <c r="B145" s="66" t="str">
        <f>IFERROR(VLOOKUP($A145,Admission!$1:$998,4,0),"")</f>
        <v/>
      </c>
      <c r="C145" s="66" t="str">
        <f>IFERROR(VLOOKUP($A145,Admission!$1:$998,5,0),"")</f>
        <v/>
      </c>
      <c r="D145" s="66"/>
      <c r="E145" s="66" t="str">
        <f>IFERROR(VLOOKUP($A145,Admission!$1:$998,3,0),"")</f>
        <v/>
      </c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spans="1:21" ht="13" x14ac:dyDescent="0.15">
      <c r="A146" s="62"/>
      <c r="B146" s="66" t="str">
        <f>IFERROR(VLOOKUP($A146,Admission!$1:$998,4,0),"")</f>
        <v/>
      </c>
      <c r="C146" s="66" t="str">
        <f>IFERROR(VLOOKUP($A146,Admission!$1:$998,5,0),"")</f>
        <v/>
      </c>
      <c r="D146" s="66"/>
      <c r="E146" s="66" t="str">
        <f>IFERROR(VLOOKUP($A146,Admission!$1:$998,3,0),"")</f>
        <v/>
      </c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1:21" ht="13" x14ac:dyDescent="0.15">
      <c r="A147" s="62"/>
      <c r="B147" s="66" t="str">
        <f>IFERROR(VLOOKUP($A147,Admission!$1:$998,4,0),"")</f>
        <v/>
      </c>
      <c r="C147" s="66" t="str">
        <f>IFERROR(VLOOKUP($A147,Admission!$1:$998,5,0),"")</f>
        <v/>
      </c>
      <c r="D147" s="66"/>
      <c r="E147" s="66" t="str">
        <f>IFERROR(VLOOKUP($A147,Admission!$1:$998,3,0),"")</f>
        <v/>
      </c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spans="1:21" ht="13" x14ac:dyDescent="0.15">
      <c r="A148" s="62"/>
      <c r="B148" s="66" t="str">
        <f>IFERROR(VLOOKUP($A148,Admission!$1:$998,4,0),"")</f>
        <v/>
      </c>
      <c r="C148" s="66" t="str">
        <f>IFERROR(VLOOKUP($A148,Admission!$1:$998,5,0),"")</f>
        <v/>
      </c>
      <c r="D148" s="66"/>
      <c r="E148" s="66" t="str">
        <f>IFERROR(VLOOKUP($A148,Admission!$1:$998,3,0),"")</f>
        <v/>
      </c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1:21" ht="13" x14ac:dyDescent="0.15">
      <c r="A149" s="62"/>
      <c r="B149" s="66" t="str">
        <f>IFERROR(VLOOKUP($A149,Admission!$1:$998,4,0),"")</f>
        <v/>
      </c>
      <c r="C149" s="66" t="str">
        <f>IFERROR(VLOOKUP($A149,Admission!$1:$998,5,0),"")</f>
        <v/>
      </c>
      <c r="D149" s="66"/>
      <c r="E149" s="66" t="str">
        <f>IFERROR(VLOOKUP($A149,Admission!$1:$998,3,0),"")</f>
        <v/>
      </c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1:21" ht="13" x14ac:dyDescent="0.15">
      <c r="A150" s="62"/>
      <c r="B150" s="72"/>
      <c r="C150" s="72"/>
      <c r="D150" s="72"/>
      <c r="E150" s="72" t="str">
        <f>IFERROR(VLOOKUP($A150,Admission!150:1145,3,0),"")</f>
        <v/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spans="1:21" ht="13" x14ac:dyDescent="0.15">
      <c r="A151" s="62"/>
      <c r="B151" s="72"/>
      <c r="C151" s="72"/>
      <c r="D151" s="72"/>
      <c r="E151" s="72" t="str">
        <f>IFERROR(VLOOKUP($A151,Admission!151:1146,3,0),"")</f>
        <v/>
      </c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 spans="1:21" ht="13" x14ac:dyDescent="0.15">
      <c r="A152" s="62"/>
      <c r="B152" s="72"/>
      <c r="C152" s="72"/>
      <c r="D152" s="72"/>
      <c r="E152" s="72" t="str">
        <f>IFERROR(VLOOKUP($A152,Admission!152:1147,3,0),"")</f>
        <v/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 spans="1:21" ht="13" x14ac:dyDescent="0.15">
      <c r="A153" s="62"/>
      <c r="B153" s="72"/>
      <c r="C153" s="72"/>
      <c r="D153" s="72"/>
      <c r="E153" s="72" t="str">
        <f>IFERROR(VLOOKUP($A153,Admission!153:1148,3,0),"")</f>
        <v/>
      </c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 spans="1:21" ht="13" x14ac:dyDescent="0.15">
      <c r="A154" s="62"/>
      <c r="B154" s="72"/>
      <c r="C154" s="72"/>
      <c r="D154" s="72"/>
      <c r="E154" s="72" t="str">
        <f>IFERROR(VLOOKUP($A154,Admission!154:1149,3,0),"")</f>
        <v/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 spans="1:21" ht="13" x14ac:dyDescent="0.15">
      <c r="A155" s="62"/>
      <c r="B155" s="72"/>
      <c r="C155" s="72"/>
      <c r="D155" s="72"/>
      <c r="E155" s="72" t="str">
        <f>IFERROR(VLOOKUP($A155,Admission!155:1150,3,0),"")</f>
        <v/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 spans="1:21" ht="13" x14ac:dyDescent="0.15">
      <c r="A156" s="62"/>
      <c r="B156" s="72"/>
      <c r="C156" s="72"/>
      <c r="D156" s="72"/>
      <c r="E156" s="72" t="str">
        <f>IFERROR(VLOOKUP($A156,Admission!156:1151,3,0),"")</f>
        <v/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 spans="1:21" ht="13" x14ac:dyDescent="0.15">
      <c r="A157" s="62"/>
      <c r="B157" s="72"/>
      <c r="C157" s="72"/>
      <c r="D157" s="72"/>
      <c r="E157" s="72" t="str">
        <f>IFERROR(VLOOKUP($A157,Admission!157:1152,3,0),"")</f>
        <v/>
      </c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 spans="1:21" ht="13" x14ac:dyDescent="0.15">
      <c r="A158" s="62"/>
      <c r="B158" s="72"/>
      <c r="C158" s="72"/>
      <c r="D158" s="72"/>
      <c r="E158" s="72" t="str">
        <f>IFERROR(VLOOKUP($A158,Admission!158:1153,3,0),"")</f>
        <v/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 spans="1:21" ht="13" x14ac:dyDescent="0.15">
      <c r="A159" s="62"/>
      <c r="B159" s="72"/>
      <c r="C159" s="72"/>
      <c r="D159" s="72"/>
      <c r="E159" s="72" t="str">
        <f>IFERROR(VLOOKUP($A159,Admission!159:1154,3,0),"")</f>
        <v/>
      </c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 spans="1:21" ht="13" x14ac:dyDescent="0.15">
      <c r="A160" s="62"/>
      <c r="B160" s="72"/>
      <c r="C160" s="72"/>
      <c r="D160" s="72"/>
      <c r="E160" s="72" t="str">
        <f>IFERROR(VLOOKUP($A160,Admission!160:1155,3,0),"")</f>
        <v/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</row>
    <row r="161" spans="1:21" ht="13" x14ac:dyDescent="0.15">
      <c r="A161" s="62"/>
      <c r="B161" s="72"/>
      <c r="C161" s="72"/>
      <c r="D161" s="72"/>
      <c r="E161" s="72" t="str">
        <f>IFERROR(VLOOKUP($A161,Admission!161:1156,3,0),"")</f>
        <v/>
      </c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 spans="1:21" ht="13" x14ac:dyDescent="0.15">
      <c r="A162" s="62"/>
      <c r="B162" s="72"/>
      <c r="C162" s="72"/>
      <c r="D162" s="72"/>
      <c r="E162" s="72" t="str">
        <f>IFERROR(VLOOKUP($A162,Admission!162:1157,3,0),"")</f>
        <v/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</row>
    <row r="163" spans="1:21" ht="13" x14ac:dyDescent="0.15">
      <c r="A163" s="62"/>
      <c r="B163" s="72"/>
      <c r="C163" s="72"/>
      <c r="D163" s="72"/>
      <c r="E163" s="72" t="str">
        <f>IFERROR(VLOOKUP($A163,Admission!163:1158,3,0),"")</f>
        <v/>
      </c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 spans="1:21" ht="13" x14ac:dyDescent="0.15">
      <c r="A164" s="62"/>
      <c r="B164" s="72"/>
      <c r="C164" s="72"/>
      <c r="D164" s="72"/>
      <c r="E164" s="72" t="str">
        <f>IFERROR(VLOOKUP($A164,Admission!164:1159,3,0),"")</f>
        <v/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 spans="1:21" ht="13" x14ac:dyDescent="0.15">
      <c r="A165" s="62"/>
      <c r="B165" s="72"/>
      <c r="C165" s="72"/>
      <c r="D165" s="72"/>
      <c r="E165" s="72" t="str">
        <f>IFERROR(VLOOKUP($A165,Admission!165:1160,3,0),"")</f>
        <v/>
      </c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 spans="1:21" ht="13" x14ac:dyDescent="0.15">
      <c r="A166" s="62"/>
      <c r="B166" s="72"/>
      <c r="C166" s="72"/>
      <c r="D166" s="72"/>
      <c r="E166" s="72" t="str">
        <f>IFERROR(VLOOKUP($A166,Admission!166:1161,3,0),"")</f>
        <v/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</row>
    <row r="167" spans="1:21" ht="13" x14ac:dyDescent="0.15">
      <c r="A167" s="62"/>
      <c r="B167" s="72"/>
      <c r="C167" s="72"/>
      <c r="D167" s="72"/>
      <c r="E167" s="72" t="str">
        <f>IFERROR(VLOOKUP($A167,Admission!167:1162,3,0),"")</f>
        <v/>
      </c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</row>
    <row r="168" spans="1:21" ht="13" x14ac:dyDescent="0.15">
      <c r="A168" s="62"/>
      <c r="B168" s="72"/>
      <c r="C168" s="72"/>
      <c r="D168" s="72"/>
      <c r="E168" s="72" t="str">
        <f>IFERROR(VLOOKUP($A168,Admission!168:1163,3,0),"")</f>
        <v/>
      </c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</row>
    <row r="169" spans="1:21" ht="13" x14ac:dyDescent="0.15">
      <c r="A169" s="62"/>
      <c r="B169" s="72"/>
      <c r="C169" s="72"/>
      <c r="D169" s="72"/>
      <c r="E169" s="72" t="str">
        <f>IFERROR(VLOOKUP($A169,Admission!169:1164,3,0),"")</f>
        <v/>
      </c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</row>
    <row r="170" spans="1:21" ht="13" x14ac:dyDescent="0.15">
      <c r="A170" s="62"/>
      <c r="B170" s="72"/>
      <c r="C170" s="72"/>
      <c r="D170" s="72"/>
      <c r="E170" s="72" t="str">
        <f>IFERROR(VLOOKUP($A170,Admission!170:1165,3,0),"")</f>
        <v/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 spans="1:21" ht="13" x14ac:dyDescent="0.15">
      <c r="A171" s="62"/>
      <c r="B171" s="72"/>
      <c r="C171" s="72"/>
      <c r="D171" s="72"/>
      <c r="E171" s="72" t="str">
        <f>IFERROR(VLOOKUP($A171,Admission!171:1166,3,0),"")</f>
        <v/>
      </c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</row>
    <row r="172" spans="1:21" ht="13" x14ac:dyDescent="0.15">
      <c r="A172" s="62"/>
      <c r="B172" s="72"/>
      <c r="C172" s="72"/>
      <c r="D172" s="72"/>
      <c r="E172" s="72" t="str">
        <f>IFERROR(VLOOKUP($A172,Admission!172:1167,3,0),"")</f>
        <v/>
      </c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</row>
    <row r="173" spans="1:21" ht="13" x14ac:dyDescent="0.15">
      <c r="A173" s="62"/>
      <c r="B173" s="72"/>
      <c r="C173" s="72"/>
      <c r="D173" s="72"/>
      <c r="E173" s="72" t="str">
        <f>IFERROR(VLOOKUP($A173,Admission!173:1168,3,0),"")</f>
        <v/>
      </c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</row>
    <row r="174" spans="1:21" ht="13" x14ac:dyDescent="0.15">
      <c r="A174" s="62"/>
      <c r="B174" s="72"/>
      <c r="C174" s="72"/>
      <c r="D174" s="72"/>
      <c r="E174" s="72" t="str">
        <f>IFERROR(VLOOKUP($A174,Admission!174:1169,3,0),"")</f>
        <v/>
      </c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 spans="1:21" ht="13" x14ac:dyDescent="0.15">
      <c r="A175" s="62"/>
      <c r="B175" s="72"/>
      <c r="C175" s="72"/>
      <c r="D175" s="72"/>
      <c r="E175" s="72" t="str">
        <f>IFERROR(VLOOKUP($A175,Admission!175:1170,3,0),"")</f>
        <v/>
      </c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 spans="1:21" ht="13" x14ac:dyDescent="0.15">
      <c r="A176" s="62"/>
      <c r="B176" s="72"/>
      <c r="C176" s="72"/>
      <c r="D176" s="72"/>
      <c r="E176" s="72" t="str">
        <f>IFERROR(VLOOKUP($A176,Admission!176:1171,3,0),"")</f>
        <v/>
      </c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spans="1:21" ht="13" x14ac:dyDescent="0.15">
      <c r="A177" s="62"/>
      <c r="B177" s="72"/>
      <c r="C177" s="72"/>
      <c r="D177" s="72"/>
      <c r="E177" s="72" t="str">
        <f>IFERROR(VLOOKUP($A177,Admission!177:1172,3,0),"")</f>
        <v/>
      </c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spans="1:21" ht="13" x14ac:dyDescent="0.15">
      <c r="A178" s="62"/>
      <c r="B178" s="72"/>
      <c r="C178" s="72"/>
      <c r="D178" s="72"/>
      <c r="E178" s="72" t="str">
        <f>IFERROR(VLOOKUP($A178,Admission!178:1173,3,0),"")</f>
        <v/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</row>
    <row r="179" spans="1:21" ht="13" x14ac:dyDescent="0.15">
      <c r="A179" s="62"/>
      <c r="B179" s="72"/>
      <c r="C179" s="72"/>
      <c r="D179" s="72"/>
      <c r="E179" s="72" t="str">
        <f>IFERROR(VLOOKUP($A179,Admission!178:1174,3,0),"")</f>
        <v/>
      </c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</row>
    <row r="180" spans="1:21" ht="13" x14ac:dyDescent="0.15">
      <c r="A180" s="62"/>
      <c r="B180" s="72"/>
      <c r="C180" s="72"/>
      <c r="D180" s="72"/>
      <c r="E180" s="72" t="str">
        <f>IFERROR(VLOOKUP($A180,Admission!178:1175,3,0),"")</f>
        <v/>
      </c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spans="1:21" ht="13" x14ac:dyDescent="0.15">
      <c r="A181" s="62"/>
      <c r="B181" s="72"/>
      <c r="C181" s="72"/>
      <c r="D181" s="72"/>
      <c r="E181" s="72" t="str">
        <f>IFERROR(VLOOKUP($A181,Admission!178:1176,3,0),"")</f>
        <v/>
      </c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 spans="1:21" ht="13" x14ac:dyDescent="0.15">
      <c r="A182" s="62"/>
      <c r="B182" s="72"/>
      <c r="C182" s="72"/>
      <c r="D182" s="72"/>
      <c r="E182" s="72" t="str">
        <f>IFERROR(VLOOKUP($A182,Admission!178:1177,3,0),"")</f>
        <v/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</row>
    <row r="183" spans="1:21" ht="13" x14ac:dyDescent="0.15">
      <c r="A183" s="62"/>
      <c r="B183" s="72"/>
      <c r="C183" s="72"/>
      <c r="D183" s="72"/>
      <c r="E183" s="72" t="str">
        <f>IFERROR(VLOOKUP($A183,Admission!179:1178,3,0),"")</f>
        <v/>
      </c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</row>
    <row r="184" spans="1:21" ht="13" x14ac:dyDescent="0.15">
      <c r="A184" s="62"/>
      <c r="B184" s="72"/>
      <c r="C184" s="72"/>
      <c r="D184" s="72"/>
      <c r="E184" s="72" t="str">
        <f>IFERROR(VLOOKUP($A184,Admission!180:1179,3,0),"")</f>
        <v/>
      </c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</row>
    <row r="185" spans="1:21" ht="13" x14ac:dyDescent="0.15">
      <c r="A185" s="62"/>
      <c r="B185" s="72"/>
      <c r="C185" s="72"/>
      <c r="D185" s="72"/>
      <c r="E185" s="72" t="str">
        <f>IFERROR(VLOOKUP($A185,Admission!181:1180,3,0),"")</f>
        <v/>
      </c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</row>
    <row r="186" spans="1:21" ht="13" x14ac:dyDescent="0.15">
      <c r="A186" s="62"/>
      <c r="B186" s="72"/>
      <c r="C186" s="72"/>
      <c r="D186" s="72"/>
      <c r="E186" s="72" t="str">
        <f>IFERROR(VLOOKUP($A186,Admission!182:1181,3,0),"")</f>
        <v/>
      </c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</row>
    <row r="187" spans="1:21" ht="13" x14ac:dyDescent="0.15">
      <c r="A187" s="62"/>
      <c r="B187" s="72"/>
      <c r="C187" s="72"/>
      <c r="D187" s="72"/>
      <c r="E187" s="72" t="str">
        <f>IFERROR(VLOOKUP($A187,Admission!183:1182,3,0),"")</f>
        <v/>
      </c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</row>
    <row r="188" spans="1:21" ht="13" x14ac:dyDescent="0.15">
      <c r="A188" s="62"/>
      <c r="B188" s="72"/>
      <c r="C188" s="72"/>
      <c r="D188" s="72"/>
      <c r="E188" s="72" t="str">
        <f>IFERROR(VLOOKUP($A188,Admission!184:1183,3,0),"")</f>
        <v/>
      </c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</row>
    <row r="189" spans="1:21" ht="13" x14ac:dyDescent="0.15">
      <c r="A189" s="62"/>
      <c r="B189" s="72"/>
      <c r="C189" s="72"/>
      <c r="D189" s="72"/>
      <c r="E189" s="72" t="str">
        <f>IFERROR(VLOOKUP($A189,Admission!181:1184,3,0),"")</f>
        <v/>
      </c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</row>
    <row r="190" spans="1:21" ht="13" x14ac:dyDescent="0.15">
      <c r="A190" s="62"/>
      <c r="B190" s="72"/>
      <c r="C190" s="72"/>
      <c r="D190" s="72"/>
      <c r="E190" s="72" t="str">
        <f>IFERROR(VLOOKUP($A190,Admission!178:1185,3,0),"")</f>
        <v/>
      </c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</row>
    <row r="191" spans="1:21" ht="13" x14ac:dyDescent="0.15">
      <c r="A191" s="62"/>
      <c r="B191" s="72"/>
      <c r="C191" s="72"/>
      <c r="D191" s="72"/>
      <c r="E191" s="72" t="str">
        <f>IFERROR(VLOOKUP($A191,Admission!179:1186,3,0),"")</f>
        <v/>
      </c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</row>
    <row r="192" spans="1:21" ht="13" x14ac:dyDescent="0.15">
      <c r="A192" s="62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</row>
    <row r="193" spans="1:21" ht="13" x14ac:dyDescent="0.15">
      <c r="A193" s="6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</row>
    <row r="194" spans="1:21" ht="13" x14ac:dyDescent="0.15">
      <c r="A194" s="6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</row>
    <row r="195" spans="1:21" ht="13" x14ac:dyDescent="0.15">
      <c r="A195" s="6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</row>
    <row r="196" spans="1:21" ht="13" x14ac:dyDescent="0.15">
      <c r="A196" s="6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</row>
    <row r="197" spans="1:21" ht="13" x14ac:dyDescent="0.15">
      <c r="A197" s="6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</row>
    <row r="198" spans="1:21" ht="13" x14ac:dyDescent="0.15">
      <c r="A198" s="6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</row>
    <row r="199" spans="1:21" ht="13" x14ac:dyDescent="0.15">
      <c r="A199" s="6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</row>
    <row r="200" spans="1:21" ht="13" x14ac:dyDescent="0.15">
      <c r="A200" s="6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</row>
    <row r="201" spans="1:21" ht="13" x14ac:dyDescent="0.15">
      <c r="A201" s="6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</row>
    <row r="202" spans="1:21" ht="13" x14ac:dyDescent="0.15">
      <c r="A202" s="6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</row>
    <row r="203" spans="1:21" ht="13" x14ac:dyDescent="0.15">
      <c r="A203" s="6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</row>
    <row r="204" spans="1:21" ht="13" x14ac:dyDescent="0.15">
      <c r="A204" s="6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</row>
    <row r="205" spans="1:21" ht="13" x14ac:dyDescent="0.15">
      <c r="A205" s="6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</row>
    <row r="206" spans="1:21" ht="13" x14ac:dyDescent="0.15">
      <c r="A206" s="6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</row>
    <row r="207" spans="1:21" ht="13" x14ac:dyDescent="0.15">
      <c r="A207" s="6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</row>
    <row r="208" spans="1:21" ht="13" x14ac:dyDescent="0.15">
      <c r="A208" s="6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</row>
    <row r="209" spans="1:21" ht="13" x14ac:dyDescent="0.15">
      <c r="A209" s="6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</row>
    <row r="210" spans="1:21" ht="13" x14ac:dyDescent="0.15">
      <c r="A210" s="6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</row>
    <row r="211" spans="1:21" ht="13" x14ac:dyDescent="0.15">
      <c r="A211" s="6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</row>
    <row r="212" spans="1:21" ht="13" x14ac:dyDescent="0.15">
      <c r="A212" s="6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</row>
    <row r="213" spans="1:21" ht="13" x14ac:dyDescent="0.15">
      <c r="A213" s="6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</row>
    <row r="214" spans="1:21" ht="13" x14ac:dyDescent="0.15">
      <c r="A214" s="6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</row>
    <row r="215" spans="1:21" ht="13" x14ac:dyDescent="0.15">
      <c r="A215" s="6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</row>
    <row r="216" spans="1:21" ht="13" x14ac:dyDescent="0.15">
      <c r="A216" s="6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</row>
    <row r="217" spans="1:21" ht="13" x14ac:dyDescent="0.15">
      <c r="A217" s="6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</row>
    <row r="218" spans="1:21" ht="13" x14ac:dyDescent="0.15">
      <c r="A218" s="6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</row>
    <row r="219" spans="1:21" ht="13" x14ac:dyDescent="0.15">
      <c r="A219" s="6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</row>
    <row r="220" spans="1:21" ht="13" x14ac:dyDescent="0.15">
      <c r="A220" s="6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</row>
    <row r="221" spans="1:21" ht="13" x14ac:dyDescent="0.15">
      <c r="A221" s="6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</row>
    <row r="222" spans="1:21" ht="13" x14ac:dyDescent="0.15">
      <c r="A222" s="6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</row>
    <row r="223" spans="1:21" ht="13" x14ac:dyDescent="0.15">
      <c r="A223" s="6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</row>
    <row r="224" spans="1:21" ht="13" x14ac:dyDescent="0.15">
      <c r="A224" s="6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</row>
    <row r="225" spans="1:21" ht="13" x14ac:dyDescent="0.15">
      <c r="A225" s="6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</row>
    <row r="226" spans="1:21" ht="13" x14ac:dyDescent="0.15">
      <c r="A226" s="6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</row>
    <row r="227" spans="1:21" ht="13" x14ac:dyDescent="0.15">
      <c r="A227" s="6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</row>
    <row r="228" spans="1:21" ht="13" x14ac:dyDescent="0.15">
      <c r="A228" s="6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</row>
    <row r="229" spans="1:21" ht="13" x14ac:dyDescent="0.15">
      <c r="A229" s="6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</row>
    <row r="230" spans="1:21" ht="13" x14ac:dyDescent="0.15">
      <c r="A230" s="6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</row>
    <row r="231" spans="1:21" ht="13" x14ac:dyDescent="0.15">
      <c r="A231" s="6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</row>
    <row r="232" spans="1:21" ht="13" x14ac:dyDescent="0.15">
      <c r="A232" s="6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</row>
    <row r="233" spans="1:21" ht="13" x14ac:dyDescent="0.15">
      <c r="A233" s="6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</row>
    <row r="234" spans="1:21" ht="13" x14ac:dyDescent="0.15">
      <c r="A234" s="6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</row>
    <row r="235" spans="1:21" ht="13" x14ac:dyDescent="0.15">
      <c r="A235" s="6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</row>
    <row r="236" spans="1:21" ht="13" x14ac:dyDescent="0.15">
      <c r="A236" s="6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</row>
    <row r="237" spans="1:21" ht="13" x14ac:dyDescent="0.15">
      <c r="A237" s="6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</row>
    <row r="238" spans="1:21" ht="13" x14ac:dyDescent="0.15">
      <c r="A238" s="6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</row>
    <row r="239" spans="1:21" ht="13" x14ac:dyDescent="0.15">
      <c r="A239" s="6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</row>
    <row r="240" spans="1:21" ht="13" x14ac:dyDescent="0.15">
      <c r="A240" s="6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</row>
    <row r="241" spans="1:21" ht="13" x14ac:dyDescent="0.15">
      <c r="A241" s="6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</row>
    <row r="242" spans="1:21" ht="13" x14ac:dyDescent="0.15">
      <c r="A242" s="6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</row>
    <row r="243" spans="1:21" ht="13" x14ac:dyDescent="0.15">
      <c r="A243" s="6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</row>
    <row r="244" spans="1:21" ht="13" x14ac:dyDescent="0.15">
      <c r="A244" s="6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</row>
    <row r="245" spans="1:21" ht="13" x14ac:dyDescent="0.15">
      <c r="A245" s="6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</row>
    <row r="246" spans="1:21" ht="13" x14ac:dyDescent="0.15">
      <c r="A246" s="6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</row>
    <row r="247" spans="1:21" ht="13" x14ac:dyDescent="0.15">
      <c r="A247" s="6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</row>
    <row r="248" spans="1:21" ht="13" x14ac:dyDescent="0.15">
      <c r="A248" s="6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</row>
    <row r="249" spans="1:21" ht="13" x14ac:dyDescent="0.15">
      <c r="A249" s="6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</row>
    <row r="250" spans="1:21" ht="13" x14ac:dyDescent="0.15">
      <c r="A250" s="6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</row>
    <row r="251" spans="1:21" ht="13" x14ac:dyDescent="0.15">
      <c r="A251" s="6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</row>
    <row r="252" spans="1:21" ht="13" x14ac:dyDescent="0.15">
      <c r="A252" s="6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</row>
    <row r="253" spans="1:21" ht="13" x14ac:dyDescent="0.15">
      <c r="A253" s="6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</row>
    <row r="254" spans="1:21" ht="13" x14ac:dyDescent="0.15">
      <c r="A254" s="6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</row>
    <row r="255" spans="1:21" ht="13" x14ac:dyDescent="0.15">
      <c r="A255" s="6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</row>
    <row r="256" spans="1:21" ht="13" x14ac:dyDescent="0.15">
      <c r="A256" s="6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</row>
    <row r="257" spans="1:21" ht="13" x14ac:dyDescent="0.15">
      <c r="A257" s="6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</row>
    <row r="258" spans="1:21" ht="13" x14ac:dyDescent="0.15">
      <c r="A258" s="6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</row>
    <row r="259" spans="1:21" ht="13" x14ac:dyDescent="0.15">
      <c r="A259" s="6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</row>
    <row r="260" spans="1:21" ht="13" x14ac:dyDescent="0.15">
      <c r="A260" s="6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</row>
    <row r="261" spans="1:21" ht="13" x14ac:dyDescent="0.15">
      <c r="A261" s="6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</row>
    <row r="262" spans="1:21" ht="13" x14ac:dyDescent="0.15">
      <c r="A262" s="6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</row>
    <row r="263" spans="1:21" ht="13" x14ac:dyDescent="0.15">
      <c r="A263" s="6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</row>
    <row r="264" spans="1:21" ht="13" x14ac:dyDescent="0.15">
      <c r="A264" s="6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</row>
    <row r="265" spans="1:21" ht="13" x14ac:dyDescent="0.15">
      <c r="A265" s="6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</row>
    <row r="266" spans="1:21" ht="13" x14ac:dyDescent="0.15">
      <c r="A266" s="6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</row>
    <row r="267" spans="1:21" ht="13" x14ac:dyDescent="0.15">
      <c r="A267" s="6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</row>
    <row r="268" spans="1:21" ht="13" x14ac:dyDescent="0.15">
      <c r="A268" s="6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</row>
    <row r="269" spans="1:21" ht="13" x14ac:dyDescent="0.15">
      <c r="A269" s="6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</row>
    <row r="270" spans="1:21" ht="13" x14ac:dyDescent="0.15">
      <c r="A270" s="6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</row>
    <row r="271" spans="1:21" ht="13" x14ac:dyDescent="0.15">
      <c r="A271" s="6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</row>
    <row r="272" spans="1:21" ht="13" x14ac:dyDescent="0.15">
      <c r="A272" s="6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</row>
    <row r="273" spans="1:21" ht="13" x14ac:dyDescent="0.15">
      <c r="A273" s="6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</row>
    <row r="274" spans="1:21" ht="13" x14ac:dyDescent="0.15">
      <c r="A274" s="6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</row>
    <row r="275" spans="1:21" ht="13" x14ac:dyDescent="0.15">
      <c r="A275" s="6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</row>
    <row r="276" spans="1:21" ht="13" x14ac:dyDescent="0.15">
      <c r="A276" s="6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</row>
    <row r="277" spans="1:21" ht="13" x14ac:dyDescent="0.15">
      <c r="A277" s="6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</row>
    <row r="278" spans="1:21" ht="13" x14ac:dyDescent="0.15">
      <c r="A278" s="6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</row>
    <row r="279" spans="1:21" ht="13" x14ac:dyDescent="0.15">
      <c r="A279" s="6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</row>
    <row r="280" spans="1:21" ht="13" x14ac:dyDescent="0.15">
      <c r="A280" s="6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</row>
    <row r="281" spans="1:21" ht="13" x14ac:dyDescent="0.15">
      <c r="A281" s="6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</row>
    <row r="282" spans="1:21" ht="13" x14ac:dyDescent="0.15">
      <c r="A282" s="6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</row>
    <row r="283" spans="1:21" ht="13" x14ac:dyDescent="0.15">
      <c r="A283" s="6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</row>
    <row r="284" spans="1:21" ht="13" x14ac:dyDescent="0.15">
      <c r="A284" s="6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</row>
    <row r="285" spans="1:21" ht="13" x14ac:dyDescent="0.15">
      <c r="A285" s="6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</row>
    <row r="286" spans="1:21" ht="13" x14ac:dyDescent="0.15">
      <c r="A286" s="6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</row>
    <row r="287" spans="1:21" ht="13" x14ac:dyDescent="0.15">
      <c r="A287" s="6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</row>
    <row r="288" spans="1:21" ht="13" x14ac:dyDescent="0.15">
      <c r="A288" s="6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</row>
    <row r="289" spans="1:21" ht="13" x14ac:dyDescent="0.15">
      <c r="A289" s="6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</row>
    <row r="290" spans="1:21" ht="13" x14ac:dyDescent="0.15">
      <c r="A290" s="6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</row>
    <row r="291" spans="1:21" ht="13" x14ac:dyDescent="0.15">
      <c r="A291" s="6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</row>
    <row r="292" spans="1:21" ht="13" x14ac:dyDescent="0.15">
      <c r="A292" s="6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</row>
    <row r="293" spans="1:21" ht="13" x14ac:dyDescent="0.15">
      <c r="A293" s="6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</row>
    <row r="294" spans="1:21" ht="13" x14ac:dyDescent="0.15">
      <c r="A294" s="6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</row>
    <row r="295" spans="1:21" ht="13" x14ac:dyDescent="0.15">
      <c r="A295" s="6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</row>
    <row r="296" spans="1:21" ht="13" x14ac:dyDescent="0.15">
      <c r="A296" s="6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</row>
    <row r="297" spans="1:21" ht="13" x14ac:dyDescent="0.15">
      <c r="A297" s="6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</row>
    <row r="298" spans="1:21" ht="13" x14ac:dyDescent="0.15">
      <c r="A298" s="6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</row>
    <row r="299" spans="1:21" ht="13" x14ac:dyDescent="0.15">
      <c r="A299" s="6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</row>
    <row r="300" spans="1:21" ht="13" x14ac:dyDescent="0.15">
      <c r="A300" s="6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</row>
    <row r="301" spans="1:21" ht="13" x14ac:dyDescent="0.15">
      <c r="A301" s="6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</row>
    <row r="302" spans="1:21" ht="13" x14ac:dyDescent="0.15">
      <c r="A302" s="6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</row>
    <row r="303" spans="1:21" ht="13" x14ac:dyDescent="0.15">
      <c r="A303" s="6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</row>
    <row r="304" spans="1:21" ht="13" x14ac:dyDescent="0.15">
      <c r="A304" s="6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</row>
    <row r="305" spans="1:21" ht="13" x14ac:dyDescent="0.15">
      <c r="A305" s="6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</row>
    <row r="306" spans="1:21" ht="13" x14ac:dyDescent="0.15">
      <c r="A306" s="6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</row>
    <row r="307" spans="1:21" ht="13" x14ac:dyDescent="0.15">
      <c r="A307" s="6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</row>
    <row r="308" spans="1:21" ht="13" x14ac:dyDescent="0.15">
      <c r="A308" s="6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</row>
    <row r="309" spans="1:21" ht="13" x14ac:dyDescent="0.15">
      <c r="A309" s="6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</row>
    <row r="310" spans="1:21" ht="13" x14ac:dyDescent="0.15">
      <c r="A310" s="6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</row>
    <row r="311" spans="1:21" ht="13" x14ac:dyDescent="0.15">
      <c r="A311" s="6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</row>
    <row r="312" spans="1:21" ht="13" x14ac:dyDescent="0.15">
      <c r="A312" s="6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</row>
    <row r="313" spans="1:21" ht="13" x14ac:dyDescent="0.15">
      <c r="A313" s="6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</row>
    <row r="314" spans="1:21" ht="13" x14ac:dyDescent="0.15">
      <c r="A314" s="6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</row>
    <row r="315" spans="1:21" ht="13" x14ac:dyDescent="0.15">
      <c r="A315" s="6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</row>
    <row r="316" spans="1:21" ht="13" x14ac:dyDescent="0.15">
      <c r="A316" s="6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</row>
    <row r="317" spans="1:21" ht="13" x14ac:dyDescent="0.15">
      <c r="A317" s="6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</row>
    <row r="318" spans="1:21" ht="13" x14ac:dyDescent="0.15">
      <c r="A318" s="6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</row>
    <row r="319" spans="1:21" ht="13" x14ac:dyDescent="0.15">
      <c r="A319" s="6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</row>
    <row r="320" spans="1:21" ht="13" x14ac:dyDescent="0.15">
      <c r="A320" s="6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</row>
    <row r="321" spans="1:21" ht="13" x14ac:dyDescent="0.15">
      <c r="A321" s="6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</row>
    <row r="322" spans="1:21" ht="13" x14ac:dyDescent="0.15">
      <c r="A322" s="6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</row>
    <row r="323" spans="1:21" ht="13" x14ac:dyDescent="0.15">
      <c r="A323" s="6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</row>
    <row r="324" spans="1:21" ht="13" x14ac:dyDescent="0.15">
      <c r="A324" s="6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</row>
    <row r="325" spans="1:21" ht="13" x14ac:dyDescent="0.15">
      <c r="A325" s="6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</row>
    <row r="326" spans="1:21" ht="13" x14ac:dyDescent="0.15">
      <c r="A326" s="6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</row>
    <row r="327" spans="1:21" ht="13" x14ac:dyDescent="0.15">
      <c r="A327" s="6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</row>
    <row r="328" spans="1:21" ht="13" x14ac:dyDescent="0.15">
      <c r="A328" s="6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</row>
    <row r="329" spans="1:21" ht="13" x14ac:dyDescent="0.15">
      <c r="A329" s="6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</row>
    <row r="330" spans="1:21" ht="13" x14ac:dyDescent="0.15">
      <c r="A330" s="6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</row>
    <row r="331" spans="1:21" ht="13" x14ac:dyDescent="0.15">
      <c r="A331" s="6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</row>
    <row r="332" spans="1:21" ht="13" x14ac:dyDescent="0.15">
      <c r="A332" s="6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</row>
    <row r="333" spans="1:21" ht="13" x14ac:dyDescent="0.15">
      <c r="A333" s="6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</row>
    <row r="334" spans="1:21" ht="13" x14ac:dyDescent="0.15">
      <c r="A334" s="6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</row>
    <row r="335" spans="1:21" ht="13" x14ac:dyDescent="0.15">
      <c r="A335" s="6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</row>
    <row r="336" spans="1:21" ht="13" x14ac:dyDescent="0.15">
      <c r="A336" s="6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</row>
    <row r="337" spans="1:21" ht="13" x14ac:dyDescent="0.15">
      <c r="A337" s="6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</row>
    <row r="338" spans="1:21" ht="13" x14ac:dyDescent="0.15">
      <c r="A338" s="6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</row>
    <row r="339" spans="1:21" ht="13" x14ac:dyDescent="0.15">
      <c r="A339" s="6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</row>
    <row r="340" spans="1:21" ht="13" x14ac:dyDescent="0.15">
      <c r="A340" s="6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</row>
    <row r="341" spans="1:21" ht="13" x14ac:dyDescent="0.15">
      <c r="A341" s="6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</row>
    <row r="342" spans="1:21" ht="13" x14ac:dyDescent="0.15">
      <c r="A342" s="6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</row>
    <row r="343" spans="1:21" ht="13" x14ac:dyDescent="0.15">
      <c r="A343" s="6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</row>
    <row r="344" spans="1:21" ht="13" x14ac:dyDescent="0.15">
      <c r="A344" s="6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</row>
    <row r="345" spans="1:21" ht="13" x14ac:dyDescent="0.15">
      <c r="A345" s="6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</row>
    <row r="346" spans="1:21" ht="13" x14ac:dyDescent="0.15">
      <c r="A346" s="6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</row>
    <row r="347" spans="1:21" ht="13" x14ac:dyDescent="0.15">
      <c r="A347" s="6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</row>
    <row r="348" spans="1:21" ht="13" x14ac:dyDescent="0.15">
      <c r="A348" s="6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</row>
    <row r="349" spans="1:21" ht="13" x14ac:dyDescent="0.15">
      <c r="A349" s="6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</row>
    <row r="350" spans="1:21" ht="13" x14ac:dyDescent="0.15">
      <c r="A350" s="6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</row>
    <row r="351" spans="1:21" ht="13" x14ac:dyDescent="0.15">
      <c r="A351" s="6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</row>
    <row r="352" spans="1:21" ht="13" x14ac:dyDescent="0.15">
      <c r="A352" s="6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</row>
    <row r="353" spans="1:21" ht="13" x14ac:dyDescent="0.15">
      <c r="A353" s="6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</row>
    <row r="354" spans="1:21" ht="13" x14ac:dyDescent="0.15">
      <c r="A354" s="6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</row>
    <row r="355" spans="1:21" ht="13" x14ac:dyDescent="0.15">
      <c r="A355" s="6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</row>
    <row r="356" spans="1:21" ht="13" x14ac:dyDescent="0.15">
      <c r="A356" s="6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</row>
    <row r="357" spans="1:21" ht="13" x14ac:dyDescent="0.15">
      <c r="A357" s="6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</row>
    <row r="358" spans="1:21" ht="13" x14ac:dyDescent="0.15">
      <c r="A358" s="6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</row>
    <row r="359" spans="1:21" ht="13" x14ac:dyDescent="0.15">
      <c r="A359" s="6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</row>
    <row r="360" spans="1:21" ht="13" x14ac:dyDescent="0.15">
      <c r="A360" s="6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</row>
    <row r="361" spans="1:21" ht="13" x14ac:dyDescent="0.15">
      <c r="A361" s="6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</row>
    <row r="362" spans="1:21" ht="13" x14ac:dyDescent="0.15">
      <c r="A362" s="6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</row>
    <row r="363" spans="1:21" ht="13" x14ac:dyDescent="0.15">
      <c r="A363" s="6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</row>
    <row r="364" spans="1:21" ht="13" x14ac:dyDescent="0.15">
      <c r="A364" s="6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</row>
    <row r="365" spans="1:21" ht="13" x14ac:dyDescent="0.15">
      <c r="A365" s="6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</row>
    <row r="366" spans="1:21" ht="13" x14ac:dyDescent="0.15">
      <c r="A366" s="6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</row>
    <row r="367" spans="1:21" ht="13" x14ac:dyDescent="0.15">
      <c r="A367" s="6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</row>
    <row r="368" spans="1:21" ht="13" x14ac:dyDescent="0.15">
      <c r="A368" s="6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</row>
    <row r="369" spans="1:21" ht="13" x14ac:dyDescent="0.15">
      <c r="A369" s="6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</row>
    <row r="370" spans="1:21" ht="13" x14ac:dyDescent="0.15">
      <c r="A370" s="6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</row>
    <row r="371" spans="1:21" ht="13" x14ac:dyDescent="0.15">
      <c r="A371" s="6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</row>
    <row r="372" spans="1:21" ht="13" x14ac:dyDescent="0.15">
      <c r="A372" s="6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</row>
    <row r="373" spans="1:21" ht="13" x14ac:dyDescent="0.15">
      <c r="A373" s="6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</row>
    <row r="374" spans="1:21" ht="13" x14ac:dyDescent="0.15">
      <c r="A374" s="6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</row>
    <row r="375" spans="1:21" ht="13" x14ac:dyDescent="0.15">
      <c r="A375" s="6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</row>
    <row r="376" spans="1:21" ht="13" x14ac:dyDescent="0.15">
      <c r="A376" s="6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</row>
    <row r="377" spans="1:21" ht="13" x14ac:dyDescent="0.15">
      <c r="A377" s="6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</row>
    <row r="378" spans="1:21" ht="13" x14ac:dyDescent="0.15">
      <c r="A378" s="6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</row>
    <row r="379" spans="1:21" ht="13" x14ac:dyDescent="0.15">
      <c r="A379" s="6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</row>
    <row r="380" spans="1:21" ht="13" x14ac:dyDescent="0.15">
      <c r="A380" s="6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</row>
    <row r="381" spans="1:21" ht="13" x14ac:dyDescent="0.15">
      <c r="A381" s="6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</row>
    <row r="382" spans="1:21" ht="13" x14ac:dyDescent="0.15">
      <c r="A382" s="6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</row>
    <row r="383" spans="1:21" ht="13" x14ac:dyDescent="0.15">
      <c r="A383" s="6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</row>
    <row r="384" spans="1:21" ht="13" x14ac:dyDescent="0.15">
      <c r="A384" s="6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</row>
    <row r="385" spans="1:21" ht="13" x14ac:dyDescent="0.15">
      <c r="A385" s="6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</row>
    <row r="386" spans="1:21" ht="13" x14ac:dyDescent="0.15">
      <c r="A386" s="6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</row>
    <row r="387" spans="1:21" ht="13" x14ac:dyDescent="0.15">
      <c r="A387" s="6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</row>
    <row r="388" spans="1:21" ht="13" x14ac:dyDescent="0.15">
      <c r="A388" s="6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</row>
    <row r="389" spans="1:21" ht="13" x14ac:dyDescent="0.15">
      <c r="A389" s="6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</row>
    <row r="390" spans="1:21" ht="13" x14ac:dyDescent="0.15">
      <c r="A390" s="6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</row>
    <row r="391" spans="1:21" ht="13" x14ac:dyDescent="0.15">
      <c r="A391" s="6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</row>
    <row r="392" spans="1:21" ht="13" x14ac:dyDescent="0.15">
      <c r="A392" s="6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</row>
    <row r="393" spans="1:21" ht="13" x14ac:dyDescent="0.15">
      <c r="A393" s="6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</row>
    <row r="394" spans="1:21" ht="13" x14ac:dyDescent="0.15">
      <c r="A394" s="6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</row>
    <row r="395" spans="1:21" ht="13" x14ac:dyDescent="0.15">
      <c r="A395" s="6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</row>
    <row r="396" spans="1:21" ht="13" x14ac:dyDescent="0.15">
      <c r="A396" s="6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</row>
    <row r="397" spans="1:21" ht="13" x14ac:dyDescent="0.15">
      <c r="A397" s="6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</row>
    <row r="398" spans="1:21" ht="13" x14ac:dyDescent="0.15">
      <c r="A398" s="6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</row>
    <row r="399" spans="1:21" ht="13" x14ac:dyDescent="0.15">
      <c r="A399" s="6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</row>
    <row r="400" spans="1:21" ht="13" x14ac:dyDescent="0.15">
      <c r="A400" s="6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</row>
    <row r="401" spans="1:21" ht="13" x14ac:dyDescent="0.15">
      <c r="A401" s="6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</row>
    <row r="402" spans="1:21" ht="13" x14ac:dyDescent="0.15">
      <c r="A402" s="6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</row>
    <row r="403" spans="1:21" ht="13" x14ac:dyDescent="0.15">
      <c r="A403" s="6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</row>
    <row r="404" spans="1:21" ht="13" x14ac:dyDescent="0.15">
      <c r="A404" s="6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</row>
    <row r="405" spans="1:21" ht="13" x14ac:dyDescent="0.15">
      <c r="A405" s="6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</row>
    <row r="406" spans="1:21" ht="13" x14ac:dyDescent="0.15">
      <c r="A406" s="6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</row>
    <row r="407" spans="1:21" ht="13" x14ac:dyDescent="0.15">
      <c r="A407" s="6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</row>
    <row r="408" spans="1:21" ht="13" x14ac:dyDescent="0.15">
      <c r="A408" s="6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</row>
    <row r="409" spans="1:21" ht="13" x14ac:dyDescent="0.15">
      <c r="A409" s="6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</row>
    <row r="410" spans="1:21" ht="13" x14ac:dyDescent="0.15">
      <c r="A410" s="6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</row>
    <row r="411" spans="1:21" ht="13" x14ac:dyDescent="0.15">
      <c r="A411" s="6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</row>
    <row r="412" spans="1:21" ht="13" x14ac:dyDescent="0.15">
      <c r="A412" s="6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</row>
    <row r="413" spans="1:21" ht="13" x14ac:dyDescent="0.15">
      <c r="A413" s="6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</row>
    <row r="414" spans="1:21" ht="13" x14ac:dyDescent="0.15">
      <c r="A414" s="6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</row>
    <row r="415" spans="1:21" ht="13" x14ac:dyDescent="0.15">
      <c r="A415" s="6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</row>
    <row r="416" spans="1:21" ht="13" x14ac:dyDescent="0.15">
      <c r="A416" s="6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</row>
    <row r="417" spans="1:21" ht="13" x14ac:dyDescent="0.15">
      <c r="A417" s="6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</row>
    <row r="418" spans="1:21" ht="13" x14ac:dyDescent="0.15">
      <c r="A418" s="6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</row>
    <row r="419" spans="1:21" ht="13" x14ac:dyDescent="0.15">
      <c r="A419" s="6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</row>
    <row r="420" spans="1:21" ht="13" x14ac:dyDescent="0.15">
      <c r="A420" s="6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</row>
    <row r="421" spans="1:21" ht="13" x14ac:dyDescent="0.15">
      <c r="A421" s="6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</row>
    <row r="422" spans="1:21" ht="13" x14ac:dyDescent="0.15">
      <c r="A422" s="6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</row>
    <row r="423" spans="1:21" ht="13" x14ac:dyDescent="0.15">
      <c r="A423" s="6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</row>
    <row r="424" spans="1:21" ht="13" x14ac:dyDescent="0.15">
      <c r="A424" s="6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</row>
    <row r="425" spans="1:21" ht="13" x14ac:dyDescent="0.15">
      <c r="A425" s="6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</row>
    <row r="426" spans="1:21" ht="13" x14ac:dyDescent="0.15">
      <c r="A426" s="6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</row>
    <row r="427" spans="1:21" ht="13" x14ac:dyDescent="0.15">
      <c r="A427" s="6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</row>
    <row r="428" spans="1:21" ht="13" x14ac:dyDescent="0.15">
      <c r="A428" s="6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</row>
    <row r="429" spans="1:21" ht="13" x14ac:dyDescent="0.15">
      <c r="A429" s="6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</row>
    <row r="430" spans="1:21" ht="13" x14ac:dyDescent="0.15">
      <c r="A430" s="6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</row>
    <row r="431" spans="1:21" ht="13" x14ac:dyDescent="0.15">
      <c r="A431" s="6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</row>
    <row r="432" spans="1:21" ht="13" x14ac:dyDescent="0.15">
      <c r="A432" s="6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</row>
    <row r="433" spans="1:21" ht="13" x14ac:dyDescent="0.15">
      <c r="A433" s="6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</row>
    <row r="434" spans="1:21" ht="13" x14ac:dyDescent="0.15">
      <c r="A434" s="6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</row>
    <row r="435" spans="1:21" ht="13" x14ac:dyDescent="0.15">
      <c r="A435" s="6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</row>
    <row r="436" spans="1:21" ht="13" x14ac:dyDescent="0.15">
      <c r="A436" s="6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</row>
    <row r="437" spans="1:21" ht="13" x14ac:dyDescent="0.15">
      <c r="A437" s="6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</row>
    <row r="438" spans="1:21" ht="13" x14ac:dyDescent="0.15">
      <c r="A438" s="6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</row>
    <row r="439" spans="1:21" ht="13" x14ac:dyDescent="0.15">
      <c r="A439" s="6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</row>
    <row r="440" spans="1:21" ht="13" x14ac:dyDescent="0.15">
      <c r="A440" s="6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</row>
    <row r="441" spans="1:21" ht="13" x14ac:dyDescent="0.15">
      <c r="A441" s="6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</row>
    <row r="442" spans="1:21" ht="13" x14ac:dyDescent="0.15">
      <c r="A442" s="6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</row>
    <row r="443" spans="1:21" ht="13" x14ac:dyDescent="0.15">
      <c r="A443" s="6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</row>
    <row r="444" spans="1:21" ht="13" x14ac:dyDescent="0.15">
      <c r="A444" s="6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</row>
    <row r="445" spans="1:21" ht="13" x14ac:dyDescent="0.15">
      <c r="A445" s="6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</row>
    <row r="446" spans="1:21" ht="13" x14ac:dyDescent="0.15">
      <c r="A446" s="6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</row>
    <row r="447" spans="1:21" ht="13" x14ac:dyDescent="0.15">
      <c r="A447" s="6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</row>
    <row r="448" spans="1:21" ht="13" x14ac:dyDescent="0.15">
      <c r="A448" s="6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</row>
    <row r="449" spans="1:21" ht="13" x14ac:dyDescent="0.15">
      <c r="A449" s="6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</row>
    <row r="450" spans="1:21" ht="13" x14ac:dyDescent="0.15">
      <c r="A450" s="6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</row>
    <row r="451" spans="1:21" ht="13" x14ac:dyDescent="0.15">
      <c r="A451" s="6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</row>
    <row r="452" spans="1:21" ht="13" x14ac:dyDescent="0.15">
      <c r="A452" s="6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</row>
    <row r="453" spans="1:21" ht="13" x14ac:dyDescent="0.15">
      <c r="A453" s="6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</row>
    <row r="454" spans="1:21" ht="13" x14ac:dyDescent="0.15">
      <c r="A454" s="6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</row>
    <row r="455" spans="1:21" ht="13" x14ac:dyDescent="0.15">
      <c r="A455" s="6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</row>
    <row r="456" spans="1:21" ht="13" x14ac:dyDescent="0.15">
      <c r="A456" s="6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</row>
    <row r="457" spans="1:21" ht="13" x14ac:dyDescent="0.15">
      <c r="A457" s="6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</row>
    <row r="458" spans="1:21" ht="13" x14ac:dyDescent="0.15">
      <c r="A458" s="6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</row>
    <row r="459" spans="1:21" ht="13" x14ac:dyDescent="0.15">
      <c r="A459" s="6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</row>
    <row r="460" spans="1:21" ht="13" x14ac:dyDescent="0.15">
      <c r="A460" s="6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</row>
    <row r="461" spans="1:21" ht="13" x14ac:dyDescent="0.15">
      <c r="A461" s="6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</row>
    <row r="462" spans="1:21" ht="13" x14ac:dyDescent="0.15">
      <c r="A462" s="6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</row>
    <row r="463" spans="1:21" ht="13" x14ac:dyDescent="0.15">
      <c r="A463" s="6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</row>
    <row r="464" spans="1:21" ht="13" x14ac:dyDescent="0.15">
      <c r="A464" s="6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</row>
    <row r="465" spans="1:21" ht="13" x14ac:dyDescent="0.15">
      <c r="A465" s="6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</row>
    <row r="466" spans="1:21" ht="13" x14ac:dyDescent="0.15">
      <c r="A466" s="6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</row>
    <row r="467" spans="1:21" ht="13" x14ac:dyDescent="0.15">
      <c r="A467" s="6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</row>
    <row r="468" spans="1:21" ht="13" x14ac:dyDescent="0.15">
      <c r="A468" s="6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</row>
    <row r="469" spans="1:21" ht="13" x14ac:dyDescent="0.15">
      <c r="A469" s="6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</row>
    <row r="470" spans="1:21" ht="13" x14ac:dyDescent="0.15">
      <c r="A470" s="6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</row>
    <row r="471" spans="1:21" ht="13" x14ac:dyDescent="0.15">
      <c r="A471" s="6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</row>
    <row r="472" spans="1:21" ht="13" x14ac:dyDescent="0.15">
      <c r="A472" s="6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</row>
    <row r="473" spans="1:21" ht="13" x14ac:dyDescent="0.15">
      <c r="A473" s="6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</row>
    <row r="474" spans="1:21" ht="13" x14ac:dyDescent="0.15">
      <c r="A474" s="6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</row>
    <row r="475" spans="1:21" ht="13" x14ac:dyDescent="0.15">
      <c r="A475" s="6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</row>
    <row r="476" spans="1:21" ht="13" x14ac:dyDescent="0.15">
      <c r="A476" s="6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</row>
    <row r="477" spans="1:21" ht="13" x14ac:dyDescent="0.15">
      <c r="A477" s="6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</row>
    <row r="478" spans="1:21" ht="13" x14ac:dyDescent="0.15">
      <c r="A478" s="6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</row>
    <row r="479" spans="1:21" ht="13" x14ac:dyDescent="0.15">
      <c r="A479" s="6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</row>
    <row r="480" spans="1:21" ht="13" x14ac:dyDescent="0.15">
      <c r="A480" s="6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</row>
    <row r="481" spans="1:21" ht="13" x14ac:dyDescent="0.15">
      <c r="A481" s="6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</row>
    <row r="482" spans="1:21" ht="13" x14ac:dyDescent="0.15">
      <c r="A482" s="6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</row>
    <row r="483" spans="1:21" ht="13" x14ac:dyDescent="0.15">
      <c r="A483" s="6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</row>
    <row r="484" spans="1:21" ht="13" x14ac:dyDescent="0.15">
      <c r="A484" s="6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</row>
    <row r="485" spans="1:21" ht="13" x14ac:dyDescent="0.15">
      <c r="A485" s="6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</row>
    <row r="486" spans="1:21" ht="13" x14ac:dyDescent="0.15">
      <c r="A486" s="6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</row>
    <row r="487" spans="1:21" ht="13" x14ac:dyDescent="0.15">
      <c r="A487" s="6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</row>
    <row r="488" spans="1:21" ht="13" x14ac:dyDescent="0.15">
      <c r="A488" s="6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</row>
    <row r="489" spans="1:21" ht="13" x14ac:dyDescent="0.15">
      <c r="A489" s="6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</row>
    <row r="490" spans="1:21" ht="13" x14ac:dyDescent="0.15">
      <c r="A490" s="6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</row>
    <row r="491" spans="1:21" ht="13" x14ac:dyDescent="0.15">
      <c r="A491" s="6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</row>
    <row r="492" spans="1:21" ht="13" x14ac:dyDescent="0.15">
      <c r="A492" s="6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</row>
    <row r="493" spans="1:21" ht="13" x14ac:dyDescent="0.15">
      <c r="A493" s="6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</row>
    <row r="494" spans="1:21" ht="13" x14ac:dyDescent="0.15">
      <c r="A494" s="6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</row>
    <row r="495" spans="1:21" ht="13" x14ac:dyDescent="0.15">
      <c r="A495" s="6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</row>
    <row r="496" spans="1:21" ht="13" x14ac:dyDescent="0.15">
      <c r="A496" s="6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</row>
    <row r="497" spans="1:21" ht="13" x14ac:dyDescent="0.15">
      <c r="A497" s="6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</row>
    <row r="498" spans="1:21" ht="13" x14ac:dyDescent="0.15">
      <c r="A498" s="6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</row>
    <row r="499" spans="1:21" ht="13" x14ac:dyDescent="0.15">
      <c r="A499" s="6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</row>
    <row r="500" spans="1:21" ht="13" x14ac:dyDescent="0.15">
      <c r="A500" s="6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</row>
    <row r="501" spans="1:21" ht="13" x14ac:dyDescent="0.15">
      <c r="A501" s="6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</row>
    <row r="502" spans="1:21" ht="13" x14ac:dyDescent="0.15">
      <c r="A502" s="6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</row>
    <row r="503" spans="1:21" ht="13" x14ac:dyDescent="0.15">
      <c r="A503" s="6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</row>
    <row r="504" spans="1:21" ht="13" x14ac:dyDescent="0.15">
      <c r="A504" s="6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</row>
    <row r="505" spans="1:21" ht="13" x14ac:dyDescent="0.15">
      <c r="A505" s="6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</row>
    <row r="506" spans="1:21" ht="13" x14ac:dyDescent="0.15">
      <c r="A506" s="6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</row>
    <row r="507" spans="1:21" ht="13" x14ac:dyDescent="0.15">
      <c r="A507" s="6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</row>
    <row r="508" spans="1:21" ht="13" x14ac:dyDescent="0.15">
      <c r="A508" s="6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</row>
    <row r="509" spans="1:21" ht="13" x14ac:dyDescent="0.15">
      <c r="A509" s="6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</row>
    <row r="510" spans="1:21" ht="13" x14ac:dyDescent="0.15">
      <c r="A510" s="6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</row>
    <row r="511" spans="1:21" ht="13" x14ac:dyDescent="0.15">
      <c r="A511" s="6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</row>
    <row r="512" spans="1:21" ht="13" x14ac:dyDescent="0.15">
      <c r="A512" s="6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</row>
    <row r="513" spans="1:21" ht="13" x14ac:dyDescent="0.15">
      <c r="A513" s="6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</row>
    <row r="514" spans="1:21" ht="13" x14ac:dyDescent="0.15">
      <c r="A514" s="6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</row>
    <row r="515" spans="1:21" ht="13" x14ac:dyDescent="0.15">
      <c r="A515" s="6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</row>
    <row r="516" spans="1:21" ht="13" x14ac:dyDescent="0.15">
      <c r="A516" s="6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</row>
    <row r="517" spans="1:21" ht="13" x14ac:dyDescent="0.15">
      <c r="A517" s="6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</row>
    <row r="518" spans="1:21" ht="13" x14ac:dyDescent="0.15">
      <c r="A518" s="6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</row>
    <row r="519" spans="1:21" ht="13" x14ac:dyDescent="0.15">
      <c r="A519" s="6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</row>
    <row r="520" spans="1:21" ht="13" x14ac:dyDescent="0.15">
      <c r="A520" s="6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</row>
    <row r="521" spans="1:21" ht="13" x14ac:dyDescent="0.15">
      <c r="A521" s="6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</row>
    <row r="522" spans="1:21" ht="13" x14ac:dyDescent="0.15">
      <c r="A522" s="6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</row>
    <row r="523" spans="1:21" ht="13" x14ac:dyDescent="0.15">
      <c r="A523" s="6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</row>
    <row r="524" spans="1:21" ht="13" x14ac:dyDescent="0.15">
      <c r="A524" s="6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</row>
    <row r="525" spans="1:21" ht="13" x14ac:dyDescent="0.15">
      <c r="A525" s="6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</row>
    <row r="526" spans="1:21" ht="13" x14ac:dyDescent="0.15">
      <c r="A526" s="6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</row>
    <row r="527" spans="1:21" ht="13" x14ac:dyDescent="0.15">
      <c r="A527" s="6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</row>
    <row r="528" spans="1:21" ht="13" x14ac:dyDescent="0.15">
      <c r="A528" s="6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</row>
    <row r="529" spans="1:21" ht="13" x14ac:dyDescent="0.15">
      <c r="A529" s="6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</row>
    <row r="530" spans="1:21" ht="13" x14ac:dyDescent="0.15">
      <c r="A530" s="6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</row>
    <row r="531" spans="1:21" ht="13" x14ac:dyDescent="0.15">
      <c r="A531" s="6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</row>
    <row r="532" spans="1:21" ht="13" x14ac:dyDescent="0.15">
      <c r="A532" s="6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</row>
    <row r="533" spans="1:21" ht="13" x14ac:dyDescent="0.15">
      <c r="A533" s="6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</row>
    <row r="534" spans="1:21" ht="13" x14ac:dyDescent="0.15">
      <c r="A534" s="6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</row>
    <row r="535" spans="1:21" ht="13" x14ac:dyDescent="0.15">
      <c r="A535" s="6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</row>
    <row r="536" spans="1:21" ht="13" x14ac:dyDescent="0.15">
      <c r="A536" s="6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</row>
    <row r="537" spans="1:21" ht="13" x14ac:dyDescent="0.15">
      <c r="A537" s="6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</row>
    <row r="538" spans="1:21" ht="13" x14ac:dyDescent="0.15">
      <c r="A538" s="6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</row>
    <row r="539" spans="1:21" ht="13" x14ac:dyDescent="0.15">
      <c r="A539" s="6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</row>
    <row r="540" spans="1:21" ht="13" x14ac:dyDescent="0.15">
      <c r="A540" s="6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</row>
    <row r="541" spans="1:21" ht="13" x14ac:dyDescent="0.15">
      <c r="A541" s="6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</row>
    <row r="542" spans="1:21" ht="13" x14ac:dyDescent="0.15">
      <c r="A542" s="6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</row>
    <row r="543" spans="1:21" ht="13" x14ac:dyDescent="0.15">
      <c r="A543" s="6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</row>
    <row r="544" spans="1:21" ht="13" x14ac:dyDescent="0.15">
      <c r="A544" s="6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</row>
    <row r="545" spans="1:21" ht="13" x14ac:dyDescent="0.15">
      <c r="A545" s="6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</row>
    <row r="546" spans="1:21" ht="13" x14ac:dyDescent="0.15">
      <c r="A546" s="6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</row>
    <row r="547" spans="1:21" ht="13" x14ac:dyDescent="0.15">
      <c r="A547" s="6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</row>
    <row r="548" spans="1:21" ht="13" x14ac:dyDescent="0.15">
      <c r="A548" s="6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</row>
    <row r="549" spans="1:21" ht="13" x14ac:dyDescent="0.15">
      <c r="A549" s="6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</row>
    <row r="550" spans="1:21" ht="13" x14ac:dyDescent="0.15">
      <c r="A550" s="6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</row>
    <row r="551" spans="1:21" ht="13" x14ac:dyDescent="0.15">
      <c r="A551" s="6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</row>
    <row r="552" spans="1:21" ht="13" x14ac:dyDescent="0.15">
      <c r="A552" s="6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</row>
    <row r="553" spans="1:21" ht="13" x14ac:dyDescent="0.15">
      <c r="A553" s="6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</row>
    <row r="554" spans="1:21" ht="13" x14ac:dyDescent="0.15">
      <c r="A554" s="6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</row>
    <row r="555" spans="1:21" ht="13" x14ac:dyDescent="0.15">
      <c r="A555" s="6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</row>
    <row r="556" spans="1:21" ht="13" x14ac:dyDescent="0.15">
      <c r="A556" s="6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</row>
    <row r="557" spans="1:21" ht="13" x14ac:dyDescent="0.15">
      <c r="A557" s="6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</row>
    <row r="558" spans="1:21" ht="13" x14ac:dyDescent="0.15">
      <c r="A558" s="6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</row>
    <row r="559" spans="1:21" ht="13" x14ac:dyDescent="0.15">
      <c r="A559" s="6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</row>
    <row r="560" spans="1:21" ht="13" x14ac:dyDescent="0.15">
      <c r="A560" s="6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</row>
    <row r="561" spans="1:21" ht="13" x14ac:dyDescent="0.15">
      <c r="A561" s="6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</row>
    <row r="562" spans="1:21" ht="13" x14ac:dyDescent="0.15">
      <c r="A562" s="6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</row>
    <row r="563" spans="1:21" ht="13" x14ac:dyDescent="0.15">
      <c r="A563" s="6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</row>
    <row r="564" spans="1:21" ht="13" x14ac:dyDescent="0.15">
      <c r="A564" s="6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</row>
    <row r="565" spans="1:21" ht="13" x14ac:dyDescent="0.15">
      <c r="A565" s="6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</row>
    <row r="566" spans="1:21" ht="13" x14ac:dyDescent="0.15">
      <c r="A566" s="6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</row>
    <row r="567" spans="1:21" ht="13" x14ac:dyDescent="0.15">
      <c r="A567" s="6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</row>
    <row r="568" spans="1:21" ht="13" x14ac:dyDescent="0.15">
      <c r="A568" s="6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</row>
    <row r="569" spans="1:21" ht="13" x14ac:dyDescent="0.15">
      <c r="A569" s="6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</row>
    <row r="570" spans="1:21" ht="13" x14ac:dyDescent="0.15">
      <c r="A570" s="6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</row>
    <row r="571" spans="1:21" ht="13" x14ac:dyDescent="0.15">
      <c r="A571" s="6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</row>
    <row r="572" spans="1:21" ht="13" x14ac:dyDescent="0.15">
      <c r="A572" s="6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</row>
    <row r="573" spans="1:21" ht="13" x14ac:dyDescent="0.15">
      <c r="A573" s="6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</row>
    <row r="574" spans="1:21" ht="13" x14ac:dyDescent="0.15">
      <c r="A574" s="6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</row>
    <row r="575" spans="1:21" ht="13" x14ac:dyDescent="0.15">
      <c r="A575" s="6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</row>
    <row r="576" spans="1:21" ht="13" x14ac:dyDescent="0.15">
      <c r="A576" s="6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</row>
    <row r="577" spans="1:21" ht="13" x14ac:dyDescent="0.15">
      <c r="A577" s="6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</row>
    <row r="578" spans="1:21" ht="13" x14ac:dyDescent="0.15">
      <c r="A578" s="6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</row>
    <row r="579" spans="1:21" ht="13" x14ac:dyDescent="0.15">
      <c r="A579" s="6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</row>
    <row r="580" spans="1:21" ht="13" x14ac:dyDescent="0.15">
      <c r="A580" s="6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</row>
    <row r="581" spans="1:21" ht="13" x14ac:dyDescent="0.15">
      <c r="A581" s="6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</row>
    <row r="582" spans="1:21" ht="13" x14ac:dyDescent="0.15">
      <c r="A582" s="6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</row>
    <row r="583" spans="1:21" ht="13" x14ac:dyDescent="0.15">
      <c r="A583" s="6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</row>
    <row r="584" spans="1:21" ht="13" x14ac:dyDescent="0.15">
      <c r="A584" s="6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</row>
    <row r="585" spans="1:21" ht="13" x14ac:dyDescent="0.15">
      <c r="A585" s="6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</row>
    <row r="586" spans="1:21" ht="13" x14ac:dyDescent="0.15">
      <c r="A586" s="6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</row>
    <row r="587" spans="1:21" ht="13" x14ac:dyDescent="0.15">
      <c r="A587" s="6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</row>
    <row r="588" spans="1:21" ht="13" x14ac:dyDescent="0.15">
      <c r="A588" s="6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</row>
    <row r="589" spans="1:21" ht="13" x14ac:dyDescent="0.15">
      <c r="A589" s="6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</row>
    <row r="590" spans="1:21" ht="13" x14ac:dyDescent="0.15">
      <c r="A590" s="6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</row>
    <row r="591" spans="1:21" ht="13" x14ac:dyDescent="0.15">
      <c r="A591" s="6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</row>
    <row r="592" spans="1:21" ht="13" x14ac:dyDescent="0.15">
      <c r="A592" s="6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</row>
    <row r="593" spans="1:21" ht="13" x14ac:dyDescent="0.15">
      <c r="A593" s="6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</row>
    <row r="594" spans="1:21" ht="13" x14ac:dyDescent="0.15">
      <c r="A594" s="6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</row>
    <row r="595" spans="1:21" ht="13" x14ac:dyDescent="0.15">
      <c r="A595" s="6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</row>
    <row r="596" spans="1:21" ht="13" x14ac:dyDescent="0.15">
      <c r="A596" s="6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</row>
    <row r="597" spans="1:21" ht="13" x14ac:dyDescent="0.15">
      <c r="A597" s="6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</row>
    <row r="598" spans="1:21" ht="13" x14ac:dyDescent="0.15">
      <c r="A598" s="6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</row>
    <row r="599" spans="1:21" ht="13" x14ac:dyDescent="0.15">
      <c r="A599" s="6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</row>
    <row r="600" spans="1:21" ht="13" x14ac:dyDescent="0.15">
      <c r="A600" s="6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</row>
    <row r="601" spans="1:21" ht="13" x14ac:dyDescent="0.15">
      <c r="A601" s="6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</row>
    <row r="602" spans="1:21" ht="13" x14ac:dyDescent="0.15">
      <c r="A602" s="6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</row>
    <row r="603" spans="1:21" ht="13" x14ac:dyDescent="0.15">
      <c r="A603" s="6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</row>
    <row r="604" spans="1:21" ht="13" x14ac:dyDescent="0.15">
      <c r="A604" s="6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</row>
    <row r="605" spans="1:21" ht="13" x14ac:dyDescent="0.15">
      <c r="A605" s="6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</row>
    <row r="606" spans="1:21" ht="13" x14ac:dyDescent="0.15">
      <c r="A606" s="6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</row>
    <row r="607" spans="1:21" ht="13" x14ac:dyDescent="0.15">
      <c r="A607" s="6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</row>
    <row r="608" spans="1:21" ht="13" x14ac:dyDescent="0.15">
      <c r="A608" s="6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</row>
    <row r="609" spans="1:21" ht="13" x14ac:dyDescent="0.15">
      <c r="A609" s="6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</row>
    <row r="610" spans="1:21" ht="13" x14ac:dyDescent="0.15">
      <c r="A610" s="6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</row>
    <row r="611" spans="1:21" ht="13" x14ac:dyDescent="0.15">
      <c r="A611" s="6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</row>
    <row r="612" spans="1:21" ht="13" x14ac:dyDescent="0.15">
      <c r="A612" s="6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</row>
    <row r="613" spans="1:21" ht="13" x14ac:dyDescent="0.15">
      <c r="A613" s="6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</row>
    <row r="614" spans="1:21" ht="13" x14ac:dyDescent="0.15">
      <c r="A614" s="6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</row>
    <row r="615" spans="1:21" ht="13" x14ac:dyDescent="0.15">
      <c r="A615" s="6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</row>
    <row r="616" spans="1:21" ht="13" x14ac:dyDescent="0.15">
      <c r="A616" s="6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</row>
    <row r="617" spans="1:21" ht="13" x14ac:dyDescent="0.15">
      <c r="A617" s="6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</row>
    <row r="618" spans="1:21" ht="13" x14ac:dyDescent="0.15">
      <c r="A618" s="6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</row>
    <row r="619" spans="1:21" ht="13" x14ac:dyDescent="0.15">
      <c r="A619" s="6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</row>
    <row r="620" spans="1:21" ht="13" x14ac:dyDescent="0.15">
      <c r="A620" s="6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</row>
    <row r="621" spans="1:21" ht="13" x14ac:dyDescent="0.15">
      <c r="A621" s="6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</row>
    <row r="622" spans="1:21" ht="13" x14ac:dyDescent="0.15">
      <c r="A622" s="6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</row>
    <row r="623" spans="1:21" ht="13" x14ac:dyDescent="0.15">
      <c r="A623" s="6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</row>
    <row r="624" spans="1:21" ht="13" x14ac:dyDescent="0.15">
      <c r="A624" s="6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</row>
    <row r="625" spans="1:21" ht="13" x14ac:dyDescent="0.15">
      <c r="A625" s="6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</row>
    <row r="626" spans="1:21" ht="13" x14ac:dyDescent="0.15">
      <c r="A626" s="6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</row>
    <row r="627" spans="1:21" ht="13" x14ac:dyDescent="0.15">
      <c r="A627" s="6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</row>
    <row r="628" spans="1:21" ht="13" x14ac:dyDescent="0.15">
      <c r="A628" s="6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</row>
    <row r="629" spans="1:21" ht="13" x14ac:dyDescent="0.15">
      <c r="A629" s="6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</row>
    <row r="630" spans="1:21" ht="13" x14ac:dyDescent="0.15">
      <c r="A630" s="6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</row>
    <row r="631" spans="1:21" ht="13" x14ac:dyDescent="0.15">
      <c r="A631" s="6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</row>
    <row r="632" spans="1:21" ht="13" x14ac:dyDescent="0.15">
      <c r="A632" s="6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</row>
    <row r="633" spans="1:21" ht="13" x14ac:dyDescent="0.15">
      <c r="A633" s="6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</row>
    <row r="634" spans="1:21" ht="13" x14ac:dyDescent="0.15">
      <c r="A634" s="6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</row>
    <row r="635" spans="1:21" ht="13" x14ac:dyDescent="0.15">
      <c r="A635" s="6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</row>
    <row r="636" spans="1:21" ht="13" x14ac:dyDescent="0.15">
      <c r="A636" s="6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</row>
    <row r="637" spans="1:21" ht="13" x14ac:dyDescent="0.15">
      <c r="A637" s="6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</row>
    <row r="638" spans="1:21" ht="13" x14ac:dyDescent="0.15">
      <c r="A638" s="6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</row>
    <row r="639" spans="1:21" ht="13" x14ac:dyDescent="0.15">
      <c r="A639" s="6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</row>
    <row r="640" spans="1:21" ht="13" x14ac:dyDescent="0.15">
      <c r="A640" s="6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</row>
    <row r="641" spans="1:21" ht="13" x14ac:dyDescent="0.15">
      <c r="A641" s="6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</row>
    <row r="642" spans="1:21" ht="13" x14ac:dyDescent="0.15">
      <c r="A642" s="6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</row>
    <row r="643" spans="1:21" ht="13" x14ac:dyDescent="0.15">
      <c r="A643" s="6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</row>
    <row r="644" spans="1:21" ht="13" x14ac:dyDescent="0.15">
      <c r="A644" s="6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</row>
    <row r="645" spans="1:21" ht="13" x14ac:dyDescent="0.15">
      <c r="A645" s="6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</row>
    <row r="646" spans="1:21" ht="13" x14ac:dyDescent="0.15">
      <c r="A646" s="6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</row>
    <row r="647" spans="1:21" ht="13" x14ac:dyDescent="0.15">
      <c r="A647" s="6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</row>
    <row r="648" spans="1:21" ht="13" x14ac:dyDescent="0.15">
      <c r="A648" s="6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</row>
    <row r="649" spans="1:21" ht="13" x14ac:dyDescent="0.15">
      <c r="A649" s="6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</row>
    <row r="650" spans="1:21" ht="13" x14ac:dyDescent="0.15">
      <c r="A650" s="6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</row>
    <row r="651" spans="1:21" ht="13" x14ac:dyDescent="0.15">
      <c r="A651" s="6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</row>
    <row r="652" spans="1:21" ht="13" x14ac:dyDescent="0.15">
      <c r="A652" s="6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</row>
    <row r="653" spans="1:21" ht="13" x14ac:dyDescent="0.15">
      <c r="A653" s="6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</row>
    <row r="654" spans="1:21" ht="13" x14ac:dyDescent="0.15">
      <c r="A654" s="6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</row>
    <row r="655" spans="1:21" ht="13" x14ac:dyDescent="0.15">
      <c r="A655" s="6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</row>
    <row r="656" spans="1:21" ht="13" x14ac:dyDescent="0.15">
      <c r="A656" s="6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</row>
    <row r="657" spans="1:21" ht="13" x14ac:dyDescent="0.15">
      <c r="A657" s="6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</row>
    <row r="658" spans="1:21" ht="13" x14ac:dyDescent="0.15">
      <c r="A658" s="6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</row>
    <row r="659" spans="1:21" ht="13" x14ac:dyDescent="0.15">
      <c r="A659" s="6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</row>
    <row r="660" spans="1:21" ht="13" x14ac:dyDescent="0.15">
      <c r="A660" s="6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</row>
    <row r="661" spans="1:21" ht="13" x14ac:dyDescent="0.15">
      <c r="A661" s="6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</row>
    <row r="662" spans="1:21" ht="13" x14ac:dyDescent="0.15">
      <c r="A662" s="6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</row>
    <row r="663" spans="1:21" ht="13" x14ac:dyDescent="0.15">
      <c r="A663" s="6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</row>
    <row r="664" spans="1:21" ht="13" x14ac:dyDescent="0.15">
      <c r="A664" s="6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</row>
    <row r="665" spans="1:21" ht="13" x14ac:dyDescent="0.15">
      <c r="A665" s="6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</row>
    <row r="666" spans="1:21" ht="13" x14ac:dyDescent="0.15">
      <c r="A666" s="6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</row>
    <row r="667" spans="1:21" ht="13" x14ac:dyDescent="0.15">
      <c r="A667" s="6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</row>
    <row r="668" spans="1:21" ht="13" x14ac:dyDescent="0.15">
      <c r="A668" s="6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</row>
    <row r="669" spans="1:21" ht="13" x14ac:dyDescent="0.15">
      <c r="A669" s="6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</row>
    <row r="670" spans="1:21" ht="13" x14ac:dyDescent="0.15">
      <c r="A670" s="6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</row>
    <row r="671" spans="1:21" ht="13" x14ac:dyDescent="0.15">
      <c r="A671" s="6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</row>
    <row r="672" spans="1:21" ht="13" x14ac:dyDescent="0.15">
      <c r="A672" s="6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</row>
    <row r="673" spans="1:21" ht="13" x14ac:dyDescent="0.15">
      <c r="A673" s="6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</row>
    <row r="674" spans="1:21" ht="13" x14ac:dyDescent="0.15">
      <c r="A674" s="6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</row>
    <row r="675" spans="1:21" ht="13" x14ac:dyDescent="0.15">
      <c r="A675" s="62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</row>
    <row r="676" spans="1:21" ht="13" x14ac:dyDescent="0.15">
      <c r="A676" s="62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</row>
    <row r="677" spans="1:21" ht="13" x14ac:dyDescent="0.15">
      <c r="A677" s="62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</row>
    <row r="678" spans="1:21" ht="13" x14ac:dyDescent="0.15">
      <c r="A678" s="62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</row>
    <row r="679" spans="1:21" ht="13" x14ac:dyDescent="0.15">
      <c r="A679" s="62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</row>
    <row r="680" spans="1:21" ht="13" x14ac:dyDescent="0.15">
      <c r="A680" s="62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</row>
    <row r="681" spans="1:21" ht="13" x14ac:dyDescent="0.15">
      <c r="A681" s="62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</row>
    <row r="682" spans="1:21" ht="13" x14ac:dyDescent="0.15">
      <c r="A682" s="62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</row>
    <row r="683" spans="1:21" ht="13" x14ac:dyDescent="0.15">
      <c r="A683" s="62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</row>
    <row r="684" spans="1:21" ht="13" x14ac:dyDescent="0.15">
      <c r="A684" s="62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</row>
    <row r="685" spans="1:21" ht="13" x14ac:dyDescent="0.15">
      <c r="A685" s="62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</row>
    <row r="686" spans="1:21" ht="13" x14ac:dyDescent="0.15">
      <c r="A686" s="62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</row>
    <row r="687" spans="1:21" ht="13" x14ac:dyDescent="0.15">
      <c r="A687" s="62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</row>
    <row r="688" spans="1:21" ht="13" x14ac:dyDescent="0.15">
      <c r="A688" s="62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</row>
    <row r="689" spans="1:21" ht="13" x14ac:dyDescent="0.15">
      <c r="A689" s="62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</row>
    <row r="690" spans="1:21" ht="13" x14ac:dyDescent="0.15">
      <c r="A690" s="62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</row>
    <row r="691" spans="1:21" ht="13" x14ac:dyDescent="0.15">
      <c r="A691" s="62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</row>
    <row r="692" spans="1:21" ht="13" x14ac:dyDescent="0.15">
      <c r="A692" s="62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</row>
    <row r="693" spans="1:21" ht="13" x14ac:dyDescent="0.15">
      <c r="A693" s="62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</row>
    <row r="694" spans="1:21" ht="13" x14ac:dyDescent="0.15">
      <c r="A694" s="62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</row>
    <row r="695" spans="1:21" ht="13" x14ac:dyDescent="0.15">
      <c r="A695" s="62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</row>
    <row r="696" spans="1:21" ht="13" x14ac:dyDescent="0.15">
      <c r="A696" s="62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</row>
    <row r="697" spans="1:21" ht="13" x14ac:dyDescent="0.15">
      <c r="A697" s="62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</row>
    <row r="698" spans="1:21" ht="13" x14ac:dyDescent="0.15">
      <c r="A698" s="62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</row>
    <row r="699" spans="1:21" ht="13" x14ac:dyDescent="0.15">
      <c r="A699" s="62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</row>
    <row r="700" spans="1:21" ht="13" x14ac:dyDescent="0.15">
      <c r="A700" s="62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</row>
    <row r="701" spans="1:21" ht="13" x14ac:dyDescent="0.15">
      <c r="A701" s="62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</row>
    <row r="702" spans="1:21" ht="13" x14ac:dyDescent="0.15">
      <c r="A702" s="62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</row>
    <row r="703" spans="1:21" ht="13" x14ac:dyDescent="0.15">
      <c r="A703" s="62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</row>
    <row r="704" spans="1:21" ht="13" x14ac:dyDescent="0.15">
      <c r="A704" s="62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</row>
    <row r="705" spans="1:21" ht="13" x14ac:dyDescent="0.15">
      <c r="A705" s="62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</row>
    <row r="706" spans="1:21" ht="13" x14ac:dyDescent="0.15">
      <c r="A706" s="62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</row>
    <row r="707" spans="1:21" ht="13" x14ac:dyDescent="0.15">
      <c r="A707" s="62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</row>
    <row r="708" spans="1:21" ht="13" x14ac:dyDescent="0.15">
      <c r="A708" s="62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</row>
    <row r="709" spans="1:21" ht="13" x14ac:dyDescent="0.15">
      <c r="A709" s="62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</row>
    <row r="710" spans="1:21" ht="13" x14ac:dyDescent="0.15">
      <c r="A710" s="62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</row>
    <row r="711" spans="1:21" ht="13" x14ac:dyDescent="0.15">
      <c r="A711" s="62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</row>
    <row r="712" spans="1:21" ht="13" x14ac:dyDescent="0.15">
      <c r="A712" s="62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</row>
    <row r="713" spans="1:21" ht="13" x14ac:dyDescent="0.15">
      <c r="A713" s="62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</row>
    <row r="714" spans="1:21" ht="13" x14ac:dyDescent="0.15">
      <c r="A714" s="62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</row>
    <row r="715" spans="1:21" ht="13" x14ac:dyDescent="0.15">
      <c r="A715" s="62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</row>
    <row r="716" spans="1:21" ht="13" x14ac:dyDescent="0.15">
      <c r="A716" s="62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</row>
    <row r="717" spans="1:21" ht="13" x14ac:dyDescent="0.15">
      <c r="A717" s="62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</row>
    <row r="718" spans="1:21" ht="13" x14ac:dyDescent="0.15">
      <c r="A718" s="62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</row>
    <row r="719" spans="1:21" ht="13" x14ac:dyDescent="0.15">
      <c r="A719" s="62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</row>
    <row r="720" spans="1:21" ht="13" x14ac:dyDescent="0.15">
      <c r="A720" s="62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</row>
    <row r="721" spans="1:21" ht="13" x14ac:dyDescent="0.15">
      <c r="A721" s="62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</row>
    <row r="722" spans="1:21" ht="13" x14ac:dyDescent="0.15">
      <c r="A722" s="62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</row>
    <row r="723" spans="1:21" ht="13" x14ac:dyDescent="0.15">
      <c r="A723" s="62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</row>
    <row r="724" spans="1:21" ht="13" x14ac:dyDescent="0.15">
      <c r="A724" s="62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</row>
    <row r="725" spans="1:21" ht="13" x14ac:dyDescent="0.15">
      <c r="A725" s="62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</row>
    <row r="726" spans="1:21" ht="13" x14ac:dyDescent="0.15">
      <c r="A726" s="62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</row>
    <row r="727" spans="1:21" ht="13" x14ac:dyDescent="0.15">
      <c r="A727" s="62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</row>
    <row r="728" spans="1:21" ht="13" x14ac:dyDescent="0.15">
      <c r="A728" s="62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</row>
    <row r="729" spans="1:21" ht="13" x14ac:dyDescent="0.15">
      <c r="A729" s="62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</row>
    <row r="730" spans="1:21" ht="13" x14ac:dyDescent="0.15">
      <c r="A730" s="62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</row>
    <row r="731" spans="1:21" ht="13" x14ac:dyDescent="0.15">
      <c r="A731" s="62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</row>
    <row r="732" spans="1:21" ht="13" x14ac:dyDescent="0.15">
      <c r="A732" s="62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</row>
    <row r="733" spans="1:21" ht="13" x14ac:dyDescent="0.15">
      <c r="A733" s="62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</row>
    <row r="734" spans="1:21" ht="13" x14ac:dyDescent="0.15">
      <c r="A734" s="62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</row>
    <row r="735" spans="1:21" ht="13" x14ac:dyDescent="0.15">
      <c r="A735" s="62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</row>
    <row r="736" spans="1:21" ht="13" x14ac:dyDescent="0.15">
      <c r="A736" s="62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</row>
    <row r="737" spans="1:21" ht="13" x14ac:dyDescent="0.15">
      <c r="A737" s="62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</row>
    <row r="738" spans="1:21" ht="13" x14ac:dyDescent="0.15">
      <c r="A738" s="62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</row>
    <row r="739" spans="1:21" ht="13" x14ac:dyDescent="0.15">
      <c r="A739" s="62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</row>
    <row r="740" spans="1:21" ht="13" x14ac:dyDescent="0.15">
      <c r="A740" s="62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</row>
    <row r="741" spans="1:21" ht="13" x14ac:dyDescent="0.15">
      <c r="A741" s="62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</row>
    <row r="742" spans="1:21" ht="13" x14ac:dyDescent="0.15">
      <c r="A742" s="62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</row>
    <row r="743" spans="1:21" ht="13" x14ac:dyDescent="0.15">
      <c r="A743" s="62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</row>
    <row r="744" spans="1:21" ht="13" x14ac:dyDescent="0.15">
      <c r="A744" s="62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</row>
    <row r="745" spans="1:21" ht="13" x14ac:dyDescent="0.15">
      <c r="A745" s="62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</row>
    <row r="746" spans="1:21" ht="13" x14ac:dyDescent="0.15">
      <c r="A746" s="62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</row>
    <row r="747" spans="1:21" ht="13" x14ac:dyDescent="0.15">
      <c r="A747" s="62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</row>
    <row r="748" spans="1:21" ht="13" x14ac:dyDescent="0.15">
      <c r="A748" s="62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</row>
    <row r="749" spans="1:21" ht="13" x14ac:dyDescent="0.15">
      <c r="A749" s="62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</row>
    <row r="750" spans="1:21" ht="13" x14ac:dyDescent="0.15">
      <c r="A750" s="62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</row>
    <row r="751" spans="1:21" ht="13" x14ac:dyDescent="0.15">
      <c r="A751" s="62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</row>
    <row r="752" spans="1:21" ht="13" x14ac:dyDescent="0.15">
      <c r="A752" s="62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</row>
    <row r="753" spans="1:21" ht="13" x14ac:dyDescent="0.15">
      <c r="A753" s="62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</row>
    <row r="754" spans="1:21" ht="13" x14ac:dyDescent="0.15">
      <c r="A754" s="62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</row>
    <row r="755" spans="1:21" ht="13" x14ac:dyDescent="0.15">
      <c r="A755" s="62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</row>
    <row r="756" spans="1:21" ht="13" x14ac:dyDescent="0.15">
      <c r="A756" s="62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</row>
    <row r="757" spans="1:21" ht="13" x14ac:dyDescent="0.15">
      <c r="A757" s="62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</row>
    <row r="758" spans="1:21" ht="13" x14ac:dyDescent="0.15">
      <c r="A758" s="62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</row>
    <row r="759" spans="1:21" ht="13" x14ac:dyDescent="0.15">
      <c r="A759" s="62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</row>
    <row r="760" spans="1:21" ht="13" x14ac:dyDescent="0.15">
      <c r="A760" s="62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</row>
    <row r="761" spans="1:21" ht="13" x14ac:dyDescent="0.15">
      <c r="A761" s="62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</row>
    <row r="762" spans="1:21" ht="13" x14ac:dyDescent="0.15">
      <c r="A762" s="62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</row>
    <row r="763" spans="1:21" ht="13" x14ac:dyDescent="0.15">
      <c r="A763" s="62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</row>
    <row r="764" spans="1:21" ht="13" x14ac:dyDescent="0.15">
      <c r="A764" s="62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</row>
    <row r="765" spans="1:21" ht="13" x14ac:dyDescent="0.15">
      <c r="A765" s="62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</row>
    <row r="766" spans="1:21" ht="13" x14ac:dyDescent="0.15">
      <c r="A766" s="62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</row>
    <row r="767" spans="1:21" ht="13" x14ac:dyDescent="0.15">
      <c r="A767" s="62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</row>
    <row r="768" spans="1:21" ht="13" x14ac:dyDescent="0.15">
      <c r="A768" s="62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</row>
    <row r="769" spans="1:21" ht="13" x14ac:dyDescent="0.15">
      <c r="A769" s="62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</row>
    <row r="770" spans="1:21" ht="13" x14ac:dyDescent="0.15">
      <c r="A770" s="62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</row>
    <row r="771" spans="1:21" ht="13" x14ac:dyDescent="0.15">
      <c r="A771" s="62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</row>
    <row r="772" spans="1:21" ht="13" x14ac:dyDescent="0.15">
      <c r="A772" s="62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</row>
    <row r="773" spans="1:21" ht="13" x14ac:dyDescent="0.15">
      <c r="A773" s="62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</row>
    <row r="774" spans="1:21" ht="13" x14ac:dyDescent="0.15">
      <c r="A774" s="62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</row>
    <row r="775" spans="1:21" ht="13" x14ac:dyDescent="0.15">
      <c r="A775" s="62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</row>
    <row r="776" spans="1:21" ht="13" x14ac:dyDescent="0.15">
      <c r="A776" s="62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</row>
    <row r="777" spans="1:21" ht="13" x14ac:dyDescent="0.15">
      <c r="A777" s="62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</row>
    <row r="778" spans="1:21" ht="13" x14ac:dyDescent="0.15">
      <c r="A778" s="62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</row>
    <row r="779" spans="1:21" ht="13" x14ac:dyDescent="0.15">
      <c r="A779" s="62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</row>
    <row r="780" spans="1:21" ht="13" x14ac:dyDescent="0.15">
      <c r="A780" s="62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</row>
    <row r="781" spans="1:21" ht="13" x14ac:dyDescent="0.15">
      <c r="A781" s="62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</row>
    <row r="782" spans="1:21" ht="13" x14ac:dyDescent="0.15">
      <c r="A782" s="62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</row>
    <row r="783" spans="1:21" ht="13" x14ac:dyDescent="0.15">
      <c r="A783" s="62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</row>
    <row r="784" spans="1:21" ht="13" x14ac:dyDescent="0.15">
      <c r="A784" s="62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</row>
    <row r="785" spans="1:21" ht="13" x14ac:dyDescent="0.15">
      <c r="A785" s="62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</row>
    <row r="786" spans="1:21" ht="13" x14ac:dyDescent="0.15">
      <c r="A786" s="62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</row>
    <row r="787" spans="1:21" ht="13" x14ac:dyDescent="0.15">
      <c r="A787" s="62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</row>
    <row r="788" spans="1:21" ht="13" x14ac:dyDescent="0.15">
      <c r="A788" s="62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</row>
    <row r="789" spans="1:21" ht="13" x14ac:dyDescent="0.15">
      <c r="A789" s="62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</row>
    <row r="790" spans="1:21" ht="13" x14ac:dyDescent="0.15">
      <c r="A790" s="62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</row>
    <row r="791" spans="1:21" ht="13" x14ac:dyDescent="0.15">
      <c r="A791" s="62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</row>
    <row r="792" spans="1:21" ht="13" x14ac:dyDescent="0.15">
      <c r="A792" s="62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</row>
    <row r="793" spans="1:21" ht="13" x14ac:dyDescent="0.15">
      <c r="A793" s="62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</row>
    <row r="794" spans="1:21" ht="13" x14ac:dyDescent="0.15">
      <c r="A794" s="62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</row>
    <row r="795" spans="1:21" ht="13" x14ac:dyDescent="0.15">
      <c r="A795" s="62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</row>
    <row r="796" spans="1:21" ht="13" x14ac:dyDescent="0.15">
      <c r="A796" s="62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</row>
    <row r="797" spans="1:21" ht="13" x14ac:dyDescent="0.15">
      <c r="A797" s="62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</row>
    <row r="798" spans="1:21" ht="13" x14ac:dyDescent="0.15">
      <c r="A798" s="62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</row>
    <row r="799" spans="1:21" ht="13" x14ac:dyDescent="0.15">
      <c r="A799" s="62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</row>
    <row r="800" spans="1:21" ht="13" x14ac:dyDescent="0.15">
      <c r="A800" s="62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</row>
    <row r="801" spans="1:21" ht="13" x14ac:dyDescent="0.15">
      <c r="A801" s="62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</row>
    <row r="802" spans="1:21" ht="13" x14ac:dyDescent="0.15">
      <c r="A802" s="62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</row>
    <row r="803" spans="1:21" ht="13" x14ac:dyDescent="0.15">
      <c r="A803" s="62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</row>
    <row r="804" spans="1:21" ht="13" x14ac:dyDescent="0.15">
      <c r="A804" s="62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</row>
    <row r="805" spans="1:21" ht="13" x14ac:dyDescent="0.15">
      <c r="A805" s="62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</row>
    <row r="806" spans="1:21" ht="13" x14ac:dyDescent="0.15">
      <c r="A806" s="62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</row>
    <row r="807" spans="1:21" ht="13" x14ac:dyDescent="0.15">
      <c r="A807" s="62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</row>
    <row r="808" spans="1:21" ht="13" x14ac:dyDescent="0.15">
      <c r="A808" s="62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</row>
    <row r="809" spans="1:21" ht="13" x14ac:dyDescent="0.15">
      <c r="A809" s="62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</row>
    <row r="810" spans="1:21" ht="13" x14ac:dyDescent="0.15">
      <c r="A810" s="62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</row>
    <row r="811" spans="1:21" ht="13" x14ac:dyDescent="0.15">
      <c r="A811" s="62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</row>
    <row r="812" spans="1:21" ht="13" x14ac:dyDescent="0.15">
      <c r="A812" s="62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</row>
    <row r="813" spans="1:21" ht="13" x14ac:dyDescent="0.15">
      <c r="A813" s="62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</row>
    <row r="814" spans="1:21" ht="13" x14ac:dyDescent="0.15">
      <c r="A814" s="62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</row>
    <row r="815" spans="1:21" ht="13" x14ac:dyDescent="0.15">
      <c r="A815" s="62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</row>
    <row r="816" spans="1:21" ht="13" x14ac:dyDescent="0.15">
      <c r="A816" s="62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</row>
    <row r="817" spans="1:21" ht="13" x14ac:dyDescent="0.15">
      <c r="A817" s="62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</row>
    <row r="818" spans="1:21" ht="13" x14ac:dyDescent="0.15">
      <c r="A818" s="62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</row>
    <row r="819" spans="1:21" ht="13" x14ac:dyDescent="0.15">
      <c r="A819" s="62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</row>
    <row r="820" spans="1:21" ht="13" x14ac:dyDescent="0.15">
      <c r="A820" s="62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</row>
    <row r="821" spans="1:21" ht="13" x14ac:dyDescent="0.15">
      <c r="A821" s="62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</row>
    <row r="822" spans="1:21" ht="13" x14ac:dyDescent="0.15">
      <c r="A822" s="62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</row>
    <row r="823" spans="1:21" ht="13" x14ac:dyDescent="0.15">
      <c r="A823" s="62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</row>
    <row r="824" spans="1:21" ht="13" x14ac:dyDescent="0.15">
      <c r="A824" s="62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</row>
    <row r="825" spans="1:21" ht="13" x14ac:dyDescent="0.15">
      <c r="A825" s="62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</row>
    <row r="826" spans="1:21" ht="13" x14ac:dyDescent="0.15">
      <c r="A826" s="62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</row>
    <row r="827" spans="1:21" ht="13" x14ac:dyDescent="0.15">
      <c r="A827" s="62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</row>
    <row r="828" spans="1:21" ht="13" x14ac:dyDescent="0.15">
      <c r="A828" s="62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</row>
    <row r="829" spans="1:21" ht="13" x14ac:dyDescent="0.15">
      <c r="A829" s="62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</row>
    <row r="830" spans="1:21" ht="13" x14ac:dyDescent="0.15">
      <c r="A830" s="62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</row>
    <row r="831" spans="1:21" ht="13" x14ac:dyDescent="0.15">
      <c r="A831" s="62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</row>
    <row r="832" spans="1:21" ht="13" x14ac:dyDescent="0.15">
      <c r="A832" s="62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</row>
    <row r="833" spans="1:21" ht="13" x14ac:dyDescent="0.15">
      <c r="A833" s="62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</row>
    <row r="834" spans="1:21" ht="13" x14ac:dyDescent="0.15">
      <c r="A834" s="62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</row>
    <row r="835" spans="1:21" ht="13" x14ac:dyDescent="0.15">
      <c r="A835" s="62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</row>
    <row r="836" spans="1:21" ht="13" x14ac:dyDescent="0.15">
      <c r="A836" s="62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</row>
    <row r="837" spans="1:21" ht="13" x14ac:dyDescent="0.15">
      <c r="A837" s="62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</row>
    <row r="838" spans="1:21" ht="13" x14ac:dyDescent="0.15">
      <c r="A838" s="62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</row>
    <row r="839" spans="1:21" ht="13" x14ac:dyDescent="0.15">
      <c r="A839" s="62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</row>
    <row r="840" spans="1:21" ht="13" x14ac:dyDescent="0.15">
      <c r="A840" s="62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</row>
    <row r="841" spans="1:21" ht="13" x14ac:dyDescent="0.15">
      <c r="A841" s="62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</row>
    <row r="842" spans="1:21" ht="13" x14ac:dyDescent="0.15">
      <c r="A842" s="62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</row>
    <row r="843" spans="1:21" ht="13" x14ac:dyDescent="0.15">
      <c r="A843" s="62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</row>
    <row r="844" spans="1:21" ht="13" x14ac:dyDescent="0.15">
      <c r="A844" s="62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</row>
    <row r="845" spans="1:21" ht="13" x14ac:dyDescent="0.15">
      <c r="A845" s="62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</row>
    <row r="846" spans="1:21" ht="13" x14ac:dyDescent="0.15">
      <c r="A846" s="62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</row>
    <row r="847" spans="1:21" ht="13" x14ac:dyDescent="0.15">
      <c r="A847" s="62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</row>
    <row r="848" spans="1:21" ht="13" x14ac:dyDescent="0.15">
      <c r="A848" s="62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</row>
    <row r="849" spans="1:21" ht="13" x14ac:dyDescent="0.15">
      <c r="A849" s="62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</row>
    <row r="850" spans="1:21" ht="13" x14ac:dyDescent="0.15">
      <c r="A850" s="62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</row>
    <row r="851" spans="1:21" ht="13" x14ac:dyDescent="0.15">
      <c r="A851" s="62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</row>
    <row r="852" spans="1:21" ht="13" x14ac:dyDescent="0.15">
      <c r="A852" s="62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</row>
    <row r="853" spans="1:21" ht="13" x14ac:dyDescent="0.15">
      <c r="A853" s="62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</row>
    <row r="854" spans="1:21" ht="13" x14ac:dyDescent="0.15">
      <c r="A854" s="62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</row>
    <row r="855" spans="1:21" ht="13" x14ac:dyDescent="0.15">
      <c r="A855" s="62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</row>
    <row r="856" spans="1:21" ht="13" x14ac:dyDescent="0.15">
      <c r="A856" s="62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</row>
    <row r="857" spans="1:21" ht="13" x14ac:dyDescent="0.15">
      <c r="A857" s="62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</row>
    <row r="858" spans="1:21" ht="13" x14ac:dyDescent="0.15">
      <c r="A858" s="62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</row>
    <row r="859" spans="1:21" ht="13" x14ac:dyDescent="0.15">
      <c r="A859" s="62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</row>
    <row r="860" spans="1:21" ht="13" x14ac:dyDescent="0.15">
      <c r="A860" s="62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</row>
    <row r="861" spans="1:21" ht="13" x14ac:dyDescent="0.15">
      <c r="A861" s="62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</row>
    <row r="862" spans="1:21" ht="13" x14ac:dyDescent="0.15">
      <c r="A862" s="62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</row>
    <row r="863" spans="1:21" ht="13" x14ac:dyDescent="0.15">
      <c r="A863" s="62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</row>
    <row r="864" spans="1:21" ht="13" x14ac:dyDescent="0.15">
      <c r="A864" s="62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</row>
    <row r="865" spans="1:21" ht="13" x14ac:dyDescent="0.15">
      <c r="A865" s="62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</row>
    <row r="866" spans="1:21" ht="13" x14ac:dyDescent="0.15">
      <c r="A866" s="62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</row>
    <row r="867" spans="1:21" ht="13" x14ac:dyDescent="0.15">
      <c r="A867" s="62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</row>
    <row r="868" spans="1:21" ht="13" x14ac:dyDescent="0.15">
      <c r="A868" s="62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</row>
    <row r="869" spans="1:21" ht="13" x14ac:dyDescent="0.15">
      <c r="A869" s="62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</row>
    <row r="870" spans="1:21" ht="13" x14ac:dyDescent="0.15">
      <c r="A870" s="62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</row>
    <row r="871" spans="1:21" ht="13" x14ac:dyDescent="0.15">
      <c r="A871" s="62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</row>
    <row r="872" spans="1:21" ht="13" x14ac:dyDescent="0.15">
      <c r="A872" s="62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</row>
    <row r="873" spans="1:21" ht="13" x14ac:dyDescent="0.15">
      <c r="A873" s="62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</row>
    <row r="874" spans="1:21" ht="13" x14ac:dyDescent="0.15">
      <c r="A874" s="62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</row>
    <row r="875" spans="1:21" ht="13" x14ac:dyDescent="0.15">
      <c r="A875" s="62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</row>
    <row r="876" spans="1:21" ht="13" x14ac:dyDescent="0.15">
      <c r="A876" s="62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</row>
    <row r="877" spans="1:21" ht="13" x14ac:dyDescent="0.15">
      <c r="A877" s="62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</row>
    <row r="878" spans="1:21" ht="13" x14ac:dyDescent="0.15">
      <c r="A878" s="62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</row>
    <row r="879" spans="1:21" ht="13" x14ac:dyDescent="0.15">
      <c r="A879" s="62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</row>
    <row r="880" spans="1:21" ht="13" x14ac:dyDescent="0.15">
      <c r="A880" s="62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</row>
    <row r="881" spans="1:21" ht="13" x14ac:dyDescent="0.15">
      <c r="A881" s="62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</row>
    <row r="882" spans="1:21" ht="13" x14ac:dyDescent="0.15">
      <c r="A882" s="62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</row>
    <row r="883" spans="1:21" ht="13" x14ac:dyDescent="0.15">
      <c r="A883" s="62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</row>
    <row r="884" spans="1:21" ht="13" x14ac:dyDescent="0.15">
      <c r="A884" s="62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</row>
    <row r="885" spans="1:21" ht="13" x14ac:dyDescent="0.15">
      <c r="A885" s="62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</row>
    <row r="886" spans="1:21" ht="13" x14ac:dyDescent="0.15">
      <c r="A886" s="62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</row>
    <row r="887" spans="1:21" ht="13" x14ac:dyDescent="0.15">
      <c r="A887" s="62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</row>
    <row r="888" spans="1:21" ht="13" x14ac:dyDescent="0.15">
      <c r="A888" s="62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</row>
    <row r="889" spans="1:21" ht="13" x14ac:dyDescent="0.15">
      <c r="A889" s="62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</row>
    <row r="890" spans="1:21" ht="13" x14ac:dyDescent="0.15">
      <c r="A890" s="62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</row>
    <row r="891" spans="1:21" ht="13" x14ac:dyDescent="0.15">
      <c r="A891" s="62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</row>
    <row r="892" spans="1:21" ht="13" x14ac:dyDescent="0.15">
      <c r="A892" s="62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</row>
    <row r="893" spans="1:21" ht="13" x14ac:dyDescent="0.15">
      <c r="A893" s="62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</row>
    <row r="894" spans="1:21" ht="13" x14ac:dyDescent="0.15">
      <c r="A894" s="62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</row>
    <row r="895" spans="1:21" ht="13" x14ac:dyDescent="0.15">
      <c r="A895" s="62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</row>
    <row r="896" spans="1:21" ht="13" x14ac:dyDescent="0.15">
      <c r="A896" s="62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</row>
    <row r="897" spans="1:21" ht="13" x14ac:dyDescent="0.15">
      <c r="A897" s="62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</row>
    <row r="898" spans="1:21" ht="13" x14ac:dyDescent="0.15">
      <c r="A898" s="62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</row>
    <row r="899" spans="1:21" ht="13" x14ac:dyDescent="0.15">
      <c r="A899" s="62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</row>
    <row r="900" spans="1:21" ht="13" x14ac:dyDescent="0.15">
      <c r="A900" s="62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</row>
    <row r="901" spans="1:21" ht="13" x14ac:dyDescent="0.15">
      <c r="A901" s="62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</row>
    <row r="902" spans="1:21" ht="13" x14ac:dyDescent="0.15">
      <c r="A902" s="62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</row>
    <row r="903" spans="1:21" ht="13" x14ac:dyDescent="0.15">
      <c r="A903" s="62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</row>
    <row r="904" spans="1:21" ht="13" x14ac:dyDescent="0.15">
      <c r="A904" s="62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</row>
    <row r="905" spans="1:21" ht="13" x14ac:dyDescent="0.15">
      <c r="A905" s="62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</row>
    <row r="906" spans="1:21" ht="13" x14ac:dyDescent="0.15">
      <c r="A906" s="62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</row>
    <row r="907" spans="1:21" ht="13" x14ac:dyDescent="0.15">
      <c r="A907" s="62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</row>
    <row r="908" spans="1:21" ht="13" x14ac:dyDescent="0.15">
      <c r="A908" s="62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</row>
    <row r="909" spans="1:21" ht="13" x14ac:dyDescent="0.15">
      <c r="A909" s="62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</row>
    <row r="910" spans="1:21" ht="13" x14ac:dyDescent="0.15">
      <c r="A910" s="62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</row>
    <row r="911" spans="1:21" ht="13" x14ac:dyDescent="0.15">
      <c r="A911" s="62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</row>
    <row r="912" spans="1:21" ht="13" x14ac:dyDescent="0.15">
      <c r="A912" s="62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</row>
    <row r="913" spans="1:21" ht="13" x14ac:dyDescent="0.15">
      <c r="A913" s="62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</row>
    <row r="914" spans="1:21" ht="13" x14ac:dyDescent="0.15">
      <c r="A914" s="62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</row>
    <row r="915" spans="1:21" ht="13" x14ac:dyDescent="0.15">
      <c r="A915" s="62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</row>
    <row r="916" spans="1:21" ht="13" x14ac:dyDescent="0.15">
      <c r="A916" s="62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</row>
    <row r="917" spans="1:21" ht="13" x14ac:dyDescent="0.15">
      <c r="A917" s="62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</row>
    <row r="918" spans="1:21" ht="13" x14ac:dyDescent="0.15">
      <c r="A918" s="62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</row>
    <row r="919" spans="1:21" ht="13" x14ac:dyDescent="0.15">
      <c r="A919" s="62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</row>
    <row r="920" spans="1:21" ht="13" x14ac:dyDescent="0.15">
      <c r="A920" s="62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</row>
    <row r="921" spans="1:21" ht="13" x14ac:dyDescent="0.15">
      <c r="A921" s="62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</row>
    <row r="922" spans="1:21" ht="13" x14ac:dyDescent="0.15">
      <c r="A922" s="62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</row>
    <row r="923" spans="1:21" ht="13" x14ac:dyDescent="0.15">
      <c r="A923" s="62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</row>
    <row r="924" spans="1:21" ht="13" x14ac:dyDescent="0.15">
      <c r="A924" s="62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</row>
    <row r="925" spans="1:21" ht="13" x14ac:dyDescent="0.15">
      <c r="A925" s="62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</row>
    <row r="926" spans="1:21" ht="13" x14ac:dyDescent="0.15">
      <c r="A926" s="62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</row>
    <row r="927" spans="1:21" ht="13" x14ac:dyDescent="0.15">
      <c r="A927" s="62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</row>
    <row r="928" spans="1:21" ht="13" x14ac:dyDescent="0.15">
      <c r="A928" s="62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</row>
    <row r="929" spans="1:21" ht="13" x14ac:dyDescent="0.15">
      <c r="A929" s="62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</row>
    <row r="930" spans="1:21" ht="13" x14ac:dyDescent="0.15">
      <c r="A930" s="62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</row>
    <row r="931" spans="1:21" ht="13" x14ac:dyDescent="0.15">
      <c r="A931" s="62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</row>
    <row r="932" spans="1:21" ht="13" x14ac:dyDescent="0.15">
      <c r="A932" s="62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</row>
    <row r="933" spans="1:21" ht="13" x14ac:dyDescent="0.15">
      <c r="A933" s="62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</row>
    <row r="934" spans="1:21" ht="13" x14ac:dyDescent="0.15">
      <c r="A934" s="62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</row>
    <row r="935" spans="1:21" ht="13" x14ac:dyDescent="0.15">
      <c r="A935" s="62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</row>
    <row r="936" spans="1:21" ht="13" x14ac:dyDescent="0.15">
      <c r="A936" s="62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</row>
    <row r="937" spans="1:21" ht="13" x14ac:dyDescent="0.15">
      <c r="A937" s="62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</row>
    <row r="938" spans="1:21" ht="13" x14ac:dyDescent="0.15">
      <c r="A938" s="62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</row>
    <row r="939" spans="1:21" ht="13" x14ac:dyDescent="0.15">
      <c r="A939" s="62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</row>
    <row r="940" spans="1:21" ht="13" x14ac:dyDescent="0.15">
      <c r="A940" s="62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</row>
    <row r="941" spans="1:21" ht="13" x14ac:dyDescent="0.15">
      <c r="A941" s="62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</row>
    <row r="942" spans="1:21" ht="13" x14ac:dyDescent="0.15">
      <c r="A942" s="62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</row>
    <row r="943" spans="1:21" ht="13" x14ac:dyDescent="0.15">
      <c r="A943" s="62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</row>
    <row r="944" spans="1:21" ht="13" x14ac:dyDescent="0.15">
      <c r="A944" s="62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</row>
    <row r="945" spans="1:21" ht="13" x14ac:dyDescent="0.15">
      <c r="A945" s="62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</row>
    <row r="946" spans="1:21" ht="13" x14ac:dyDescent="0.15">
      <c r="A946" s="62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</row>
    <row r="947" spans="1:21" ht="13" x14ac:dyDescent="0.15">
      <c r="A947" s="62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</row>
    <row r="948" spans="1:21" ht="13" x14ac:dyDescent="0.15">
      <c r="A948" s="62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</row>
    <row r="949" spans="1:21" ht="13" x14ac:dyDescent="0.15">
      <c r="A949" s="62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</row>
    <row r="950" spans="1:21" ht="13" x14ac:dyDescent="0.15">
      <c r="A950" s="62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</row>
    <row r="951" spans="1:21" ht="13" x14ac:dyDescent="0.15">
      <c r="A951" s="62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</row>
    <row r="952" spans="1:21" ht="13" x14ac:dyDescent="0.15">
      <c r="A952" s="62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</row>
    <row r="953" spans="1:21" ht="13" x14ac:dyDescent="0.15">
      <c r="A953" s="62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</row>
    <row r="954" spans="1:21" ht="13" x14ac:dyDescent="0.15">
      <c r="A954" s="62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</row>
    <row r="955" spans="1:21" ht="13" x14ac:dyDescent="0.15">
      <c r="A955" s="62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</row>
    <row r="956" spans="1:21" ht="13" x14ac:dyDescent="0.15">
      <c r="A956" s="62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</row>
    <row r="957" spans="1:21" ht="13" x14ac:dyDescent="0.15">
      <c r="A957" s="62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</row>
    <row r="958" spans="1:21" ht="13" x14ac:dyDescent="0.15">
      <c r="A958" s="62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</row>
    <row r="959" spans="1:21" ht="13" x14ac:dyDescent="0.15">
      <c r="A959" s="62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</row>
    <row r="960" spans="1:21" ht="13" x14ac:dyDescent="0.15">
      <c r="A960" s="62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</row>
    <row r="961" spans="1:21" ht="13" x14ac:dyDescent="0.15">
      <c r="A961" s="62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</row>
    <row r="962" spans="1:21" ht="13" x14ac:dyDescent="0.15">
      <c r="A962" s="62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</row>
    <row r="963" spans="1:21" ht="13" x14ac:dyDescent="0.15">
      <c r="A963" s="62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</row>
    <row r="964" spans="1:21" ht="13" x14ac:dyDescent="0.15">
      <c r="A964" s="62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</row>
    <row r="965" spans="1:21" ht="13" x14ac:dyDescent="0.15">
      <c r="A965" s="62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</row>
    <row r="966" spans="1:21" ht="13" x14ac:dyDescent="0.15">
      <c r="A966" s="62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</row>
    <row r="967" spans="1:21" ht="13" x14ac:dyDescent="0.15">
      <c r="A967" s="62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</row>
    <row r="968" spans="1:21" ht="13" x14ac:dyDescent="0.15">
      <c r="A968" s="62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</row>
    <row r="969" spans="1:21" ht="13" x14ac:dyDescent="0.15">
      <c r="A969" s="62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</row>
    <row r="970" spans="1:21" ht="13" x14ac:dyDescent="0.15">
      <c r="A970" s="62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</row>
    <row r="971" spans="1:21" ht="13" x14ac:dyDescent="0.15">
      <c r="A971" s="62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</row>
    <row r="972" spans="1:21" ht="13" x14ac:dyDescent="0.15">
      <c r="A972" s="62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</row>
    <row r="973" spans="1:21" ht="13" x14ac:dyDescent="0.15">
      <c r="A973" s="62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</row>
    <row r="974" spans="1:21" ht="13" x14ac:dyDescent="0.15">
      <c r="A974" s="62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</row>
    <row r="975" spans="1:21" ht="13" x14ac:dyDescent="0.15">
      <c r="A975" s="62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</row>
    <row r="976" spans="1:21" ht="13" x14ac:dyDescent="0.15">
      <c r="A976" s="62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</row>
    <row r="977" spans="1:21" ht="13" x14ac:dyDescent="0.15">
      <c r="A977" s="62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</row>
    <row r="978" spans="1:21" ht="13" x14ac:dyDescent="0.15">
      <c r="A978" s="62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</row>
    <row r="979" spans="1:21" ht="13" x14ac:dyDescent="0.15">
      <c r="A979" s="62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</row>
    <row r="980" spans="1:21" ht="13" x14ac:dyDescent="0.15">
      <c r="A980" s="62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</row>
    <row r="981" spans="1:21" ht="13" x14ac:dyDescent="0.15">
      <c r="A981" s="62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</row>
    <row r="982" spans="1:21" ht="13" x14ac:dyDescent="0.15">
      <c r="A982" s="62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</row>
    <row r="983" spans="1:21" ht="13" x14ac:dyDescent="0.15">
      <c r="A983" s="62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</row>
    <row r="984" spans="1:21" ht="13" x14ac:dyDescent="0.15">
      <c r="A984" s="62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</row>
    <row r="985" spans="1:21" ht="13" x14ac:dyDescent="0.15">
      <c r="A985" s="62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</row>
    <row r="986" spans="1:21" ht="13" x14ac:dyDescent="0.15">
      <c r="A986" s="62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</row>
    <row r="987" spans="1:21" ht="13" x14ac:dyDescent="0.15">
      <c r="A987" s="62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</row>
    <row r="988" spans="1:21" ht="13" x14ac:dyDescent="0.15">
      <c r="A988" s="62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</row>
    <row r="989" spans="1:21" ht="13" x14ac:dyDescent="0.15">
      <c r="A989" s="62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</row>
    <row r="990" spans="1:21" ht="13" x14ac:dyDescent="0.15">
      <c r="A990" s="62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</row>
    <row r="991" spans="1:21" ht="13" x14ac:dyDescent="0.15">
      <c r="A991" s="62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</row>
    <row r="992" spans="1:21" ht="13" x14ac:dyDescent="0.15">
      <c r="A992" s="62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</row>
    <row r="993" spans="1:21" ht="13" x14ac:dyDescent="0.15">
      <c r="A993" s="62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</row>
    <row r="994" spans="1:21" ht="13" x14ac:dyDescent="0.15">
      <c r="A994" s="62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</row>
    <row r="995" spans="1:21" ht="13" x14ac:dyDescent="0.15">
      <c r="A995" s="62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</row>
    <row r="996" spans="1:21" ht="13" x14ac:dyDescent="0.15">
      <c r="A996" s="62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</row>
    <row r="997" spans="1:21" ht="13" x14ac:dyDescent="0.15">
      <c r="A997" s="62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</row>
    <row r="998" spans="1:21" ht="13" x14ac:dyDescent="0.15">
      <c r="A998" s="62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</row>
    <row r="999" spans="1:21" ht="13" x14ac:dyDescent="0.15">
      <c r="A999" s="62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</row>
    <row r="1000" spans="1:21" ht="13" x14ac:dyDescent="0.15">
      <c r="A1000" s="62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</row>
    <row r="1001" spans="1:21" ht="13" x14ac:dyDescent="0.15">
      <c r="A1001" s="62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</row>
  </sheetData>
  <mergeCells count="1">
    <mergeCell ref="F1:U1"/>
  </mergeCells>
  <conditionalFormatting sqref="D3:E3">
    <cfRule type="containsText" dxfId="7" priority="1" operator="containsText" text="hosteller">
      <formula>NOT(ISERROR(SEARCH(("hosteller"),(D3))))</formula>
    </cfRule>
  </conditionalFormatting>
  <printOptions horizontalCentered="1" gridLines="1"/>
  <pageMargins left="0.7" right="0.7" top="0.75" bottom="0.75" header="0" footer="0"/>
  <pageSetup paperSize="9" pageOrder="overThenDown" orientation="landscape" cellComments="atEnd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F1002"/>
  <sheetViews>
    <sheetView workbookViewId="0"/>
  </sheetViews>
  <sheetFormatPr baseColWidth="10" defaultColWidth="12.6640625" defaultRowHeight="15.75" customHeight="1" x14ac:dyDescent="0.15"/>
  <cols>
    <col min="1" max="1" width="14.33203125" customWidth="1"/>
    <col min="2" max="2" width="19" customWidth="1"/>
    <col min="3" max="3" width="18.1640625" customWidth="1"/>
    <col min="4" max="4" width="10.1640625" customWidth="1"/>
    <col min="5" max="5" width="16.1640625" customWidth="1"/>
    <col min="6" max="6" width="7.1640625" customWidth="1"/>
    <col min="7" max="7" width="6.1640625" customWidth="1"/>
    <col min="8" max="8" width="6" customWidth="1"/>
    <col min="9" max="10" width="5.33203125" customWidth="1"/>
    <col min="11" max="11" width="5.1640625" customWidth="1"/>
    <col min="12" max="12" width="5.5" customWidth="1"/>
    <col min="13" max="13" width="5.1640625" customWidth="1"/>
    <col min="14" max="14" width="4.1640625" customWidth="1"/>
    <col min="15" max="15" width="5.83203125" customWidth="1"/>
    <col min="16" max="16" width="5.1640625" customWidth="1"/>
    <col min="17" max="17" width="4" customWidth="1"/>
    <col min="18" max="19" width="5" customWidth="1"/>
    <col min="20" max="20" width="6" customWidth="1"/>
    <col min="21" max="21" width="5.6640625" customWidth="1"/>
  </cols>
  <sheetData>
    <row r="1" spans="1:32" ht="15.75" customHeight="1" x14ac:dyDescent="0.15">
      <c r="A1" s="52" t="s">
        <v>574</v>
      </c>
      <c r="B1" s="52" t="s">
        <v>15</v>
      </c>
      <c r="C1" s="52" t="s">
        <v>22</v>
      </c>
      <c r="D1" s="63"/>
      <c r="E1" s="63" t="s">
        <v>567</v>
      </c>
      <c r="F1" s="100" t="s">
        <v>550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32" ht="15.75" customHeight="1" x14ac:dyDescent="0.15">
      <c r="A2" s="54">
        <f>COUNT(A4:A366)</f>
        <v>21</v>
      </c>
      <c r="B2" s="2">
        <f t="shared" ref="B2:C2" si="0">COUNTIF($E$4:$E$192,B1)</f>
        <v>12</v>
      </c>
      <c r="C2" s="2">
        <f t="shared" si="0"/>
        <v>9</v>
      </c>
      <c r="D2" s="64"/>
      <c r="E2" s="64">
        <f>SUM(F2:U2)</f>
        <v>613600</v>
      </c>
      <c r="F2" s="55">
        <f t="shared" ref="F2:H2" si="1">SUM(F$4:F$1002)</f>
        <v>43200</v>
      </c>
      <c r="G2" s="55">
        <f t="shared" si="1"/>
        <v>51200</v>
      </c>
      <c r="H2" s="55">
        <f t="shared" si="1"/>
        <v>55200</v>
      </c>
      <c r="I2" s="55">
        <f>SUM(I4:I24)</f>
        <v>3600</v>
      </c>
      <c r="J2" s="55">
        <f t="shared" ref="J2:U2" si="2">SUM(J$4:J$1002)</f>
        <v>55200</v>
      </c>
      <c r="K2" s="55">
        <f t="shared" si="2"/>
        <v>55200</v>
      </c>
      <c r="L2" s="55">
        <f t="shared" si="2"/>
        <v>55200</v>
      </c>
      <c r="M2" s="55">
        <f t="shared" si="2"/>
        <v>3200</v>
      </c>
      <c r="N2" s="55">
        <f t="shared" si="2"/>
        <v>54400</v>
      </c>
      <c r="O2" s="55">
        <f t="shared" si="2"/>
        <v>54400</v>
      </c>
      <c r="P2" s="55">
        <f t="shared" si="2"/>
        <v>50400</v>
      </c>
      <c r="Q2" s="55">
        <f t="shared" si="2"/>
        <v>2000</v>
      </c>
      <c r="R2" s="55">
        <f t="shared" si="2"/>
        <v>43200</v>
      </c>
      <c r="S2" s="55">
        <f t="shared" si="2"/>
        <v>43200</v>
      </c>
      <c r="T2" s="55">
        <f t="shared" si="2"/>
        <v>1600</v>
      </c>
      <c r="U2" s="55">
        <f t="shared" si="2"/>
        <v>42400</v>
      </c>
    </row>
    <row r="3" spans="1:32" ht="15.75" customHeight="1" x14ac:dyDescent="0.15">
      <c r="A3" s="56" t="s">
        <v>551</v>
      </c>
      <c r="B3" s="56" t="s">
        <v>3</v>
      </c>
      <c r="C3" s="56" t="s">
        <v>552</v>
      </c>
      <c r="D3" s="57" t="s">
        <v>578</v>
      </c>
      <c r="E3" s="56" t="s">
        <v>2</v>
      </c>
      <c r="F3" s="56" t="s">
        <v>557</v>
      </c>
      <c r="G3" s="56" t="s">
        <v>558</v>
      </c>
      <c r="H3" s="56" t="s">
        <v>559</v>
      </c>
      <c r="I3" s="57" t="s">
        <v>569</v>
      </c>
      <c r="J3" s="56" t="s">
        <v>560</v>
      </c>
      <c r="K3" s="56" t="s">
        <v>561</v>
      </c>
      <c r="L3" s="56" t="s">
        <v>562</v>
      </c>
      <c r="M3" s="57" t="s">
        <v>570</v>
      </c>
      <c r="N3" s="56" t="s">
        <v>563</v>
      </c>
      <c r="O3" s="56" t="s">
        <v>564</v>
      </c>
      <c r="P3" s="56" t="s">
        <v>565</v>
      </c>
      <c r="Q3" s="57" t="s">
        <v>570</v>
      </c>
      <c r="R3" s="56" t="s">
        <v>554</v>
      </c>
      <c r="S3" s="56" t="s">
        <v>555</v>
      </c>
      <c r="T3" s="57" t="s">
        <v>570</v>
      </c>
      <c r="U3" s="56" t="s">
        <v>556</v>
      </c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spans="1:32" ht="15.75" customHeight="1" x14ac:dyDescent="0.15">
      <c r="A4" s="58">
        <v>29</v>
      </c>
      <c r="B4" s="59" t="str">
        <f>IFERROR(VLOOKUP($A4,Admission!$1:$998,4,0),"")</f>
        <v>ASFAK ALAM</v>
      </c>
      <c r="C4" s="59" t="str">
        <f>IFERROR(VLOOKUP($A4,Admission!$1:$998,5,0),"")</f>
        <v>SARIFUL HOQUE</v>
      </c>
      <c r="D4" s="59">
        <f>IFERROR(VLOOKUP($A4,Admission!$1:$998,10,0),"")</f>
        <v>8825174593</v>
      </c>
      <c r="E4" s="59" t="str">
        <f>IFERROR(VLOOKUP($A4,Admission!$1:$998,3,0),"")</f>
        <v>Hosteller</v>
      </c>
      <c r="F4" s="25">
        <v>4000</v>
      </c>
      <c r="G4" s="25">
        <v>4000</v>
      </c>
      <c r="H4" s="25">
        <v>4000</v>
      </c>
      <c r="I4" s="25"/>
      <c r="J4" s="25">
        <v>4000</v>
      </c>
      <c r="K4" s="25">
        <v>4000</v>
      </c>
      <c r="L4" s="25">
        <v>4000</v>
      </c>
      <c r="M4" s="25"/>
      <c r="N4" s="25">
        <v>4000</v>
      </c>
      <c r="O4" s="25">
        <v>4000</v>
      </c>
      <c r="P4" s="25">
        <v>4000</v>
      </c>
      <c r="Q4" s="25"/>
      <c r="R4" s="25">
        <v>4000</v>
      </c>
      <c r="S4" s="25">
        <v>4000</v>
      </c>
      <c r="T4" s="25"/>
      <c r="U4" s="25">
        <v>4000</v>
      </c>
    </row>
    <row r="5" spans="1:32" ht="15.75" customHeight="1" x14ac:dyDescent="0.15">
      <c r="A5" s="58">
        <v>31</v>
      </c>
      <c r="B5" s="59" t="str">
        <f>IFERROR(VLOOKUP($A5,Admission!$1:$998,4,0),"")</f>
        <v>MALIK ASARI</v>
      </c>
      <c r="C5" s="59" t="str">
        <f>IFERROR(VLOOKUP($A5,Admission!$1:$998,5,0),"")</f>
        <v>MD.AMIR HAMJA</v>
      </c>
      <c r="D5" s="59">
        <f>IFERROR(VLOOKUP($A5,Admission!$1:$998,10,0),"")</f>
        <v>9771026583</v>
      </c>
      <c r="E5" s="59" t="str">
        <f>IFERROR(VLOOKUP($A5,Admission!$1:$998,3,0),"")</f>
        <v>Hosteller</v>
      </c>
      <c r="F5" s="25">
        <v>4000</v>
      </c>
      <c r="G5" s="25">
        <v>4000</v>
      </c>
      <c r="H5" s="25">
        <v>4000</v>
      </c>
      <c r="I5" s="25">
        <v>200</v>
      </c>
      <c r="J5" s="25">
        <v>4000</v>
      </c>
      <c r="K5" s="25">
        <v>4000</v>
      </c>
      <c r="L5" s="25">
        <v>4000</v>
      </c>
      <c r="M5" s="25">
        <v>200</v>
      </c>
      <c r="N5" s="25">
        <v>4000</v>
      </c>
      <c r="O5" s="25">
        <v>4000</v>
      </c>
      <c r="P5" s="25">
        <v>4000</v>
      </c>
      <c r="Q5" s="25">
        <v>200</v>
      </c>
      <c r="R5" s="25">
        <v>4000</v>
      </c>
      <c r="S5" s="25">
        <v>4000</v>
      </c>
      <c r="T5" s="25">
        <v>200</v>
      </c>
      <c r="U5" s="25">
        <v>4000</v>
      </c>
    </row>
    <row r="6" spans="1:32" ht="15.75" customHeight="1" x14ac:dyDescent="0.15">
      <c r="A6" s="58">
        <v>50</v>
      </c>
      <c r="B6" s="59" t="str">
        <f>IFERROR(VLOOKUP($A6,Admission!$1:$998,4,0),"")</f>
        <v>MD ASLAM</v>
      </c>
      <c r="C6" s="59" t="str">
        <f>IFERROR(VLOOKUP($A6,Admission!$1:$998,5,0),"")</f>
        <v>MD BASHARAT</v>
      </c>
      <c r="D6" s="59">
        <f>IFERROR(VLOOKUP($A6,Admission!$1:$998,10,0),"")</f>
        <v>8521887277</v>
      </c>
      <c r="E6" s="59" t="str">
        <f>IFERROR(VLOOKUP($A6,Admission!$1:$998,3,0),"")</f>
        <v>Hosteller</v>
      </c>
      <c r="F6" s="25">
        <v>4000</v>
      </c>
      <c r="G6" s="25">
        <v>4000</v>
      </c>
      <c r="H6" s="25">
        <v>4000</v>
      </c>
      <c r="I6" s="25"/>
      <c r="J6" s="25">
        <v>4000</v>
      </c>
      <c r="K6" s="25">
        <v>4000</v>
      </c>
      <c r="L6" s="25">
        <v>4000</v>
      </c>
      <c r="M6" s="25"/>
      <c r="N6" s="25">
        <v>4000</v>
      </c>
      <c r="O6" s="25">
        <v>4000</v>
      </c>
      <c r="P6" s="25">
        <v>4000</v>
      </c>
      <c r="Q6" s="25"/>
      <c r="R6" s="25">
        <v>4000</v>
      </c>
      <c r="S6" s="25">
        <v>4000</v>
      </c>
      <c r="T6" s="25"/>
      <c r="U6" s="25">
        <v>4000</v>
      </c>
    </row>
    <row r="7" spans="1:32" ht="15.75" customHeight="1" x14ac:dyDescent="0.15">
      <c r="A7" s="58">
        <v>54</v>
      </c>
      <c r="B7" s="59" t="str">
        <f>IFERROR(VLOOKUP($A7,Admission!$1:$998,4,0),"")</f>
        <v>MD JAMALUDDIN ANSARI</v>
      </c>
      <c r="C7" s="59" t="str">
        <f>IFERROR(VLOOKUP($A7,Admission!$1:$998,5,0),"")</f>
        <v>MD ISRAIL ANSARI</v>
      </c>
      <c r="D7" s="59">
        <f>IFERROR(VLOOKUP($A7,Admission!$1:$998,10,0),"")</f>
        <v>9801331446</v>
      </c>
      <c r="E7" s="59" t="str">
        <f>IFERROR(VLOOKUP($A7,Admission!$1:$998,3,0),"")</f>
        <v>Hosteller</v>
      </c>
      <c r="F7" s="25">
        <v>4000</v>
      </c>
      <c r="G7" s="25">
        <v>4000</v>
      </c>
      <c r="H7" s="25">
        <v>4000</v>
      </c>
      <c r="I7" s="25">
        <v>200</v>
      </c>
      <c r="J7" s="25">
        <v>4000</v>
      </c>
      <c r="K7" s="25">
        <v>4000</v>
      </c>
      <c r="L7" s="25">
        <v>4000</v>
      </c>
      <c r="M7" s="25">
        <v>200</v>
      </c>
      <c r="N7" s="25">
        <v>4000</v>
      </c>
      <c r="O7" s="25">
        <v>4000</v>
      </c>
      <c r="P7" s="25">
        <v>4000</v>
      </c>
      <c r="Q7" s="25">
        <v>200</v>
      </c>
      <c r="R7" s="25">
        <v>4000</v>
      </c>
      <c r="S7" s="25">
        <v>4000</v>
      </c>
      <c r="T7" s="25">
        <v>200</v>
      </c>
      <c r="U7" s="25">
        <v>4000</v>
      </c>
    </row>
    <row r="8" spans="1:32" ht="15.75" customHeight="1" x14ac:dyDescent="0.15">
      <c r="A8" s="58">
        <v>55</v>
      </c>
      <c r="B8" s="59" t="str">
        <f>IFERROR(VLOOKUP($A8,Admission!$1:$998,4,0),"")</f>
        <v>MD KAMALUDDIN ANSARI</v>
      </c>
      <c r="C8" s="59" t="str">
        <f>IFERROR(VLOOKUP($A8,Admission!$1:$998,5,0),"")</f>
        <v>MD ISRAIL ANSARI</v>
      </c>
      <c r="D8" s="59">
        <f>IFERROR(VLOOKUP($A8,Admission!$1:$998,10,0),"")</f>
        <v>9801331446</v>
      </c>
      <c r="E8" s="59" t="str">
        <f>IFERROR(VLOOKUP($A8,Admission!$1:$998,3,0),"")</f>
        <v>Hosteller</v>
      </c>
      <c r="F8" s="25">
        <v>4000</v>
      </c>
      <c r="G8" s="25">
        <v>4000</v>
      </c>
      <c r="H8" s="25">
        <v>4000</v>
      </c>
      <c r="I8" s="25">
        <v>200</v>
      </c>
      <c r="J8" s="25">
        <v>4000</v>
      </c>
      <c r="K8" s="25">
        <v>4000</v>
      </c>
      <c r="L8" s="25">
        <v>4000</v>
      </c>
      <c r="M8" s="25">
        <v>200</v>
      </c>
      <c r="N8" s="25">
        <v>4000</v>
      </c>
      <c r="O8" s="25">
        <v>4000</v>
      </c>
      <c r="P8" s="25">
        <v>4000</v>
      </c>
      <c r="Q8" s="25">
        <v>200</v>
      </c>
      <c r="R8" s="25">
        <v>4000</v>
      </c>
      <c r="S8" s="25">
        <v>4000</v>
      </c>
      <c r="T8" s="25">
        <v>200</v>
      </c>
      <c r="U8" s="25">
        <v>4000</v>
      </c>
    </row>
    <row r="9" spans="1:32" ht="15.75" customHeight="1" x14ac:dyDescent="0.15">
      <c r="A9" s="58">
        <v>57</v>
      </c>
      <c r="B9" s="59" t="str">
        <f>IFERROR(VLOOKUP($A9,Admission!$1:$998,4,0),"")</f>
        <v>FARIK ALAM</v>
      </c>
      <c r="C9" s="59" t="str">
        <f>IFERROR(VLOOKUP($A9,Admission!$1:$998,5,0),"")</f>
        <v>SEKH SAIYAD ALI</v>
      </c>
      <c r="D9" s="59">
        <f>IFERROR(VLOOKUP($A9,Admission!$1:$998,10,0),"")</f>
        <v>0</v>
      </c>
      <c r="E9" s="59" t="str">
        <f>IFERROR(VLOOKUP($A9,Admission!$1:$998,3,0),"")</f>
        <v>Day Scholar</v>
      </c>
      <c r="F9" s="25">
        <v>800</v>
      </c>
      <c r="G9" s="25">
        <v>800</v>
      </c>
      <c r="H9" s="25">
        <v>800</v>
      </c>
      <c r="I9" s="25">
        <v>200</v>
      </c>
      <c r="J9" s="25">
        <v>800</v>
      </c>
      <c r="K9" s="25">
        <v>800</v>
      </c>
      <c r="L9" s="25">
        <v>800</v>
      </c>
      <c r="M9" s="25">
        <v>200</v>
      </c>
      <c r="N9" s="25">
        <v>800</v>
      </c>
      <c r="O9" s="65">
        <v>800</v>
      </c>
      <c r="P9" s="25">
        <v>800</v>
      </c>
      <c r="Q9" s="25"/>
      <c r="R9" s="25">
        <v>800</v>
      </c>
      <c r="S9" s="25">
        <v>800</v>
      </c>
      <c r="T9" s="25"/>
      <c r="U9" s="25">
        <v>800</v>
      </c>
    </row>
    <row r="10" spans="1:32" ht="15.75" customHeight="1" x14ac:dyDescent="0.15">
      <c r="A10" s="58"/>
      <c r="B10" s="59"/>
      <c r="C10" s="59"/>
      <c r="D10" s="59"/>
      <c r="E10" s="59"/>
      <c r="F10" s="25"/>
      <c r="G10" s="25"/>
      <c r="H10" s="25"/>
      <c r="I10" s="25"/>
      <c r="J10" s="25"/>
      <c r="K10" s="25"/>
      <c r="L10" s="25"/>
      <c r="M10" s="25"/>
      <c r="N10" s="25"/>
      <c r="O10" s="65"/>
      <c r="P10" s="25"/>
      <c r="Q10" s="25"/>
      <c r="R10" s="25"/>
      <c r="S10" s="25"/>
      <c r="T10" s="25"/>
      <c r="U10" s="25"/>
    </row>
    <row r="11" spans="1:32" ht="15.75" customHeight="1" x14ac:dyDescent="0.15">
      <c r="A11" s="58">
        <v>138</v>
      </c>
      <c r="B11" s="59" t="str">
        <f>IFERROR(VLOOKUP($A11,Admission!$1:$998,4,0),"")</f>
        <v>MIRAJ ANSARI</v>
      </c>
      <c r="C11" s="59" t="str">
        <f>IFERROR(VLOOKUP($A11,Admission!$1:$998,5,0),"")</f>
        <v>IMAM ANSARI</v>
      </c>
      <c r="D11" s="59">
        <f>IFERROR(VLOOKUP($A11,Admission!$1:$998,10,0),"")</f>
        <v>7909045138</v>
      </c>
      <c r="E11" s="59" t="str">
        <f>IFERROR(VLOOKUP($A11,Admission!$1:$998,3,0),"")</f>
        <v>Hosteller</v>
      </c>
      <c r="F11" s="25">
        <v>0</v>
      </c>
      <c r="G11" s="25">
        <v>4000</v>
      </c>
      <c r="H11" s="25">
        <v>4000</v>
      </c>
      <c r="I11" s="25">
        <v>200</v>
      </c>
      <c r="J11" s="25">
        <v>4000</v>
      </c>
      <c r="K11" s="25">
        <v>4000</v>
      </c>
      <c r="L11" s="25">
        <v>4000</v>
      </c>
      <c r="M11" s="25">
        <v>200</v>
      </c>
      <c r="N11" s="25">
        <v>4000</v>
      </c>
      <c r="O11" s="25">
        <v>4000</v>
      </c>
      <c r="P11" s="25">
        <v>4000</v>
      </c>
      <c r="Q11" s="25">
        <v>200</v>
      </c>
      <c r="R11" s="25">
        <v>4000</v>
      </c>
      <c r="S11" s="25">
        <v>4000</v>
      </c>
      <c r="T11" s="25"/>
      <c r="U11" s="25">
        <v>4000</v>
      </c>
    </row>
    <row r="12" spans="1:32" ht="15.75" customHeight="1" x14ac:dyDescent="0.15">
      <c r="A12" s="58">
        <v>61</v>
      </c>
      <c r="B12" s="59" t="str">
        <f>IFERROR(VLOOKUP($A12,Admission!$1:$998,4,0),"")</f>
        <v>SARTAJ AJIJ</v>
      </c>
      <c r="C12" s="59" t="str">
        <f>IFERROR(VLOOKUP($A12,Admission!$1:$998,5,0),"")</f>
        <v>MD IMDAD</v>
      </c>
      <c r="D12" s="59">
        <f>IFERROR(VLOOKUP($A12,Admission!$1:$998,10,0),"")</f>
        <v>7367091296</v>
      </c>
      <c r="E12" s="59" t="str">
        <f>IFERROR(VLOOKUP($A12,Admission!$1:$998,3,0),"")</f>
        <v>Day Scholar</v>
      </c>
      <c r="F12" s="25">
        <v>800</v>
      </c>
      <c r="G12" s="25">
        <v>800</v>
      </c>
      <c r="H12" s="25">
        <v>800</v>
      </c>
      <c r="I12" s="25">
        <v>200</v>
      </c>
      <c r="J12" s="25">
        <v>800</v>
      </c>
      <c r="K12" s="25">
        <v>800</v>
      </c>
      <c r="L12" s="25">
        <v>800</v>
      </c>
      <c r="M12" s="25">
        <v>200</v>
      </c>
      <c r="N12" s="25" t="s">
        <v>313</v>
      </c>
      <c r="O12" s="25" t="s">
        <v>313</v>
      </c>
      <c r="P12" s="25" t="s">
        <v>313</v>
      </c>
      <c r="Q12" s="25" t="s">
        <v>313</v>
      </c>
      <c r="R12" s="25" t="s">
        <v>313</v>
      </c>
      <c r="S12" s="25" t="s">
        <v>313</v>
      </c>
      <c r="T12" s="25" t="s">
        <v>313</v>
      </c>
      <c r="U12" s="25"/>
    </row>
    <row r="13" spans="1:32" ht="15.75" customHeight="1" x14ac:dyDescent="0.15">
      <c r="A13" s="58">
        <v>62</v>
      </c>
      <c r="B13" s="59" t="str">
        <f>IFERROR(VLOOKUP($A13,Admission!$1:$998,4,0),"")</f>
        <v>IMRAUL HASAN</v>
      </c>
      <c r="C13" s="59" t="str">
        <f>IFERROR(VLOOKUP($A13,Admission!$1:$998,5,0),"")</f>
        <v>MD RELIM SEKH</v>
      </c>
      <c r="D13" s="59">
        <f>IFERROR(VLOOKUP($A13,Admission!$1:$998,10,0),"")</f>
        <v>7070636161</v>
      </c>
      <c r="E13" s="59" t="str">
        <f>IFERROR(VLOOKUP($A13,Admission!$1:$998,3,0),"")</f>
        <v>Day Scholar</v>
      </c>
      <c r="F13" s="25">
        <v>800</v>
      </c>
      <c r="G13" s="25">
        <v>800</v>
      </c>
      <c r="H13" s="25">
        <v>800</v>
      </c>
      <c r="I13" s="25">
        <v>200</v>
      </c>
      <c r="J13" s="25">
        <v>800</v>
      </c>
      <c r="K13" s="25">
        <v>800</v>
      </c>
      <c r="L13" s="25">
        <v>800</v>
      </c>
      <c r="M13" s="25">
        <v>200</v>
      </c>
      <c r="N13" s="25">
        <v>800</v>
      </c>
      <c r="O13" s="25">
        <v>800</v>
      </c>
      <c r="P13" s="25">
        <v>800</v>
      </c>
      <c r="Q13" s="25"/>
      <c r="R13" s="25"/>
      <c r="S13" s="25"/>
      <c r="T13" s="25"/>
      <c r="U13" s="25"/>
    </row>
    <row r="14" spans="1:32" ht="15.75" customHeight="1" x14ac:dyDescent="0.15">
      <c r="A14" s="58">
        <v>63</v>
      </c>
      <c r="B14" s="59" t="str">
        <f>IFERROR(VLOOKUP($A14,Admission!$1:$998,4,0),"")</f>
        <v>FAHIM AHMAD</v>
      </c>
      <c r="C14" s="59" t="str">
        <f>IFERROR(VLOOKUP($A14,Admission!$1:$998,5,0),"")</f>
        <v>FEKARUL ISLAM</v>
      </c>
      <c r="D14" s="59">
        <f>IFERROR(VLOOKUP($A14,Admission!$1:$998,10,0),"")</f>
        <v>7903684660</v>
      </c>
      <c r="E14" s="59" t="str">
        <f>IFERROR(VLOOKUP($A14,Admission!$1:$998,3,0),"")</f>
        <v>Hosteller</v>
      </c>
      <c r="F14" s="25">
        <v>4000</v>
      </c>
      <c r="G14" s="25">
        <v>4000</v>
      </c>
      <c r="H14" s="25">
        <v>4000</v>
      </c>
      <c r="I14" s="25">
        <v>200</v>
      </c>
      <c r="J14" s="25">
        <v>4000</v>
      </c>
      <c r="K14" s="25">
        <v>4000</v>
      </c>
      <c r="L14" s="25">
        <v>4000</v>
      </c>
      <c r="M14" s="25">
        <v>200</v>
      </c>
      <c r="N14" s="25">
        <v>4000</v>
      </c>
      <c r="O14" s="25">
        <v>4000</v>
      </c>
      <c r="P14" s="23">
        <v>4000</v>
      </c>
      <c r="Q14" s="25">
        <v>200</v>
      </c>
      <c r="R14" s="25">
        <v>4000</v>
      </c>
      <c r="S14" s="25">
        <v>4000</v>
      </c>
      <c r="T14" s="25">
        <v>200</v>
      </c>
      <c r="U14" s="25">
        <v>4000</v>
      </c>
    </row>
    <row r="15" spans="1:32" ht="15.75" customHeight="1" x14ac:dyDescent="0.15">
      <c r="A15" s="58">
        <v>64</v>
      </c>
      <c r="B15" s="59" t="str">
        <f>IFERROR(VLOOKUP($A15,Admission!$1:$998,4,0),"")</f>
        <v xml:space="preserve">ABDUR RAKIB </v>
      </c>
      <c r="C15" s="59" t="str">
        <f>IFERROR(VLOOKUP($A15,Admission!$1:$998,5,0),"")</f>
        <v>ZAMIL AKHTAR</v>
      </c>
      <c r="D15" s="59">
        <f>IFERROR(VLOOKUP($A15,Admission!$1:$998,10,0),"")</f>
        <v>7903684660</v>
      </c>
      <c r="E15" s="59" t="str">
        <f>IFERROR(VLOOKUP($A15,Admission!$1:$998,3,0),"")</f>
        <v>Hosteller</v>
      </c>
      <c r="F15" s="25">
        <v>4000</v>
      </c>
      <c r="G15" s="25">
        <v>4000</v>
      </c>
      <c r="H15" s="25">
        <v>4000</v>
      </c>
      <c r="I15" s="25">
        <v>200</v>
      </c>
      <c r="J15" s="25">
        <v>4000</v>
      </c>
      <c r="K15" s="25">
        <v>4000</v>
      </c>
      <c r="L15" s="25">
        <v>4000</v>
      </c>
      <c r="M15" s="25">
        <v>200</v>
      </c>
      <c r="N15" s="25">
        <v>4000</v>
      </c>
      <c r="O15" s="25">
        <v>4000</v>
      </c>
      <c r="P15" s="25">
        <v>4000</v>
      </c>
      <c r="Q15" s="25">
        <v>200</v>
      </c>
      <c r="R15" s="25">
        <v>4000</v>
      </c>
      <c r="S15" s="25">
        <v>4000</v>
      </c>
      <c r="T15" s="25">
        <v>200</v>
      </c>
      <c r="U15" s="25">
        <v>4000</v>
      </c>
    </row>
    <row r="16" spans="1:32" ht="15.75" customHeight="1" x14ac:dyDescent="0.15">
      <c r="A16" s="58">
        <v>67</v>
      </c>
      <c r="B16" s="59" t="str">
        <f>IFERROR(VLOOKUP($A16,Admission!$1:$998,4,0),"")</f>
        <v>SATTAR ANSARI</v>
      </c>
      <c r="C16" s="59" t="str">
        <f>IFERROR(VLOOKUP($A16,Admission!$1:$998,5,0),"")</f>
        <v>ABDUL BARIK ANSARI</v>
      </c>
      <c r="D16" s="59">
        <f>IFERROR(VLOOKUP($A16,Admission!$1:$998,10,0),"")</f>
        <v>9867568256</v>
      </c>
      <c r="E16" s="59" t="str">
        <f>IFERROR(VLOOKUP($A16,Admission!$1:$998,3,0),"")</f>
        <v>Hosteller</v>
      </c>
      <c r="F16" s="25">
        <v>4000</v>
      </c>
      <c r="G16" s="25">
        <v>4000</v>
      </c>
      <c r="H16" s="25">
        <v>4000</v>
      </c>
      <c r="I16" s="25">
        <v>200</v>
      </c>
      <c r="J16" s="25">
        <v>4000</v>
      </c>
      <c r="K16" s="25">
        <v>4000</v>
      </c>
      <c r="L16" s="25">
        <v>4000</v>
      </c>
      <c r="M16" s="25">
        <v>200</v>
      </c>
      <c r="N16" s="25">
        <v>4000</v>
      </c>
      <c r="O16" s="25">
        <v>4000</v>
      </c>
      <c r="P16" s="25">
        <v>4000</v>
      </c>
      <c r="Q16" s="25">
        <v>200</v>
      </c>
      <c r="R16" s="25">
        <v>4000</v>
      </c>
      <c r="S16" s="25">
        <v>4000</v>
      </c>
      <c r="T16" s="25">
        <v>200</v>
      </c>
      <c r="U16" s="25">
        <v>4000</v>
      </c>
    </row>
    <row r="17" spans="1:21" ht="15.75" customHeight="1" x14ac:dyDescent="0.15">
      <c r="A17" s="58">
        <v>163</v>
      </c>
      <c r="B17" s="59" t="str">
        <f>IFERROR(VLOOKUP($A17,Admission!$1:$998,4,0),"")</f>
        <v>BADRI ALAM</v>
      </c>
      <c r="C17" s="59" t="str">
        <f>IFERROR(VLOOKUP($A17,Admission!$1:$998,5,0),"")</f>
        <v>AKBAR SHEKH</v>
      </c>
      <c r="D17" s="59">
        <f>IFERROR(VLOOKUP($A17,Admission!$1:$998,10,0),"")</f>
        <v>9110953710</v>
      </c>
      <c r="E17" s="59" t="str">
        <f>IFERROR(VLOOKUP($A17,Admission!$1:$998,3,0),"")</f>
        <v>Hosteller</v>
      </c>
      <c r="F17" s="25">
        <v>0</v>
      </c>
      <c r="G17" s="25">
        <v>0</v>
      </c>
      <c r="H17" s="25">
        <v>4000</v>
      </c>
      <c r="I17" s="25">
        <v>200</v>
      </c>
      <c r="J17" s="25">
        <v>4000</v>
      </c>
      <c r="K17" s="25">
        <v>4000</v>
      </c>
      <c r="L17" s="25">
        <v>4000</v>
      </c>
      <c r="M17" s="25">
        <v>200</v>
      </c>
      <c r="N17" s="25">
        <v>4000</v>
      </c>
      <c r="O17" s="25">
        <v>4000</v>
      </c>
      <c r="P17" s="25">
        <v>4000</v>
      </c>
      <c r="Q17" s="25">
        <v>200</v>
      </c>
      <c r="R17" s="25">
        <v>4000</v>
      </c>
      <c r="S17" s="25">
        <v>4000</v>
      </c>
      <c r="T17" s="25">
        <v>200</v>
      </c>
      <c r="U17" s="25">
        <v>4000</v>
      </c>
    </row>
    <row r="18" spans="1:21" ht="15.75" customHeight="1" x14ac:dyDescent="0.15">
      <c r="A18" s="58">
        <v>109</v>
      </c>
      <c r="B18" s="59" t="str">
        <f>IFERROR(VLOOKUP($A18,Admission!$1:$998,4,0),"")</f>
        <v xml:space="preserve">SHAHBAJ ANSARI </v>
      </c>
      <c r="C18" s="59" t="str">
        <f>IFERROR(VLOOKUP($A18,Admission!$1:$998,5,0),"")</f>
        <v>TABARAK ANSARI</v>
      </c>
      <c r="D18" s="59">
        <f>IFERROR(VLOOKUP($A18,Admission!$1:$998,10,0),"")</f>
        <v>8340636663</v>
      </c>
      <c r="E18" s="59" t="str">
        <f>IFERROR(VLOOKUP($A18,Admission!$1:$998,3,0),"")</f>
        <v>Hosteller</v>
      </c>
      <c r="F18" s="25">
        <v>4000</v>
      </c>
      <c r="G18" s="25">
        <v>4000</v>
      </c>
      <c r="H18" s="25">
        <v>4000</v>
      </c>
      <c r="I18" s="25">
        <v>200</v>
      </c>
      <c r="J18" s="25">
        <v>4000</v>
      </c>
      <c r="K18" s="25">
        <v>4000</v>
      </c>
      <c r="L18" s="25">
        <v>4000</v>
      </c>
      <c r="M18" s="25">
        <v>200</v>
      </c>
      <c r="N18" s="25">
        <v>4000</v>
      </c>
      <c r="O18" s="25">
        <v>4000</v>
      </c>
      <c r="P18" s="25"/>
      <c r="Q18" s="25"/>
      <c r="R18" s="25"/>
      <c r="S18" s="25"/>
      <c r="T18" s="25"/>
      <c r="U18" s="25"/>
    </row>
    <row r="19" spans="1:21" ht="15.75" customHeight="1" x14ac:dyDescent="0.15">
      <c r="A19" s="58">
        <v>141</v>
      </c>
      <c r="B19" s="59" t="str">
        <f>IFERROR(VLOOKUP($A19,Admission!$1:$998,4,0),"")</f>
        <v>MUNTASIR HAQUE</v>
      </c>
      <c r="C19" s="59" t="str">
        <f>IFERROR(VLOOKUP($A19,Admission!$1:$998,5,0),"")</f>
        <v>MANJARUL HAQUE</v>
      </c>
      <c r="D19" s="59">
        <f>IFERROR(VLOOKUP($A19,Admission!$1:$998,10,0),"")</f>
        <v>9006566483</v>
      </c>
      <c r="E19" s="59" t="str">
        <f>IFERROR(VLOOKUP($A19,Admission!$1:$998,3,0),"")</f>
        <v>Day Scholar</v>
      </c>
      <c r="F19" s="25">
        <v>800</v>
      </c>
      <c r="G19" s="25">
        <v>800</v>
      </c>
      <c r="H19" s="25">
        <v>800</v>
      </c>
      <c r="I19" s="25">
        <v>200</v>
      </c>
      <c r="J19" s="25">
        <v>800</v>
      </c>
      <c r="K19" s="25">
        <v>800</v>
      </c>
      <c r="L19" s="25">
        <v>800</v>
      </c>
      <c r="M19" s="25">
        <v>200</v>
      </c>
      <c r="N19" s="25">
        <v>800</v>
      </c>
      <c r="O19" s="25">
        <v>800</v>
      </c>
      <c r="P19" s="25">
        <v>800</v>
      </c>
      <c r="Q19" s="25"/>
      <c r="R19" s="25"/>
      <c r="S19" s="25"/>
      <c r="T19" s="25"/>
      <c r="U19" s="25"/>
    </row>
    <row r="20" spans="1:21" ht="15.75" customHeight="1" x14ac:dyDescent="0.15">
      <c r="A20" s="58">
        <v>27</v>
      </c>
      <c r="B20" s="59" t="str">
        <f>IFERROR(VLOOKUP($A20,Admission!$1:$998,4,0),"")</f>
        <v>RUKSAR TABASSUM</v>
      </c>
      <c r="C20" s="59" t="str">
        <f>IFERROR(VLOOKUP($A20,Admission!$1:$998,5,0),"")</f>
        <v>BADRUL ISLAM</v>
      </c>
      <c r="D20" s="59">
        <f>IFERROR(VLOOKUP($A20,Admission!$1:$998,10,0),"")</f>
        <v>8340584833</v>
      </c>
      <c r="E20" s="59" t="str">
        <f>IFERROR(VLOOKUP($A20,Admission!$1:$998,3,0),"")</f>
        <v>Day Scholar</v>
      </c>
      <c r="F20" s="25">
        <v>800</v>
      </c>
      <c r="G20" s="25">
        <v>800</v>
      </c>
      <c r="H20" s="25">
        <v>800</v>
      </c>
      <c r="I20" s="25">
        <v>200</v>
      </c>
      <c r="J20" s="25">
        <v>800</v>
      </c>
      <c r="K20" s="25">
        <v>800</v>
      </c>
      <c r="L20" s="25">
        <v>800</v>
      </c>
      <c r="M20" s="25">
        <v>200</v>
      </c>
      <c r="N20" s="25">
        <v>800</v>
      </c>
      <c r="O20" s="25">
        <v>800</v>
      </c>
      <c r="P20" s="25">
        <v>800</v>
      </c>
      <c r="Q20" s="25">
        <v>200</v>
      </c>
      <c r="R20" s="25"/>
      <c r="S20" s="25"/>
      <c r="T20" s="25"/>
      <c r="U20" s="25"/>
    </row>
    <row r="21" spans="1:21" ht="15.75" customHeight="1" x14ac:dyDescent="0.15">
      <c r="A21" s="58">
        <v>168</v>
      </c>
      <c r="B21" s="59" t="str">
        <f>IFERROR(VLOOKUP($A21,Admission!$1:$998,4,0),"")</f>
        <v>NAFISH ALAM</v>
      </c>
      <c r="C21" s="59" t="str">
        <f>IFERROR(VLOOKUP($A21,Admission!$1:$998,5,0),"")</f>
        <v xml:space="preserve">MD SELIM </v>
      </c>
      <c r="D21" s="59">
        <f>IFERROR(VLOOKUP($A21,Admission!$1:$998,10,0),"")</f>
        <v>8789734647</v>
      </c>
      <c r="E21" s="59" t="str">
        <f>IFERROR(VLOOKUP($A21,Admission!$1:$998,3,0),"")</f>
        <v>Day Scholar</v>
      </c>
      <c r="F21" s="25">
        <v>800</v>
      </c>
      <c r="G21" s="25">
        <v>800</v>
      </c>
      <c r="H21" s="25">
        <v>800</v>
      </c>
      <c r="I21" s="25">
        <v>200</v>
      </c>
      <c r="J21" s="25">
        <v>800</v>
      </c>
      <c r="K21" s="25">
        <v>800</v>
      </c>
      <c r="L21" s="25">
        <v>800</v>
      </c>
      <c r="M21" s="25">
        <v>200</v>
      </c>
      <c r="N21" s="25">
        <v>800</v>
      </c>
      <c r="O21" s="25">
        <v>800</v>
      </c>
      <c r="P21" s="25">
        <v>800</v>
      </c>
      <c r="Q21" s="25">
        <v>200</v>
      </c>
      <c r="R21" s="25">
        <v>800</v>
      </c>
      <c r="S21" s="25">
        <v>800</v>
      </c>
      <c r="T21" s="25">
        <v>200</v>
      </c>
      <c r="U21" s="25">
        <v>800</v>
      </c>
    </row>
    <row r="22" spans="1:21" ht="15.75" customHeight="1" x14ac:dyDescent="0.15">
      <c r="A22" s="58">
        <v>86</v>
      </c>
      <c r="B22" s="59" t="str">
        <f>IFERROR(VLOOKUP($A22,Admission!$1:$998,4,0),"")</f>
        <v>MUSHARRAF ANSARI</v>
      </c>
      <c r="C22" s="59" t="str">
        <f>IFERROR(VLOOKUP($A22,Admission!$1:$998,5,0),"")</f>
        <v>RAMJAN ANSARI</v>
      </c>
      <c r="D22" s="59">
        <f>IFERROR(VLOOKUP($A22,Admission!$1:$998,10,0),"")</f>
        <v>8777097447</v>
      </c>
      <c r="E22" s="59" t="str">
        <f>IFERROR(VLOOKUP($A22,Admission!$1:$998,3,0),"")</f>
        <v>Hosteller</v>
      </c>
      <c r="F22" s="25">
        <v>0</v>
      </c>
      <c r="G22" s="25">
        <v>4000</v>
      </c>
      <c r="H22" s="25">
        <v>4000</v>
      </c>
      <c r="I22" s="25">
        <v>200</v>
      </c>
      <c r="J22" s="25">
        <v>4000</v>
      </c>
      <c r="K22" s="25">
        <v>4000</v>
      </c>
      <c r="L22" s="25">
        <v>4000</v>
      </c>
      <c r="M22" s="25"/>
      <c r="N22" s="25">
        <v>4000</v>
      </c>
      <c r="O22" s="25">
        <v>4000</v>
      </c>
      <c r="P22" s="25">
        <v>4000</v>
      </c>
      <c r="Q22" s="25"/>
      <c r="R22" s="25" t="s">
        <v>313</v>
      </c>
      <c r="S22" s="25" t="s">
        <v>313</v>
      </c>
      <c r="T22" s="25" t="s">
        <v>313</v>
      </c>
      <c r="U22" s="25" t="s">
        <v>313</v>
      </c>
    </row>
    <row r="23" spans="1:21" ht="15.75" customHeight="1" x14ac:dyDescent="0.15">
      <c r="A23" s="58">
        <v>175</v>
      </c>
      <c r="B23" s="59" t="str">
        <f>IFERROR(VLOOKUP($A23,Admission!$1:$998,4,0),"")</f>
        <v>NIYAZ ALAM</v>
      </c>
      <c r="C23" s="59" t="str">
        <f>IFERROR(VLOOKUP($A23,Admission!$1:$998,5,0),"")</f>
        <v xml:space="preserve">ABUL KASIM </v>
      </c>
      <c r="D23" s="59">
        <f>IFERROR(VLOOKUP($A23,Admission!$1:$998,10,0),"")</f>
        <v>8709903830</v>
      </c>
      <c r="E23" s="59" t="str">
        <f>IFERROR(VLOOKUP($A23,Admission!$1:$998,3,0),"")</f>
        <v>Day Scholar</v>
      </c>
      <c r="F23" s="20">
        <v>800</v>
      </c>
      <c r="G23" s="20">
        <v>800</v>
      </c>
      <c r="H23" s="20">
        <v>800</v>
      </c>
      <c r="I23" s="20">
        <v>200</v>
      </c>
      <c r="J23" s="20">
        <v>800</v>
      </c>
      <c r="K23" s="20">
        <v>800</v>
      </c>
      <c r="L23" s="20">
        <v>800</v>
      </c>
      <c r="M23" s="20">
        <v>200</v>
      </c>
      <c r="N23" s="25">
        <v>800</v>
      </c>
      <c r="O23" s="25">
        <v>800</v>
      </c>
      <c r="P23" s="25">
        <v>800</v>
      </c>
      <c r="Q23" s="25"/>
      <c r="R23" s="25">
        <v>800</v>
      </c>
      <c r="S23" s="25">
        <v>800</v>
      </c>
      <c r="T23" s="25"/>
      <c r="U23" s="25">
        <v>800</v>
      </c>
    </row>
    <row r="24" spans="1:21" ht="15.75" customHeight="1" x14ac:dyDescent="0.15">
      <c r="A24" s="58">
        <v>171</v>
      </c>
      <c r="B24" s="59" t="str">
        <f>IFERROR(VLOOKUP($A24,Admission!$1:$998,4,0),"")</f>
        <v>MEHNAZ AKHTAR</v>
      </c>
      <c r="C24" s="59" t="str">
        <f>IFERROR(VLOOKUP($A24,Admission!$1:$998,5,0),"")</f>
        <v>SHAMIM AKHTAR</v>
      </c>
      <c r="D24" s="59">
        <f>IFERROR(VLOOKUP($A24,Admission!$1:$998,10,0),"")</f>
        <v>8084828089</v>
      </c>
      <c r="E24" s="59" t="str">
        <f>IFERROR(VLOOKUP($A24,Admission!$1:$998,3,0),"")</f>
        <v>Day Scholar</v>
      </c>
      <c r="F24" s="25">
        <v>800</v>
      </c>
      <c r="G24" s="25">
        <v>800</v>
      </c>
      <c r="H24" s="25">
        <v>800</v>
      </c>
      <c r="I24" s="25">
        <v>200</v>
      </c>
      <c r="J24" s="25">
        <v>800</v>
      </c>
      <c r="K24" s="25">
        <v>800</v>
      </c>
      <c r="L24" s="25">
        <v>800</v>
      </c>
      <c r="M24" s="25"/>
      <c r="N24" s="25">
        <v>800</v>
      </c>
      <c r="O24" s="25">
        <v>800</v>
      </c>
      <c r="P24" s="25">
        <v>800</v>
      </c>
      <c r="Q24" s="25"/>
      <c r="R24" s="25" t="s">
        <v>313</v>
      </c>
      <c r="S24" s="25" t="s">
        <v>313</v>
      </c>
      <c r="T24" s="25" t="s">
        <v>313</v>
      </c>
      <c r="U24" s="25" t="s">
        <v>313</v>
      </c>
    </row>
    <row r="25" spans="1:21" ht="15.75" customHeight="1" x14ac:dyDescent="0.15">
      <c r="A25" s="58">
        <v>26</v>
      </c>
      <c r="B25" s="59" t="str">
        <f>IFERROR(VLOOKUP($A25,Admission!$1:$998,4,0),"")</f>
        <v>NASIB ALAM</v>
      </c>
      <c r="C25" s="59" t="str">
        <f>IFERROR(VLOOKUP($A25,Admission!$1:$998,5,0),"")</f>
        <v>SABBIR ALAM</v>
      </c>
      <c r="D25" s="59">
        <f>IFERROR(VLOOKUP($A25,Admission!$1:$998,10,0),"")</f>
        <v>7260034191</v>
      </c>
      <c r="E25" s="59" t="str">
        <f>IFERROR(VLOOKUP($A25,Admission!$1:$998,3,0),"")</f>
        <v>Day Scholar</v>
      </c>
      <c r="F25" s="25">
        <v>800</v>
      </c>
      <c r="G25" s="25">
        <v>800</v>
      </c>
      <c r="H25" s="25">
        <v>800</v>
      </c>
      <c r="I25" s="25">
        <v>200</v>
      </c>
      <c r="J25" s="25">
        <v>800</v>
      </c>
      <c r="K25" s="25">
        <v>800</v>
      </c>
      <c r="L25" s="25">
        <v>800</v>
      </c>
      <c r="M25" s="25"/>
      <c r="N25" s="25">
        <v>800</v>
      </c>
      <c r="O25" s="25">
        <v>800</v>
      </c>
      <c r="P25" s="25">
        <v>800</v>
      </c>
      <c r="Q25" s="25"/>
      <c r="R25" s="25">
        <v>800</v>
      </c>
      <c r="S25" s="25">
        <v>800</v>
      </c>
      <c r="T25" s="25"/>
      <c r="U25" s="25"/>
    </row>
    <row r="26" spans="1:21" ht="15.75" customHeight="1" x14ac:dyDescent="0.15">
      <c r="A26" s="58"/>
      <c r="B26" s="59" t="str">
        <f>IFERROR(VLOOKUP($A26,Admission!$1:$998,4,0),"")</f>
        <v/>
      </c>
      <c r="C26" s="59" t="str">
        <f>IFERROR(VLOOKUP($A26,Admission!$1:$998,5,0),"")</f>
        <v/>
      </c>
      <c r="D26" s="59" t="str">
        <f>IFERROR(VLOOKUP($A26,Admission!$1:$998,10,0),"")</f>
        <v/>
      </c>
      <c r="E26" s="59" t="str">
        <f>IFERROR(VLOOKUP($A26,Admission!$1:$998,3,0),"")</f>
        <v/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ht="15.75" customHeight="1" x14ac:dyDescent="0.15">
      <c r="A27" s="58"/>
      <c r="B27" s="59" t="str">
        <f>IFERROR(VLOOKUP($A27,Admission!$1:$998,4,0),"")</f>
        <v/>
      </c>
      <c r="C27" s="59" t="str">
        <f>IFERROR(VLOOKUP($A27,Admission!$1:$998,5,0),"")</f>
        <v/>
      </c>
      <c r="D27" s="59" t="str">
        <f>IFERROR(VLOOKUP($A27,Admission!$1:$998,10,0),"")</f>
        <v/>
      </c>
      <c r="E27" s="59" t="str">
        <f>IFERROR(VLOOKUP($A27,Admission!$1:$998,3,0),"")</f>
        <v/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1" ht="15.75" customHeight="1" x14ac:dyDescent="0.15">
      <c r="A28" s="58"/>
      <c r="B28" s="59" t="str">
        <f>IFERROR(VLOOKUP($A28,Admission!$1:$998,4,0),"")</f>
        <v/>
      </c>
      <c r="C28" s="59" t="str">
        <f>IFERROR(VLOOKUP($A28,Admission!$1:$998,5,0),"")</f>
        <v/>
      </c>
      <c r="D28" s="59" t="str">
        <f>IFERROR(VLOOKUP($A28,Admission!$1:$998,10,0),"")</f>
        <v/>
      </c>
      <c r="E28" s="59" t="str">
        <f>IFERROR(VLOOKUP($A28,Admission!$1:$998,3,0),"")</f>
        <v/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ht="15.75" customHeight="1" x14ac:dyDescent="0.15">
      <c r="A29" s="58"/>
      <c r="B29" s="59" t="str">
        <f>IFERROR(VLOOKUP($A29,Admission!$1:$998,4,0),"")</f>
        <v/>
      </c>
      <c r="C29" s="59" t="str">
        <f>IFERROR(VLOOKUP($A29,Admission!$1:$998,5,0),"")</f>
        <v/>
      </c>
      <c r="D29" s="59" t="str">
        <f>IFERROR(VLOOKUP($A29,Admission!$1:$998,10,0),"")</f>
        <v/>
      </c>
      <c r="E29" s="59" t="str">
        <f>IFERROR(VLOOKUP($A29,Admission!$1:$998,3,0),"")</f>
        <v/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ht="15.75" customHeight="1" x14ac:dyDescent="0.15">
      <c r="A30" s="58"/>
      <c r="B30" s="59" t="str">
        <f>IFERROR(VLOOKUP($A30,Admission!$1:$998,4,0),"")</f>
        <v/>
      </c>
      <c r="C30" s="59" t="str">
        <f>IFERROR(VLOOKUP($A30,Admission!$1:$998,5,0),"")</f>
        <v/>
      </c>
      <c r="D30" s="59" t="str">
        <f>IFERROR(VLOOKUP($A30,Admission!$1:$998,10,0),"")</f>
        <v/>
      </c>
      <c r="E30" s="59" t="str">
        <f>IFERROR(VLOOKUP($A30,Admission!$1:$998,3,0),"")</f>
        <v/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 ht="15.75" customHeight="1" x14ac:dyDescent="0.15">
      <c r="A31" s="58"/>
      <c r="B31" s="59" t="str">
        <f>IFERROR(VLOOKUP($A31,Admission!$1:$998,4,0),"")</f>
        <v/>
      </c>
      <c r="C31" s="59" t="str">
        <f>IFERROR(VLOOKUP($A31,Admission!$1:$998,5,0),"")</f>
        <v/>
      </c>
      <c r="D31" s="59" t="str">
        <f>IFERROR(VLOOKUP($A31,Admission!$1:$998,10,0),"")</f>
        <v/>
      </c>
      <c r="E31" s="59" t="str">
        <f>IFERROR(VLOOKUP($A31,Admission!$1:$998,3,0),"")</f>
        <v/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1:21" ht="15.75" customHeight="1" x14ac:dyDescent="0.15">
      <c r="A32" s="58"/>
      <c r="B32" s="59" t="str">
        <f>IFERROR(VLOOKUP($A32,Admission!$1:$998,4,0),"")</f>
        <v/>
      </c>
      <c r="C32" s="59" t="str">
        <f>IFERROR(VLOOKUP($A32,Admission!$1:$998,5,0),"")</f>
        <v/>
      </c>
      <c r="D32" s="59" t="str">
        <f>IFERROR(VLOOKUP($A32,Admission!$1:$998,10,0),"")</f>
        <v/>
      </c>
      <c r="E32" s="59" t="str">
        <f>IFERROR(VLOOKUP($A32,Admission!$1:$998,3,0),"")</f>
        <v/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1:21" ht="15.75" customHeight="1" x14ac:dyDescent="0.15">
      <c r="A33" s="58"/>
      <c r="B33" s="59" t="str">
        <f>IFERROR(VLOOKUP($A33,Admission!$1:$998,4,0),"")</f>
        <v/>
      </c>
      <c r="C33" s="59" t="str">
        <f>IFERROR(VLOOKUP($A33,Admission!$1:$998,5,0),"")</f>
        <v/>
      </c>
      <c r="D33" s="59" t="str">
        <f>IFERROR(VLOOKUP($A33,Admission!$1:$998,10,0),"")</f>
        <v/>
      </c>
      <c r="E33" s="59" t="str">
        <f>IFERROR(VLOOKUP($A33,Admission!$1:$998,3,0),"")</f>
        <v/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1:21" ht="15.75" customHeight="1" x14ac:dyDescent="0.15">
      <c r="A34" s="58"/>
      <c r="B34" s="59" t="str">
        <f>IFERROR(VLOOKUP($A34,Admission!$1:$998,4,0),"")</f>
        <v/>
      </c>
      <c r="C34" s="59" t="str">
        <f>IFERROR(VLOOKUP($A34,Admission!$1:$998,5,0),"")</f>
        <v/>
      </c>
      <c r="D34" s="59" t="str">
        <f>IFERROR(VLOOKUP($A34,Admission!$1:$998,10,0),"")</f>
        <v/>
      </c>
      <c r="E34" s="59" t="str">
        <f>IFERROR(VLOOKUP($A34,Admission!$1:$998,3,0),"")</f>
        <v/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1:21" ht="15.75" customHeight="1" x14ac:dyDescent="0.15">
      <c r="A35" s="58"/>
      <c r="B35" s="59" t="str">
        <f>IFERROR(VLOOKUP($A35,Admission!$1:$998,4,0),"")</f>
        <v/>
      </c>
      <c r="C35" s="59" t="str">
        <f>IFERROR(VLOOKUP($A35,Admission!$1:$998,5,0),"")</f>
        <v/>
      </c>
      <c r="D35" s="59" t="str">
        <f>IFERROR(VLOOKUP($A35,Admission!$1:$998,10,0),"")</f>
        <v/>
      </c>
      <c r="E35" s="59" t="str">
        <f>IFERROR(VLOOKUP($A35,Admission!$1:$998,3,0),"")</f>
        <v/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1:21" ht="15.75" customHeight="1" x14ac:dyDescent="0.15">
      <c r="A36" s="58"/>
      <c r="B36" s="59" t="str">
        <f>IFERROR(VLOOKUP($A36,Admission!$1:$998,4,0),"")</f>
        <v/>
      </c>
      <c r="C36" s="59" t="str">
        <f>IFERROR(VLOOKUP($A36,Admission!$1:$998,5,0),"")</f>
        <v/>
      </c>
      <c r="D36" s="59" t="str">
        <f>IFERROR(VLOOKUP($A36,Admission!$1:$998,10,0),"")</f>
        <v/>
      </c>
      <c r="E36" s="59" t="str">
        <f>IFERROR(VLOOKUP($A36,Admission!$1:$998,3,0),"")</f>
        <v/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1:21" ht="15.75" customHeight="1" x14ac:dyDescent="0.15">
      <c r="A37" s="58"/>
      <c r="B37" s="59" t="str">
        <f>IFERROR(VLOOKUP($A37,Admission!$1:$998,4,0),"")</f>
        <v/>
      </c>
      <c r="C37" s="59" t="str">
        <f>IFERROR(VLOOKUP($A37,Admission!$1:$998,5,0),"")</f>
        <v/>
      </c>
      <c r="D37" s="59" t="str">
        <f>IFERROR(VLOOKUP($A37,Admission!$1:$998,10,0),"")</f>
        <v/>
      </c>
      <c r="E37" s="59" t="str">
        <f>IFERROR(VLOOKUP($A37,Admission!$1:$998,3,0),"")</f>
        <v/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1:21" ht="15.75" customHeight="1" x14ac:dyDescent="0.15">
      <c r="A38" s="58"/>
      <c r="B38" s="59" t="str">
        <f>IFERROR(VLOOKUP($A38,Admission!$1:$998,4,0),"")</f>
        <v/>
      </c>
      <c r="C38" s="59" t="str">
        <f>IFERROR(VLOOKUP($A38,Admission!$1:$998,5,0),"")</f>
        <v/>
      </c>
      <c r="D38" s="59" t="str">
        <f>IFERROR(VLOOKUP($A38,Admission!$1:$998,10,0),"")</f>
        <v/>
      </c>
      <c r="E38" s="59" t="str">
        <f>IFERROR(VLOOKUP($A38,Admission!$1:$998,3,0),"")</f>
        <v/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1:21" ht="15.75" customHeight="1" x14ac:dyDescent="0.15">
      <c r="A39" s="58"/>
      <c r="B39" s="59" t="str">
        <f>IFERROR(VLOOKUP($A39,Admission!$1:$998,4,0),"")</f>
        <v/>
      </c>
      <c r="C39" s="59" t="str">
        <f>IFERROR(VLOOKUP($A39,Admission!$1:$998,5,0),"")</f>
        <v/>
      </c>
      <c r="D39" s="59" t="str">
        <f>IFERROR(VLOOKUP($A39,Admission!$1:$998,10,0),"")</f>
        <v/>
      </c>
      <c r="E39" s="59" t="str">
        <f>IFERROR(VLOOKUP($A39,Admission!$1:$998,3,0),"")</f>
        <v/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ht="15.75" customHeight="1" x14ac:dyDescent="0.15">
      <c r="A40" s="58"/>
      <c r="B40" s="59" t="str">
        <f>IFERROR(VLOOKUP($A40,Admission!$1:$998,4,0),"")</f>
        <v/>
      </c>
      <c r="C40" s="59" t="str">
        <f>IFERROR(VLOOKUP($A40,Admission!$1:$998,5,0),"")</f>
        <v/>
      </c>
      <c r="D40" s="59" t="str">
        <f>IFERROR(VLOOKUP($A40,Admission!$1:$998,10,0),"")</f>
        <v/>
      </c>
      <c r="E40" s="59" t="str">
        <f>IFERROR(VLOOKUP($A40,Admission!$1:$998,3,0),"")</f>
        <v/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1:21" ht="15.75" customHeight="1" x14ac:dyDescent="0.15">
      <c r="A41" s="58"/>
      <c r="B41" s="59" t="str">
        <f>IFERROR(VLOOKUP($A41,Admission!$1:$998,4,0),"")</f>
        <v/>
      </c>
      <c r="C41" s="59" t="str">
        <f>IFERROR(VLOOKUP($A41,Admission!$1:$998,5,0),"")</f>
        <v/>
      </c>
      <c r="D41" s="59" t="str">
        <f>IFERROR(VLOOKUP($A41,Admission!$1:$998,10,0),"")</f>
        <v/>
      </c>
      <c r="E41" s="59" t="str">
        <f>IFERROR(VLOOKUP($A41,Admission!$1:$998,3,0),"")</f>
        <v/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1:21" ht="15.75" customHeight="1" x14ac:dyDescent="0.15">
      <c r="A42" s="58"/>
      <c r="B42" s="59" t="str">
        <f>IFERROR(VLOOKUP($A42,Admission!$1:$998,4,0),"")</f>
        <v/>
      </c>
      <c r="C42" s="59" t="str">
        <f>IFERROR(VLOOKUP($A42,Admission!$1:$998,5,0),"")</f>
        <v/>
      </c>
      <c r="D42" s="59" t="str">
        <f>IFERROR(VLOOKUP($A42,Admission!$1:$998,10,0),"")</f>
        <v/>
      </c>
      <c r="E42" s="59" t="str">
        <f>IFERROR(VLOOKUP($A42,Admission!$1:$998,3,0),"")</f>
        <v/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1:21" ht="15.75" customHeight="1" x14ac:dyDescent="0.15">
      <c r="A43" s="58"/>
      <c r="B43" s="59" t="str">
        <f>IFERROR(VLOOKUP($A43,Admission!$1:$998,4,0),"")</f>
        <v/>
      </c>
      <c r="C43" s="59" t="str">
        <f>IFERROR(VLOOKUP($A43,Admission!$1:$998,5,0),"")</f>
        <v/>
      </c>
      <c r="D43" s="59" t="str">
        <f>IFERROR(VLOOKUP($A43,Admission!$1:$998,10,0),"")</f>
        <v/>
      </c>
      <c r="E43" s="59" t="str">
        <f>IFERROR(VLOOKUP($A43,Admission!$1:$998,3,0),"")</f>
        <v/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21" ht="15.75" customHeight="1" x14ac:dyDescent="0.15">
      <c r="A44" s="58"/>
      <c r="B44" s="59" t="str">
        <f>IFERROR(VLOOKUP($A44,Admission!$1:$998,4,0),"")</f>
        <v/>
      </c>
      <c r="C44" s="59" t="str">
        <f>IFERROR(VLOOKUP($A44,Admission!$1:$998,5,0),"")</f>
        <v/>
      </c>
      <c r="D44" s="59"/>
      <c r="E44" s="59" t="str">
        <f>IFERROR(VLOOKUP($A44,Admission!$1:$998,3,0),"")</f>
        <v/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21" ht="15.75" customHeight="1" x14ac:dyDescent="0.15">
      <c r="A45" s="58"/>
      <c r="B45" s="59" t="str">
        <f>IFERROR(VLOOKUP($A45,Admission!$1:$998,4,0),"")</f>
        <v/>
      </c>
      <c r="C45" s="59" t="str">
        <f>IFERROR(VLOOKUP($A45,Admission!$1:$998,5,0),"")</f>
        <v/>
      </c>
      <c r="D45" s="59"/>
      <c r="E45" s="59" t="str">
        <f>IFERROR(VLOOKUP($A45,Admission!$1:$998,3,0),"")</f>
        <v/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1:21" ht="15.75" customHeight="1" x14ac:dyDescent="0.15">
      <c r="A46" s="58"/>
      <c r="B46" s="59" t="str">
        <f>IFERROR(VLOOKUP($A46,Admission!$1:$998,4,0),"")</f>
        <v/>
      </c>
      <c r="C46" s="59" t="str">
        <f>IFERROR(VLOOKUP($A46,Admission!$1:$998,5,0),"")</f>
        <v/>
      </c>
      <c r="D46" s="59"/>
      <c r="E46" s="59" t="str">
        <f>IFERROR(VLOOKUP($A46,Admission!$1:$998,3,0),"")</f>
        <v/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1:21" ht="15.75" customHeight="1" x14ac:dyDescent="0.15">
      <c r="A47" s="58"/>
      <c r="B47" s="59" t="str">
        <f>IFERROR(VLOOKUP($A47,Admission!$1:$998,4,0),"")</f>
        <v/>
      </c>
      <c r="C47" s="59" t="str">
        <f>IFERROR(VLOOKUP($A47,Admission!$1:$998,5,0),"")</f>
        <v/>
      </c>
      <c r="D47" s="59"/>
      <c r="E47" s="59" t="str">
        <f>IFERROR(VLOOKUP($A47,Admission!$1:$998,3,0),"")</f>
        <v/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1:21" ht="15.75" customHeight="1" x14ac:dyDescent="0.15">
      <c r="A48" s="58"/>
      <c r="B48" s="59" t="str">
        <f>IFERROR(VLOOKUP($A48,Admission!$1:$998,4,0),"")</f>
        <v/>
      </c>
      <c r="C48" s="59" t="str">
        <f>IFERROR(VLOOKUP($A48,Admission!$1:$998,5,0),"")</f>
        <v/>
      </c>
      <c r="D48" s="59"/>
      <c r="E48" s="59" t="str">
        <f>IFERROR(VLOOKUP($A48,Admission!$1:$998,3,0),"")</f>
        <v/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1:21" ht="15.75" customHeight="1" x14ac:dyDescent="0.15">
      <c r="A49" s="58"/>
      <c r="B49" s="59" t="str">
        <f>IFERROR(VLOOKUP($A49,Admission!$1:$998,4,0),"")</f>
        <v/>
      </c>
      <c r="C49" s="59" t="str">
        <f>IFERROR(VLOOKUP($A49,Admission!$1:$998,5,0),"")</f>
        <v/>
      </c>
      <c r="D49" s="59"/>
      <c r="E49" s="59" t="str">
        <f>IFERROR(VLOOKUP($A49,Admission!$1:$998,3,0),"")</f>
        <v/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1:21" ht="15.75" customHeight="1" x14ac:dyDescent="0.15">
      <c r="A50" s="58"/>
      <c r="B50" s="59" t="str">
        <f>IFERROR(VLOOKUP($A50,Admission!$1:$998,4,0),"")</f>
        <v/>
      </c>
      <c r="C50" s="59" t="str">
        <f>IFERROR(VLOOKUP($A50,Admission!$1:$998,5,0),"")</f>
        <v/>
      </c>
      <c r="D50" s="59"/>
      <c r="E50" s="59" t="str">
        <f>IFERROR(VLOOKUP($A50,Admission!$1:$998,3,0),"")</f>
        <v/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1:21" ht="15.75" customHeight="1" x14ac:dyDescent="0.15">
      <c r="A51" s="58"/>
      <c r="B51" s="59" t="str">
        <f>IFERROR(VLOOKUP($A51,Admission!$1:$998,4,0),"")</f>
        <v/>
      </c>
      <c r="C51" s="59" t="str">
        <f>IFERROR(VLOOKUP($A51,Admission!$1:$998,5,0),"")</f>
        <v/>
      </c>
      <c r="D51" s="59"/>
      <c r="E51" s="59" t="str">
        <f>IFERROR(VLOOKUP($A51,Admission!$1:$998,3,0),"")</f>
        <v/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</row>
    <row r="52" spans="1:21" ht="15.75" customHeight="1" x14ac:dyDescent="0.15">
      <c r="A52" s="58"/>
      <c r="B52" s="59" t="str">
        <f>IFERROR(VLOOKUP($A52,Admission!$1:$998,4,0),"")</f>
        <v/>
      </c>
      <c r="C52" s="59" t="str">
        <f>IFERROR(VLOOKUP($A52,Admission!$1:$998,5,0),"")</f>
        <v/>
      </c>
      <c r="D52" s="59"/>
      <c r="E52" s="59" t="str">
        <f>IFERROR(VLOOKUP($A52,Admission!$1:$998,3,0),"")</f>
        <v/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ht="15.75" customHeight="1" x14ac:dyDescent="0.15">
      <c r="A53" s="58"/>
      <c r="B53" s="59" t="str">
        <f>IFERROR(VLOOKUP($A53,Admission!$1:$998,4,0),"")</f>
        <v/>
      </c>
      <c r="C53" s="59" t="str">
        <f>IFERROR(VLOOKUP($A53,Admission!$1:$998,5,0),"")</f>
        <v/>
      </c>
      <c r="D53" s="59"/>
      <c r="E53" s="59" t="str">
        <f>IFERROR(VLOOKUP($A53,Admission!$1:$998,3,0),"")</f>
        <v/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1:21" ht="15.75" customHeight="1" x14ac:dyDescent="0.15">
      <c r="A54" s="58"/>
      <c r="B54" s="59" t="str">
        <f>IFERROR(VLOOKUP($A54,Admission!$1:$998,4,0),"")</f>
        <v/>
      </c>
      <c r="C54" s="59" t="str">
        <f>IFERROR(VLOOKUP($A54,Admission!$1:$998,5,0),"")</f>
        <v/>
      </c>
      <c r="D54" s="59"/>
      <c r="E54" s="59" t="str">
        <f>IFERROR(VLOOKUP($A54,Admission!$1:$998,3,0),"")</f>
        <v/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1:21" ht="15.75" customHeight="1" x14ac:dyDescent="0.15">
      <c r="A55" s="58"/>
      <c r="B55" s="59" t="str">
        <f>IFERROR(VLOOKUP($A55,Admission!$1:$998,4,0),"")</f>
        <v/>
      </c>
      <c r="C55" s="59" t="str">
        <f>IFERROR(VLOOKUP($A55,Admission!$1:$998,5,0),"")</f>
        <v/>
      </c>
      <c r="D55" s="59"/>
      <c r="E55" s="59" t="str">
        <f>IFERROR(VLOOKUP($A55,Admission!$1:$998,3,0),"")</f>
        <v/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 spans="1:21" ht="15.75" customHeight="1" x14ac:dyDescent="0.15">
      <c r="A56" s="58"/>
      <c r="B56" s="59" t="str">
        <f>IFERROR(VLOOKUP($A56,Admission!$1:$998,4,0),"")</f>
        <v/>
      </c>
      <c r="C56" s="59" t="str">
        <f>IFERROR(VLOOKUP($A56,Admission!$1:$998,5,0),"")</f>
        <v/>
      </c>
      <c r="D56" s="59"/>
      <c r="E56" s="59" t="str">
        <f>IFERROR(VLOOKUP($A56,Admission!$1:$998,3,0),"")</f>
        <v/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1:21" ht="15.75" customHeight="1" x14ac:dyDescent="0.15">
      <c r="A57" s="58"/>
      <c r="B57" s="59" t="str">
        <f>IFERROR(VLOOKUP($A57,Admission!$1:$998,4,0),"")</f>
        <v/>
      </c>
      <c r="C57" s="59" t="str">
        <f>IFERROR(VLOOKUP($A57,Admission!$1:$998,5,0),"")</f>
        <v/>
      </c>
      <c r="D57" s="59"/>
      <c r="E57" s="59" t="str">
        <f>IFERROR(VLOOKUP($A57,Admission!$1:$998,3,0),"")</f>
        <v/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1:21" ht="15.75" customHeight="1" x14ac:dyDescent="0.15">
      <c r="A58" s="58"/>
      <c r="B58" s="59" t="str">
        <f>IFERROR(VLOOKUP($A58,Admission!$1:$998,4,0),"")</f>
        <v/>
      </c>
      <c r="C58" s="59" t="str">
        <f>IFERROR(VLOOKUP($A58,Admission!$1:$998,5,0),"")</f>
        <v/>
      </c>
      <c r="D58" s="59"/>
      <c r="E58" s="59" t="str">
        <f>IFERROR(VLOOKUP($A58,Admission!$1:$998,3,0),"")</f>
        <v/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1:21" ht="15.75" customHeight="1" x14ac:dyDescent="0.15">
      <c r="A59" s="58"/>
      <c r="B59" s="59" t="str">
        <f>IFERROR(VLOOKUP($A59,Admission!$1:$998,4,0),"")</f>
        <v/>
      </c>
      <c r="C59" s="59" t="str">
        <f>IFERROR(VLOOKUP($A59,Admission!$1:$998,5,0),"")</f>
        <v/>
      </c>
      <c r="D59" s="59"/>
      <c r="E59" s="59" t="str">
        <f>IFERROR(VLOOKUP($A59,Admission!$1:$998,3,0),"")</f>
        <v/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1:21" ht="15.75" customHeight="1" x14ac:dyDescent="0.15">
      <c r="A60" s="58"/>
      <c r="B60" s="59" t="str">
        <f>IFERROR(VLOOKUP($A60,Admission!$1:$998,4,0),"")</f>
        <v/>
      </c>
      <c r="C60" s="59" t="str">
        <f>IFERROR(VLOOKUP($A60,Admission!$1:$998,5,0),"")</f>
        <v/>
      </c>
      <c r="D60" s="59"/>
      <c r="E60" s="59" t="str">
        <f>IFERROR(VLOOKUP($A60,Admission!$1:$998,3,0),"")</f>
        <v/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</row>
    <row r="61" spans="1:21" ht="15.75" customHeight="1" x14ac:dyDescent="0.15">
      <c r="A61" s="58"/>
      <c r="B61" s="59" t="str">
        <f>IFERROR(VLOOKUP($A61,Admission!$1:$998,4,0),"")</f>
        <v/>
      </c>
      <c r="C61" s="59" t="str">
        <f>IFERROR(VLOOKUP($A61,Admission!$1:$998,5,0),"")</f>
        <v/>
      </c>
      <c r="D61" s="59"/>
      <c r="E61" s="59" t="str">
        <f>IFERROR(VLOOKUP($A61,Admission!$1:$998,3,0),"")</f>
        <v/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1:21" ht="15.75" customHeight="1" x14ac:dyDescent="0.15">
      <c r="A62" s="58"/>
      <c r="B62" s="59" t="str">
        <f>IFERROR(VLOOKUP($A62,Admission!$1:$998,4,0),"")</f>
        <v/>
      </c>
      <c r="C62" s="59" t="str">
        <f>IFERROR(VLOOKUP($A62,Admission!$1:$998,5,0),"")</f>
        <v/>
      </c>
      <c r="D62" s="59"/>
      <c r="E62" s="59" t="str">
        <f>IFERROR(VLOOKUP($A62,Admission!$1:$998,3,0),"")</f>
        <v/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1:21" ht="15.75" customHeight="1" x14ac:dyDescent="0.15">
      <c r="A63" s="58"/>
      <c r="B63" s="59" t="str">
        <f>IFERROR(VLOOKUP($A63,Admission!$1:$998,4,0),"")</f>
        <v/>
      </c>
      <c r="C63" s="59" t="str">
        <f>IFERROR(VLOOKUP($A63,Admission!$1:$998,5,0),"")</f>
        <v/>
      </c>
      <c r="D63" s="59"/>
      <c r="E63" s="59" t="str">
        <f>IFERROR(VLOOKUP($A63,Admission!$1:$998,3,0),"")</f>
        <v/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1:21" ht="15.75" customHeight="1" x14ac:dyDescent="0.15">
      <c r="A64" s="58"/>
      <c r="B64" s="59" t="str">
        <f>IFERROR(VLOOKUP($A64,Admission!$1:$998,4,0),"")</f>
        <v/>
      </c>
      <c r="C64" s="59" t="str">
        <f>IFERROR(VLOOKUP($A64,Admission!$1:$998,5,0),"")</f>
        <v/>
      </c>
      <c r="D64" s="59"/>
      <c r="E64" s="59" t="str">
        <f>IFERROR(VLOOKUP($A64,Admission!$1:$998,3,0),"")</f>
        <v/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</row>
    <row r="65" spans="1:21" ht="15.75" customHeight="1" x14ac:dyDescent="0.15">
      <c r="A65" s="58"/>
      <c r="B65" s="59" t="str">
        <f>IFERROR(VLOOKUP($A65,Admission!$1:$998,4,0),"")</f>
        <v/>
      </c>
      <c r="C65" s="59" t="str">
        <f>IFERROR(VLOOKUP($A65,Admission!$1:$998,5,0),"")</f>
        <v/>
      </c>
      <c r="D65" s="59"/>
      <c r="E65" s="59" t="str">
        <f>IFERROR(VLOOKUP($A65,Admission!$1:$998,3,0),"")</f>
        <v/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1:21" ht="15.75" customHeight="1" x14ac:dyDescent="0.15">
      <c r="A66" s="58"/>
      <c r="B66" s="59" t="str">
        <f>IFERROR(VLOOKUP($A66,Admission!$1:$998,4,0),"")</f>
        <v/>
      </c>
      <c r="C66" s="59" t="str">
        <f>IFERROR(VLOOKUP($A66,Admission!$1:$998,5,0),"")</f>
        <v/>
      </c>
      <c r="D66" s="59"/>
      <c r="E66" s="59" t="str">
        <f>IFERROR(VLOOKUP($A66,Admission!$1:$998,3,0),"")</f>
        <v/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1:21" ht="15.75" customHeight="1" x14ac:dyDescent="0.15">
      <c r="A67" s="58"/>
      <c r="B67" s="59" t="str">
        <f>IFERROR(VLOOKUP($A67,Admission!$1:$998,4,0),"")</f>
        <v/>
      </c>
      <c r="C67" s="59" t="str">
        <f>IFERROR(VLOOKUP($A67,Admission!$1:$998,5,0),"")</f>
        <v/>
      </c>
      <c r="D67" s="59"/>
      <c r="E67" s="59" t="str">
        <f>IFERROR(VLOOKUP($A67,Admission!$1:$998,3,0),"")</f>
        <v/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1:21" ht="15.75" customHeight="1" x14ac:dyDescent="0.15">
      <c r="A68" s="58"/>
      <c r="B68" s="59" t="str">
        <f>IFERROR(VLOOKUP($A68,Admission!$1:$998,4,0),"")</f>
        <v/>
      </c>
      <c r="C68" s="59" t="str">
        <f>IFERROR(VLOOKUP($A68,Admission!$1:$998,5,0),"")</f>
        <v/>
      </c>
      <c r="D68" s="59"/>
      <c r="E68" s="59" t="str">
        <f>IFERROR(VLOOKUP($A68,Admission!$1:$998,3,0),"")</f>
        <v/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</row>
    <row r="69" spans="1:21" ht="15.75" customHeight="1" x14ac:dyDescent="0.15">
      <c r="A69" s="58"/>
      <c r="B69" s="59" t="str">
        <f>IFERROR(VLOOKUP($A69,Admission!$1:$998,4,0),"")</f>
        <v/>
      </c>
      <c r="C69" s="59" t="str">
        <f>IFERROR(VLOOKUP($A69,Admission!$1:$998,5,0),"")</f>
        <v/>
      </c>
      <c r="D69" s="59"/>
      <c r="E69" s="59" t="str">
        <f>IFERROR(VLOOKUP($A69,Admission!$1:$998,3,0),"")</f>
        <v/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1:21" ht="15.75" customHeight="1" x14ac:dyDescent="0.15">
      <c r="A70" s="58"/>
      <c r="B70" s="59" t="str">
        <f>IFERROR(VLOOKUP($A70,Admission!$1:$998,4,0),"")</f>
        <v/>
      </c>
      <c r="C70" s="59" t="str">
        <f>IFERROR(VLOOKUP($A70,Admission!$1:$998,5,0),"")</f>
        <v/>
      </c>
      <c r="D70" s="59"/>
      <c r="E70" s="59" t="str">
        <f>IFERROR(VLOOKUP($A70,Admission!$1:$998,3,0),"")</f>
        <v/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1:21" ht="15.75" customHeight="1" x14ac:dyDescent="0.15">
      <c r="A71" s="58"/>
      <c r="B71" s="59" t="str">
        <f>IFERROR(VLOOKUP($A71,Admission!$1:$998,4,0),"")</f>
        <v/>
      </c>
      <c r="C71" s="59" t="str">
        <f>IFERROR(VLOOKUP($A71,Admission!$1:$998,5,0),"")</f>
        <v/>
      </c>
      <c r="D71" s="59"/>
      <c r="E71" s="59" t="str">
        <f>IFERROR(VLOOKUP($A71,Admission!$1:$998,3,0),"")</f>
        <v/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1:21" ht="15.75" customHeight="1" x14ac:dyDescent="0.15">
      <c r="A72" s="58"/>
      <c r="B72" s="59" t="str">
        <f>IFERROR(VLOOKUP($A72,Admission!$1:$998,4,0),"")</f>
        <v/>
      </c>
      <c r="C72" s="59" t="str">
        <f>IFERROR(VLOOKUP($A72,Admission!$1:$998,5,0),"")</f>
        <v/>
      </c>
      <c r="D72" s="59"/>
      <c r="E72" s="59" t="str">
        <f>IFERROR(VLOOKUP($A72,Admission!$1:$998,3,0),"")</f>
        <v/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1:21" ht="15.75" customHeight="1" x14ac:dyDescent="0.15">
      <c r="A73" s="58"/>
      <c r="B73" s="59" t="str">
        <f>IFERROR(VLOOKUP($A73,Admission!$1:$998,4,0),"")</f>
        <v/>
      </c>
      <c r="C73" s="59" t="str">
        <f>IFERROR(VLOOKUP($A73,Admission!$1:$998,5,0),"")</f>
        <v/>
      </c>
      <c r="D73" s="59"/>
      <c r="E73" s="59" t="str">
        <f>IFERROR(VLOOKUP($A73,Admission!$1:$998,3,0),"")</f>
        <v/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</row>
    <row r="74" spans="1:21" ht="15.75" customHeight="1" x14ac:dyDescent="0.15">
      <c r="A74" s="58"/>
      <c r="B74" s="59" t="str">
        <f>IFERROR(VLOOKUP($A74,Admission!$1:$998,4,0),"")</f>
        <v/>
      </c>
      <c r="C74" s="59" t="str">
        <f>IFERROR(VLOOKUP($A74,Admission!$1:$998,5,0),"")</f>
        <v/>
      </c>
      <c r="D74" s="59"/>
      <c r="E74" s="59" t="str">
        <f>IFERROR(VLOOKUP($A74,Admission!$1:$998,3,0),"")</f>
        <v/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1:21" ht="15.75" customHeight="1" x14ac:dyDescent="0.15">
      <c r="A75" s="58"/>
      <c r="B75" s="59" t="str">
        <f>IFERROR(VLOOKUP($A75,Admission!$1:$998,4,0),"")</f>
        <v/>
      </c>
      <c r="C75" s="59" t="str">
        <f>IFERROR(VLOOKUP($A75,Admission!$1:$998,5,0),"")</f>
        <v/>
      </c>
      <c r="D75" s="59"/>
      <c r="E75" s="59" t="str">
        <f>IFERROR(VLOOKUP($A75,Admission!$1:$998,3,0),"")</f>
        <v/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1:21" ht="15.75" customHeight="1" x14ac:dyDescent="0.15">
      <c r="A76" s="58"/>
      <c r="B76" s="59" t="str">
        <f>IFERROR(VLOOKUP($A76,Admission!$1:$998,4,0),"")</f>
        <v/>
      </c>
      <c r="C76" s="59" t="str">
        <f>IFERROR(VLOOKUP($A76,Admission!$1:$998,5,0),"")</f>
        <v/>
      </c>
      <c r="D76" s="59"/>
      <c r="E76" s="59" t="str">
        <f>IFERROR(VLOOKUP($A76,Admission!$1:$998,3,0),"")</f>
        <v/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1:21" ht="15.75" customHeight="1" x14ac:dyDescent="0.15">
      <c r="A77" s="58"/>
      <c r="B77" s="59" t="str">
        <f>IFERROR(VLOOKUP($A77,Admission!$1:$998,4,0),"")</f>
        <v/>
      </c>
      <c r="C77" s="59" t="str">
        <f>IFERROR(VLOOKUP($A77,Admission!$1:$998,5,0),"")</f>
        <v/>
      </c>
      <c r="D77" s="59"/>
      <c r="E77" s="59" t="str">
        <f>IFERROR(VLOOKUP($A77,Admission!$1:$998,3,0),"")</f>
        <v/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1:21" ht="15.75" customHeight="1" x14ac:dyDescent="0.15">
      <c r="A78" s="58"/>
      <c r="B78" s="59" t="str">
        <f>IFERROR(VLOOKUP($A78,Admission!$1:$998,4,0),"")</f>
        <v/>
      </c>
      <c r="C78" s="59" t="str">
        <f>IFERROR(VLOOKUP($A78,Admission!$1:$998,5,0),"")</f>
        <v/>
      </c>
      <c r="D78" s="59"/>
      <c r="E78" s="59" t="str">
        <f>IFERROR(VLOOKUP($A78,Admission!$1:$998,3,0),"")</f>
        <v/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1:21" ht="15.75" customHeight="1" x14ac:dyDescent="0.15">
      <c r="A79" s="58"/>
      <c r="B79" s="59" t="str">
        <f>IFERROR(VLOOKUP($A79,Admission!$1:$998,4,0),"")</f>
        <v/>
      </c>
      <c r="C79" s="59" t="str">
        <f>IFERROR(VLOOKUP($A79,Admission!$1:$998,5,0),"")</f>
        <v/>
      </c>
      <c r="D79" s="59"/>
      <c r="E79" s="59" t="str">
        <f>IFERROR(VLOOKUP($A79,Admission!$1:$998,3,0),"")</f>
        <v/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1:21" ht="15.75" customHeight="1" x14ac:dyDescent="0.15">
      <c r="A80" s="58"/>
      <c r="B80" s="59" t="str">
        <f>IFERROR(VLOOKUP($A80,Admission!$1:$998,4,0),"")</f>
        <v/>
      </c>
      <c r="C80" s="59" t="str">
        <f>IFERROR(VLOOKUP($A80,Admission!$1:$998,5,0),"")</f>
        <v/>
      </c>
      <c r="D80" s="59"/>
      <c r="E80" s="59" t="str">
        <f>IFERROR(VLOOKUP($A80,Admission!$1:$998,3,0),"")</f>
        <v/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1:21" ht="15.75" customHeight="1" x14ac:dyDescent="0.15">
      <c r="A81" s="58"/>
      <c r="B81" s="59" t="str">
        <f>IFERROR(VLOOKUP($A81,Admission!$1:$998,4,0),"")</f>
        <v/>
      </c>
      <c r="C81" s="59" t="str">
        <f>IFERROR(VLOOKUP($A81,Admission!$1:$998,5,0),"")</f>
        <v/>
      </c>
      <c r="D81" s="59"/>
      <c r="E81" s="59" t="str">
        <f>IFERROR(VLOOKUP($A81,Admission!$1:$998,3,0),"")</f>
        <v/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1:21" ht="15.75" customHeight="1" x14ac:dyDescent="0.15">
      <c r="A82" s="58"/>
      <c r="B82" s="59" t="str">
        <f>IFERROR(VLOOKUP($A82,Admission!$1:$998,4,0),"")</f>
        <v/>
      </c>
      <c r="C82" s="59" t="str">
        <f>IFERROR(VLOOKUP($A82,Admission!$1:$998,5,0),"")</f>
        <v/>
      </c>
      <c r="D82" s="59"/>
      <c r="E82" s="59" t="str">
        <f>IFERROR(VLOOKUP($A82,Admission!$1:$998,3,0),"")</f>
        <v/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1:21" ht="15.75" customHeight="1" x14ac:dyDescent="0.15">
      <c r="A83" s="58"/>
      <c r="B83" s="59" t="str">
        <f>IFERROR(VLOOKUP($A83,Admission!$1:$998,4,0),"")</f>
        <v/>
      </c>
      <c r="C83" s="59" t="str">
        <f>IFERROR(VLOOKUP($A83,Admission!$1:$998,5,0),"")</f>
        <v/>
      </c>
      <c r="D83" s="59"/>
      <c r="E83" s="59" t="str">
        <f>IFERROR(VLOOKUP($A83,Admission!$1:$998,3,0),"")</f>
        <v/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1:21" ht="15.75" customHeight="1" x14ac:dyDescent="0.15">
      <c r="A84" s="58"/>
      <c r="B84" s="59" t="str">
        <f>IFERROR(VLOOKUP($A84,Admission!$1:$998,4,0),"")</f>
        <v/>
      </c>
      <c r="C84" s="59" t="str">
        <f>IFERROR(VLOOKUP($A84,Admission!$1:$998,5,0),"")</f>
        <v/>
      </c>
      <c r="D84" s="59"/>
      <c r="E84" s="59" t="str">
        <f>IFERROR(VLOOKUP($A84,Admission!$1:$998,3,0),"")</f>
        <v/>
      </c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1:21" ht="15.75" customHeight="1" x14ac:dyDescent="0.15">
      <c r="A85" s="58"/>
      <c r="B85" s="59" t="str">
        <f>IFERROR(VLOOKUP($A85,Admission!$1:$998,4,0),"")</f>
        <v/>
      </c>
      <c r="C85" s="59" t="str">
        <f>IFERROR(VLOOKUP($A85,Admission!$1:$998,5,0),"")</f>
        <v/>
      </c>
      <c r="D85" s="59"/>
      <c r="E85" s="59" t="str">
        <f>IFERROR(VLOOKUP($A85,Admission!$1:$998,3,0),"")</f>
        <v/>
      </c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1:21" ht="15.75" customHeight="1" x14ac:dyDescent="0.15">
      <c r="A86" s="58"/>
      <c r="B86" s="59" t="str">
        <f>IFERROR(VLOOKUP($A86,Admission!$1:$998,4,0),"")</f>
        <v/>
      </c>
      <c r="C86" s="59" t="str">
        <f>IFERROR(VLOOKUP($A86,Admission!$1:$998,5,0),"")</f>
        <v/>
      </c>
      <c r="D86" s="59"/>
      <c r="E86" s="59" t="str">
        <f>IFERROR(VLOOKUP($A86,Admission!$1:$998,3,0),"")</f>
        <v/>
      </c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1:21" ht="15.75" customHeight="1" x14ac:dyDescent="0.15">
      <c r="A87" s="58"/>
      <c r="B87" s="59" t="str">
        <f>IFERROR(VLOOKUP($A87,Admission!$1:$998,4,0),"")</f>
        <v/>
      </c>
      <c r="C87" s="59" t="str">
        <f>IFERROR(VLOOKUP($A87,Admission!$1:$998,5,0),"")</f>
        <v/>
      </c>
      <c r="D87" s="59"/>
      <c r="E87" s="59" t="str">
        <f>IFERROR(VLOOKUP($A87,Admission!$1:$998,3,0),"")</f>
        <v/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1:21" ht="15.75" customHeight="1" x14ac:dyDescent="0.15">
      <c r="A88" s="58"/>
      <c r="B88" s="59" t="str">
        <f>IFERROR(VLOOKUP($A88,Admission!$1:$998,4,0),"")</f>
        <v/>
      </c>
      <c r="C88" s="59" t="str">
        <f>IFERROR(VLOOKUP($A88,Admission!$1:$998,5,0),"")</f>
        <v/>
      </c>
      <c r="D88" s="59"/>
      <c r="E88" s="59" t="str">
        <f>IFERROR(VLOOKUP($A88,Admission!$1:$998,3,0),"")</f>
        <v/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1:21" ht="15.75" customHeight="1" x14ac:dyDescent="0.15">
      <c r="A89" s="58"/>
      <c r="B89" s="59" t="str">
        <f>IFERROR(VLOOKUP($A89,Admission!$1:$998,4,0),"")</f>
        <v/>
      </c>
      <c r="C89" s="59" t="str">
        <f>IFERROR(VLOOKUP($A89,Admission!$1:$998,5,0),"")</f>
        <v/>
      </c>
      <c r="D89" s="59"/>
      <c r="E89" s="59" t="str">
        <f>IFERROR(VLOOKUP($A89,Admission!$1:$998,3,0),"")</f>
        <v/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1:21" ht="15.75" customHeight="1" x14ac:dyDescent="0.15">
      <c r="A90" s="58"/>
      <c r="B90" s="59" t="str">
        <f>IFERROR(VLOOKUP($A90,Admission!$1:$998,4,0),"")</f>
        <v/>
      </c>
      <c r="C90" s="59" t="str">
        <f>IFERROR(VLOOKUP($A90,Admission!$1:$998,5,0),"")</f>
        <v/>
      </c>
      <c r="D90" s="59"/>
      <c r="E90" s="59" t="str">
        <f>IFERROR(VLOOKUP($A90,Admission!$1:$998,3,0),"")</f>
        <v/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1:21" ht="13" x14ac:dyDescent="0.15">
      <c r="A91" s="58"/>
      <c r="B91" s="59" t="str">
        <f>IFERROR(VLOOKUP($A91,Admission!$1:$998,4,0),"")</f>
        <v/>
      </c>
      <c r="C91" s="59" t="str">
        <f>IFERROR(VLOOKUP($A91,Admission!$1:$998,5,0),"")</f>
        <v/>
      </c>
      <c r="D91" s="59"/>
      <c r="E91" s="59" t="str">
        <f>IFERROR(VLOOKUP($A91,Admission!$1:$998,3,0),"")</f>
        <v/>
      </c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1:21" ht="13" x14ac:dyDescent="0.15">
      <c r="A92" s="58"/>
      <c r="B92" s="59" t="str">
        <f>IFERROR(VLOOKUP($A92,Admission!$1:$998,4,0),"")</f>
        <v/>
      </c>
      <c r="C92" s="59" t="str">
        <f>IFERROR(VLOOKUP($A92,Admission!$1:$998,5,0),"")</f>
        <v/>
      </c>
      <c r="D92" s="59"/>
      <c r="E92" s="59" t="str">
        <f>IFERROR(VLOOKUP($A92,Admission!$1:$998,3,0),"")</f>
        <v/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1:21" ht="13" x14ac:dyDescent="0.15">
      <c r="A93" s="58"/>
      <c r="B93" s="59" t="str">
        <f>IFERROR(VLOOKUP($A93,Admission!$1:$998,4,0),"")</f>
        <v/>
      </c>
      <c r="C93" s="59" t="str">
        <f>IFERROR(VLOOKUP($A93,Admission!$1:$998,5,0),"")</f>
        <v/>
      </c>
      <c r="D93" s="59"/>
      <c r="E93" s="59" t="str">
        <f>IFERROR(VLOOKUP($A93,Admission!$1:$998,3,0),"")</f>
        <v/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1:21" ht="13" x14ac:dyDescent="0.15">
      <c r="A94" s="58"/>
      <c r="B94" s="59" t="str">
        <f>IFERROR(VLOOKUP($A94,Admission!$1:$998,4,0),"")</f>
        <v/>
      </c>
      <c r="C94" s="59" t="str">
        <f>IFERROR(VLOOKUP($A94,Admission!$1:$998,5,0),"")</f>
        <v/>
      </c>
      <c r="D94" s="59"/>
      <c r="E94" s="59" t="str">
        <f>IFERROR(VLOOKUP($A94,Admission!$1:$998,3,0),"")</f>
        <v/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1:21" ht="13" x14ac:dyDescent="0.15">
      <c r="A95" s="58"/>
      <c r="B95" s="59" t="str">
        <f>IFERROR(VLOOKUP($A95,Admission!$1:$998,4,0),"")</f>
        <v/>
      </c>
      <c r="C95" s="59" t="str">
        <f>IFERROR(VLOOKUP($A95,Admission!$1:$998,5,0),"")</f>
        <v/>
      </c>
      <c r="D95" s="59"/>
      <c r="E95" s="59" t="str">
        <f>IFERROR(VLOOKUP($A95,Admission!$1:$998,3,0),"")</f>
        <v/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1:21" ht="13" x14ac:dyDescent="0.15">
      <c r="A96" s="58"/>
      <c r="B96" s="59" t="str">
        <f>IFERROR(VLOOKUP($A96,Admission!$1:$998,4,0),"")</f>
        <v/>
      </c>
      <c r="C96" s="59" t="str">
        <f>IFERROR(VLOOKUP($A96,Admission!$1:$998,5,0),"")</f>
        <v/>
      </c>
      <c r="D96" s="59"/>
      <c r="E96" s="59" t="str">
        <f>IFERROR(VLOOKUP($A96,Admission!$1:$998,3,0),"")</f>
        <v/>
      </c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1:21" ht="13" x14ac:dyDescent="0.15">
      <c r="A97" s="58"/>
      <c r="B97" s="59" t="str">
        <f>IFERROR(VLOOKUP($A97,Admission!$1:$998,4,0),"")</f>
        <v/>
      </c>
      <c r="C97" s="59" t="str">
        <f>IFERROR(VLOOKUP($A97,Admission!$1:$998,5,0),"")</f>
        <v/>
      </c>
      <c r="D97" s="59"/>
      <c r="E97" s="59" t="str">
        <f>IFERROR(VLOOKUP($A97,Admission!$1:$998,3,0),"")</f>
        <v/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1:21" ht="13" x14ac:dyDescent="0.15">
      <c r="A98" s="58"/>
      <c r="B98" s="59" t="str">
        <f>IFERROR(VLOOKUP($A98,Admission!$1:$998,4,0),"")</f>
        <v/>
      </c>
      <c r="C98" s="59" t="str">
        <f>IFERROR(VLOOKUP($A98,Admission!$1:$998,5,0),"")</f>
        <v/>
      </c>
      <c r="D98" s="59"/>
      <c r="E98" s="59" t="str">
        <f>IFERROR(VLOOKUP($A98,Admission!$1:$998,3,0),"")</f>
        <v/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1:21" ht="13" x14ac:dyDescent="0.15">
      <c r="A99" s="58"/>
      <c r="B99" s="59" t="str">
        <f>IFERROR(VLOOKUP($A99,Admission!$1:$998,4,0),"")</f>
        <v/>
      </c>
      <c r="C99" s="59" t="str">
        <f>IFERROR(VLOOKUP($A99,Admission!$1:$998,5,0),"")</f>
        <v/>
      </c>
      <c r="D99" s="59"/>
      <c r="E99" s="59" t="str">
        <f>IFERROR(VLOOKUP($A99,Admission!$1:$998,3,0),"")</f>
        <v/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1:21" ht="13" x14ac:dyDescent="0.15">
      <c r="A100" s="58"/>
      <c r="B100" s="59" t="str">
        <f>IFERROR(VLOOKUP($A100,Admission!$1:$998,4,0),"")</f>
        <v/>
      </c>
      <c r="C100" s="59" t="str">
        <f>IFERROR(VLOOKUP($A100,Admission!$1:$998,5,0),"")</f>
        <v/>
      </c>
      <c r="D100" s="59"/>
      <c r="E100" s="59" t="str">
        <f>IFERROR(VLOOKUP($A100,Admission!$1:$998,3,0),"")</f>
        <v/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1:21" ht="13" x14ac:dyDescent="0.15">
      <c r="A101" s="58"/>
      <c r="B101" s="59" t="str">
        <f>IFERROR(VLOOKUP($A101,Admission!$1:$998,4,0),"")</f>
        <v/>
      </c>
      <c r="C101" s="59" t="str">
        <f>IFERROR(VLOOKUP($A101,Admission!$1:$998,5,0),"")</f>
        <v/>
      </c>
      <c r="D101" s="59"/>
      <c r="E101" s="59" t="str">
        <f>IFERROR(VLOOKUP($A101,Admission!$1:$998,3,0),"")</f>
        <v/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1:21" ht="13" x14ac:dyDescent="0.15">
      <c r="A102" s="58"/>
      <c r="B102" s="59" t="str">
        <f>IFERROR(VLOOKUP($A102,Admission!$1:$998,4,0),"")</f>
        <v/>
      </c>
      <c r="C102" s="59" t="str">
        <f>IFERROR(VLOOKUP($A102,Admission!$1:$998,5,0),"")</f>
        <v/>
      </c>
      <c r="D102" s="59"/>
      <c r="E102" s="59" t="str">
        <f>IFERROR(VLOOKUP($A102,Admission!$1:$998,3,0),"")</f>
        <v/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1:21" ht="13" x14ac:dyDescent="0.15">
      <c r="A103" s="58"/>
      <c r="B103" s="59" t="str">
        <f>IFERROR(VLOOKUP($A103,Admission!$1:$998,4,0),"")</f>
        <v/>
      </c>
      <c r="C103" s="59" t="str">
        <f>IFERROR(VLOOKUP($A103,Admission!$1:$998,5,0),"")</f>
        <v/>
      </c>
      <c r="D103" s="59"/>
      <c r="E103" s="59" t="str">
        <f>IFERROR(VLOOKUP($A103,Admission!$1:$998,3,0),"")</f>
        <v/>
      </c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1:21" ht="13" x14ac:dyDescent="0.15">
      <c r="A104" s="58"/>
      <c r="B104" s="59" t="str">
        <f>IFERROR(VLOOKUP($A104,Admission!$1:$998,4,0),"")</f>
        <v/>
      </c>
      <c r="C104" s="59" t="str">
        <f>IFERROR(VLOOKUP($A104,Admission!$1:$998,5,0),"")</f>
        <v/>
      </c>
      <c r="D104" s="59"/>
      <c r="E104" s="59" t="str">
        <f>IFERROR(VLOOKUP($A104,Admission!$1:$998,3,0),"")</f>
        <v/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1:21" ht="13" x14ac:dyDescent="0.15">
      <c r="A105" s="58"/>
      <c r="B105" s="59" t="str">
        <f>IFERROR(VLOOKUP($A105,Admission!$1:$998,4,0),"")</f>
        <v/>
      </c>
      <c r="C105" s="59" t="str">
        <f>IFERROR(VLOOKUP($A105,Admission!$1:$998,5,0),"")</f>
        <v/>
      </c>
      <c r="D105" s="59"/>
      <c r="E105" s="59" t="str">
        <f>IFERROR(VLOOKUP($A105,Admission!$1:$998,3,0),"")</f>
        <v/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1:21" ht="13" x14ac:dyDescent="0.15">
      <c r="A106" s="58"/>
      <c r="B106" s="59" t="str">
        <f>IFERROR(VLOOKUP($A106,Admission!$1:$998,4,0),"")</f>
        <v/>
      </c>
      <c r="C106" s="59" t="str">
        <f>IFERROR(VLOOKUP($A106,Admission!$1:$998,5,0),"")</f>
        <v/>
      </c>
      <c r="D106" s="59"/>
      <c r="E106" s="59" t="str">
        <f>IFERROR(VLOOKUP($A106,Admission!$1:$998,3,0),"")</f>
        <v/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1:21" ht="13" x14ac:dyDescent="0.15">
      <c r="A107" s="58"/>
      <c r="B107" s="59" t="str">
        <f>IFERROR(VLOOKUP($A107,Admission!$1:$998,4,0),"")</f>
        <v/>
      </c>
      <c r="C107" s="59" t="str">
        <f>IFERROR(VLOOKUP($A107,Admission!$1:$998,5,0),"")</f>
        <v/>
      </c>
      <c r="D107" s="59"/>
      <c r="E107" s="59" t="str">
        <f>IFERROR(VLOOKUP($A107,Admission!$1:$998,3,0),"")</f>
        <v/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 ht="13" x14ac:dyDescent="0.15">
      <c r="A108" s="58"/>
      <c r="B108" s="59" t="str">
        <f>IFERROR(VLOOKUP($A108,Admission!$1:$998,4,0),"")</f>
        <v/>
      </c>
      <c r="C108" s="59" t="str">
        <f>IFERROR(VLOOKUP($A108,Admission!$1:$998,5,0),"")</f>
        <v/>
      </c>
      <c r="D108" s="59"/>
      <c r="E108" s="59" t="str">
        <f>IFERROR(VLOOKUP($A108,Admission!$1:$998,3,0),"")</f>
        <v/>
      </c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1:21" ht="13" x14ac:dyDescent="0.15">
      <c r="A109" s="58"/>
      <c r="B109" s="59" t="str">
        <f>IFERROR(VLOOKUP($A109,Admission!$1:$998,4,0),"")</f>
        <v/>
      </c>
      <c r="C109" s="59" t="str">
        <f>IFERROR(VLOOKUP($A109,Admission!$1:$998,5,0),"")</f>
        <v/>
      </c>
      <c r="D109" s="59"/>
      <c r="E109" s="59" t="str">
        <f>IFERROR(VLOOKUP($A109,Admission!$1:$998,3,0),"")</f>
        <v/>
      </c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1:21" ht="13" x14ac:dyDescent="0.15">
      <c r="A110" s="58"/>
      <c r="B110" s="59" t="str">
        <f>IFERROR(VLOOKUP($A110,Admission!$1:$998,4,0),"")</f>
        <v/>
      </c>
      <c r="C110" s="59" t="str">
        <f>IFERROR(VLOOKUP($A110,Admission!$1:$998,5,0),"")</f>
        <v/>
      </c>
      <c r="D110" s="59"/>
      <c r="E110" s="59" t="str">
        <f>IFERROR(VLOOKUP($A110,Admission!$1:$998,3,0),"")</f>
        <v/>
      </c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ht="13" x14ac:dyDescent="0.15">
      <c r="A111" s="58"/>
      <c r="B111" s="59" t="str">
        <f>IFERROR(VLOOKUP($A111,Admission!$1:$998,4,0),"")</f>
        <v/>
      </c>
      <c r="C111" s="59" t="str">
        <f>IFERROR(VLOOKUP($A111,Admission!$1:$998,5,0),"")</f>
        <v/>
      </c>
      <c r="D111" s="59"/>
      <c r="E111" s="59" t="str">
        <f>IFERROR(VLOOKUP($A111,Admission!$1:$998,3,0),"")</f>
        <v/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1:21" ht="13" x14ac:dyDescent="0.15">
      <c r="A112" s="58"/>
      <c r="B112" s="59" t="str">
        <f>IFERROR(VLOOKUP($A112,Admission!$1:$998,4,0),"")</f>
        <v/>
      </c>
      <c r="C112" s="59" t="str">
        <f>IFERROR(VLOOKUP($A112,Admission!$1:$998,5,0),"")</f>
        <v/>
      </c>
      <c r="D112" s="59"/>
      <c r="E112" s="59" t="str">
        <f>IFERROR(VLOOKUP($A112,Admission!$1:$998,3,0),"")</f>
        <v/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1:21" ht="13" x14ac:dyDescent="0.15">
      <c r="A113" s="58"/>
      <c r="B113" s="59" t="str">
        <f>IFERROR(VLOOKUP($A113,Admission!$1:$998,4,0),"")</f>
        <v/>
      </c>
      <c r="C113" s="59" t="str">
        <f>IFERROR(VLOOKUP($A113,Admission!$1:$998,5,0),"")</f>
        <v/>
      </c>
      <c r="D113" s="59"/>
      <c r="E113" s="59" t="str">
        <f>IFERROR(VLOOKUP($A113,Admission!$1:$998,3,0),"")</f>
        <v/>
      </c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1:21" ht="13" x14ac:dyDescent="0.15">
      <c r="A114" s="58"/>
      <c r="B114" s="59" t="str">
        <f>IFERROR(VLOOKUP($A114,Admission!$1:$998,4,0),"")</f>
        <v/>
      </c>
      <c r="C114" s="59" t="str">
        <f>IFERROR(VLOOKUP($A114,Admission!$1:$998,5,0),"")</f>
        <v/>
      </c>
      <c r="D114" s="59"/>
      <c r="E114" s="59" t="str">
        <f>IFERROR(VLOOKUP($A114,Admission!$1:$998,3,0),"")</f>
        <v/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1:21" ht="13" x14ac:dyDescent="0.15">
      <c r="A115" s="58"/>
      <c r="B115" s="59" t="str">
        <f>IFERROR(VLOOKUP($A115,Admission!$1:$998,4,0),"")</f>
        <v/>
      </c>
      <c r="C115" s="59" t="str">
        <f>IFERROR(VLOOKUP($A115,Admission!$1:$998,5,0),"")</f>
        <v/>
      </c>
      <c r="D115" s="59"/>
      <c r="E115" s="59" t="str">
        <f>IFERROR(VLOOKUP($A115,Admission!$1:$998,3,0),"")</f>
        <v/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1:21" ht="13" x14ac:dyDescent="0.15">
      <c r="A116" s="58"/>
      <c r="B116" s="59" t="str">
        <f>IFERROR(VLOOKUP($A116,Admission!$1:$998,4,0),"")</f>
        <v/>
      </c>
      <c r="C116" s="59" t="str">
        <f>IFERROR(VLOOKUP($A116,Admission!$1:$998,5,0),"")</f>
        <v/>
      </c>
      <c r="D116" s="59"/>
      <c r="E116" s="59" t="str">
        <f>IFERROR(VLOOKUP($A116,Admission!$1:$998,3,0),"")</f>
        <v/>
      </c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1:21" ht="13" x14ac:dyDescent="0.15">
      <c r="A117" s="58"/>
      <c r="B117" s="59" t="str">
        <f>IFERROR(VLOOKUP($A117,Admission!$1:$998,4,0),"")</f>
        <v/>
      </c>
      <c r="C117" s="59" t="str">
        <f>IFERROR(VLOOKUP($A117,Admission!$1:$998,5,0),"")</f>
        <v/>
      </c>
      <c r="D117" s="59"/>
      <c r="E117" s="59" t="str">
        <f>IFERROR(VLOOKUP($A117,Admission!$1:$998,3,0),"")</f>
        <v/>
      </c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1:21" ht="13" x14ac:dyDescent="0.15">
      <c r="A118" s="58"/>
      <c r="B118" s="59" t="str">
        <f>IFERROR(VLOOKUP($A118,Admission!$1:$998,4,0),"")</f>
        <v/>
      </c>
      <c r="C118" s="59" t="str">
        <f>IFERROR(VLOOKUP($A118,Admission!$1:$998,5,0),"")</f>
        <v/>
      </c>
      <c r="D118" s="59"/>
      <c r="E118" s="59" t="str">
        <f>IFERROR(VLOOKUP($A118,Admission!$1:$998,3,0),"")</f>
        <v/>
      </c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1:21" ht="13" x14ac:dyDescent="0.15">
      <c r="A119" s="58"/>
      <c r="B119" s="59" t="str">
        <f>IFERROR(VLOOKUP($A119,Admission!$1:$998,4,0),"")</f>
        <v/>
      </c>
      <c r="C119" s="59" t="str">
        <f>IFERROR(VLOOKUP($A119,Admission!$1:$998,5,0),"")</f>
        <v/>
      </c>
      <c r="D119" s="59"/>
      <c r="E119" s="59" t="str">
        <f>IFERROR(VLOOKUP($A119,Admission!$1:$998,3,0),"")</f>
        <v/>
      </c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1:21" ht="13" x14ac:dyDescent="0.15">
      <c r="A120" s="58"/>
      <c r="B120" s="59" t="str">
        <f>IFERROR(VLOOKUP($A120,Admission!$1:$998,4,0),"")</f>
        <v/>
      </c>
      <c r="C120" s="59" t="str">
        <f>IFERROR(VLOOKUP($A120,Admission!$1:$998,5,0),"")</f>
        <v/>
      </c>
      <c r="D120" s="59"/>
      <c r="E120" s="59" t="str">
        <f>IFERROR(VLOOKUP($A120,Admission!$1:$998,3,0),"")</f>
        <v/>
      </c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1:21" ht="13" x14ac:dyDescent="0.15">
      <c r="A121" s="58"/>
      <c r="B121" s="59" t="str">
        <f>IFERROR(VLOOKUP($A121,Admission!$1:$998,4,0),"")</f>
        <v/>
      </c>
      <c r="C121" s="59" t="str">
        <f>IFERROR(VLOOKUP($A121,Admission!$1:$998,5,0),"")</f>
        <v/>
      </c>
      <c r="D121" s="59"/>
      <c r="E121" s="59" t="str">
        <f>IFERROR(VLOOKUP($A121,Admission!$1:$998,3,0),"")</f>
        <v/>
      </c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1:21" ht="13" x14ac:dyDescent="0.15">
      <c r="A122" s="58"/>
      <c r="B122" s="59" t="str">
        <f>IFERROR(VLOOKUP($A122,Admission!$1:$998,4,0),"")</f>
        <v/>
      </c>
      <c r="C122" s="59" t="str">
        <f>IFERROR(VLOOKUP($A122,Admission!$1:$998,5,0),"")</f>
        <v/>
      </c>
      <c r="D122" s="59"/>
      <c r="E122" s="59" t="str">
        <f>IFERROR(VLOOKUP($A122,Admission!$1:$998,3,0),"")</f>
        <v/>
      </c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1:21" ht="13" x14ac:dyDescent="0.15">
      <c r="A123" s="62"/>
      <c r="B123" s="59" t="str">
        <f>IFERROR(VLOOKUP($A123,Admission!$1:$998,4,0),"")</f>
        <v/>
      </c>
      <c r="C123" s="59" t="str">
        <f>IFERROR(VLOOKUP($A123,Admission!$1:$998,5,0),"")</f>
        <v/>
      </c>
      <c r="D123" s="59"/>
      <c r="E123" s="59" t="str">
        <f>IFERROR(VLOOKUP($A123,Admission!$1:$998,3,0),"")</f>
        <v/>
      </c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1:21" ht="13" x14ac:dyDescent="0.15">
      <c r="A124" s="62"/>
      <c r="B124" s="59" t="str">
        <f>IFERROR(VLOOKUP($A124,Admission!$1:$998,4,0),"")</f>
        <v/>
      </c>
      <c r="C124" s="59" t="str">
        <f>IFERROR(VLOOKUP($A124,Admission!$1:$998,5,0),"")</f>
        <v/>
      </c>
      <c r="D124" s="59"/>
      <c r="E124" s="59" t="str">
        <f>IFERROR(VLOOKUP($A124,Admission!$1:$998,3,0),"")</f>
        <v/>
      </c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1:21" ht="13" x14ac:dyDescent="0.15">
      <c r="A125" s="62"/>
      <c r="B125" s="59" t="str">
        <f>IFERROR(VLOOKUP($A125,Admission!$1:$998,4,0),"")</f>
        <v/>
      </c>
      <c r="C125" s="59" t="str">
        <f>IFERROR(VLOOKUP($A125,Admission!$1:$998,5,0),"")</f>
        <v/>
      </c>
      <c r="D125" s="59"/>
      <c r="E125" s="59" t="str">
        <f>IFERROR(VLOOKUP($A125,Admission!$1:$998,3,0),"")</f>
        <v/>
      </c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1:21" ht="13" x14ac:dyDescent="0.15">
      <c r="A126" s="62"/>
      <c r="B126" s="59" t="str">
        <f>IFERROR(VLOOKUP($A126,Admission!$1:$998,4,0),"")</f>
        <v/>
      </c>
      <c r="C126" s="59" t="str">
        <f>IFERROR(VLOOKUP($A126,Admission!$1:$998,5,0),"")</f>
        <v/>
      </c>
      <c r="D126" s="59"/>
      <c r="E126" s="59" t="str">
        <f>IFERROR(VLOOKUP($A126,Admission!$1:$998,3,0),"")</f>
        <v/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1:21" ht="13" x14ac:dyDescent="0.15">
      <c r="A127" s="62"/>
      <c r="B127" s="59" t="str">
        <f>IFERROR(VLOOKUP($A127,Admission!$1:$998,4,0),"")</f>
        <v/>
      </c>
      <c r="C127" s="59" t="str">
        <f>IFERROR(VLOOKUP($A127,Admission!$1:$998,5,0),"")</f>
        <v/>
      </c>
      <c r="D127" s="59"/>
      <c r="E127" s="59" t="str">
        <f>IFERROR(VLOOKUP($A127,Admission!$1:$998,3,0),"")</f>
        <v/>
      </c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1:21" ht="13" x14ac:dyDescent="0.15">
      <c r="A128" s="62"/>
      <c r="B128" s="59" t="str">
        <f>IFERROR(VLOOKUP($A128,Admission!$1:$998,4,0),"")</f>
        <v/>
      </c>
      <c r="C128" s="59" t="str">
        <f>IFERROR(VLOOKUP($A128,Admission!$1:$998,5,0),"")</f>
        <v/>
      </c>
      <c r="D128" s="59"/>
      <c r="E128" s="59" t="str">
        <f>IFERROR(VLOOKUP($A128,Admission!$1:$998,3,0),"")</f>
        <v/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1:21" ht="13" x14ac:dyDescent="0.15">
      <c r="A129" s="62"/>
      <c r="B129" s="59" t="str">
        <f>IFERROR(VLOOKUP($A129,Admission!$1:$998,4,0),"")</f>
        <v/>
      </c>
      <c r="C129" s="59" t="str">
        <f>IFERROR(VLOOKUP($A129,Admission!$1:$998,5,0),"")</f>
        <v/>
      </c>
      <c r="D129" s="59"/>
      <c r="E129" s="59" t="str">
        <f>IFERROR(VLOOKUP($A129,Admission!$1:$998,3,0),"")</f>
        <v/>
      </c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1:21" ht="13" x14ac:dyDescent="0.15">
      <c r="A130" s="62"/>
      <c r="B130" s="59" t="str">
        <f>IFERROR(VLOOKUP($A130,Admission!$1:$998,4,0),"")</f>
        <v/>
      </c>
      <c r="C130" s="59" t="str">
        <f>IFERROR(VLOOKUP($A130,Admission!$1:$998,5,0),"")</f>
        <v/>
      </c>
      <c r="D130" s="59"/>
      <c r="E130" s="59" t="str">
        <f>IFERROR(VLOOKUP($A130,Admission!$1:$998,3,0),"")</f>
        <v/>
      </c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1:21" ht="13" x14ac:dyDescent="0.15">
      <c r="A131" s="62"/>
      <c r="B131" s="59" t="str">
        <f>IFERROR(VLOOKUP($A131,Admission!$1:$998,4,0),"")</f>
        <v/>
      </c>
      <c r="C131" s="59" t="str">
        <f>IFERROR(VLOOKUP($A131,Admission!$1:$998,5,0),"")</f>
        <v/>
      </c>
      <c r="D131" s="59"/>
      <c r="E131" s="59" t="str">
        <f>IFERROR(VLOOKUP($A131,Admission!$1:$998,3,0),"")</f>
        <v/>
      </c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1:21" ht="13" x14ac:dyDescent="0.15">
      <c r="A132" s="62"/>
      <c r="B132" s="59" t="str">
        <f>IFERROR(VLOOKUP($A132,Admission!$1:$998,4,0),"")</f>
        <v/>
      </c>
      <c r="C132" s="59" t="str">
        <f>IFERROR(VLOOKUP($A132,Admission!$1:$998,5,0),"")</f>
        <v/>
      </c>
      <c r="D132" s="59"/>
      <c r="E132" s="59" t="str">
        <f>IFERROR(VLOOKUP($A132,Admission!$1:$998,3,0),"")</f>
        <v/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1:21" ht="13" x14ac:dyDescent="0.15">
      <c r="A133" s="62"/>
      <c r="B133" s="59" t="str">
        <f>IFERROR(VLOOKUP($A133,Admission!$1:$998,4,0),"")</f>
        <v/>
      </c>
      <c r="C133" s="59" t="str">
        <f>IFERROR(VLOOKUP($A133,Admission!$1:$998,5,0),"")</f>
        <v/>
      </c>
      <c r="D133" s="59"/>
      <c r="E133" s="59" t="str">
        <f>IFERROR(VLOOKUP($A133,Admission!$1:$998,3,0),"")</f>
        <v/>
      </c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1:21" ht="13" x14ac:dyDescent="0.15">
      <c r="A134" s="62"/>
      <c r="B134" s="59" t="str">
        <f>IFERROR(VLOOKUP($A134,Admission!$1:$998,4,0),"")</f>
        <v/>
      </c>
      <c r="C134" s="59" t="str">
        <f>IFERROR(VLOOKUP($A134,Admission!$1:$998,5,0),"")</f>
        <v/>
      </c>
      <c r="D134" s="59"/>
      <c r="E134" s="59" t="str">
        <f>IFERROR(VLOOKUP($A134,Admission!$1:$998,3,0),"")</f>
        <v/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1:21" ht="13" x14ac:dyDescent="0.15">
      <c r="A135" s="62"/>
      <c r="B135" s="59" t="str">
        <f>IFERROR(VLOOKUP($A135,Admission!$1:$998,4,0),"")</f>
        <v/>
      </c>
      <c r="C135" s="59" t="str">
        <f>IFERROR(VLOOKUP($A135,Admission!$1:$998,5,0),"")</f>
        <v/>
      </c>
      <c r="D135" s="59"/>
      <c r="E135" s="59" t="str">
        <f>IFERROR(VLOOKUP($A135,Admission!$1:$998,3,0),"")</f>
        <v/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1:21" ht="13" x14ac:dyDescent="0.15">
      <c r="A136" s="62"/>
      <c r="B136" s="59" t="str">
        <f>IFERROR(VLOOKUP($A136,Admission!$1:$998,4,0),"")</f>
        <v/>
      </c>
      <c r="C136" s="59" t="str">
        <f>IFERROR(VLOOKUP($A136,Admission!$1:$998,5,0),"")</f>
        <v/>
      </c>
      <c r="D136" s="59"/>
      <c r="E136" s="59" t="str">
        <f>IFERROR(VLOOKUP($A136,Admission!$1:$998,3,0),"")</f>
        <v/>
      </c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1:21" ht="13" x14ac:dyDescent="0.15">
      <c r="A137" s="62"/>
      <c r="B137" s="59" t="str">
        <f>IFERROR(VLOOKUP($A137,Admission!$1:$998,4,0),"")</f>
        <v/>
      </c>
      <c r="C137" s="59" t="str">
        <f>IFERROR(VLOOKUP($A137,Admission!$1:$998,5,0),"")</f>
        <v/>
      </c>
      <c r="D137" s="59"/>
      <c r="E137" s="59" t="str">
        <f>IFERROR(VLOOKUP($A137,Admission!$1:$998,3,0),"")</f>
        <v/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1:21" ht="13" x14ac:dyDescent="0.15">
      <c r="A138" s="62"/>
      <c r="B138" s="59" t="str">
        <f>IFERROR(VLOOKUP($A138,Admission!$1:$998,4,0),"")</f>
        <v/>
      </c>
      <c r="C138" s="59" t="str">
        <f>IFERROR(VLOOKUP($A138,Admission!$1:$998,5,0),"")</f>
        <v/>
      </c>
      <c r="D138" s="59"/>
      <c r="E138" s="59" t="str">
        <f>IFERROR(VLOOKUP($A138,Admission!$1:$998,3,0),"")</f>
        <v/>
      </c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1:21" ht="13" x14ac:dyDescent="0.15">
      <c r="A139" s="62"/>
      <c r="B139" s="59" t="str">
        <f>IFERROR(VLOOKUP($A139,Admission!$1:$998,4,0),"")</f>
        <v/>
      </c>
      <c r="C139" s="59" t="str">
        <f>IFERROR(VLOOKUP($A139,Admission!$1:$998,5,0),"")</f>
        <v/>
      </c>
      <c r="D139" s="59"/>
      <c r="E139" s="59" t="str">
        <f>IFERROR(VLOOKUP($A139,Admission!$1:$998,3,0),"")</f>
        <v/>
      </c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1:21" ht="13" x14ac:dyDescent="0.15">
      <c r="A140" s="62"/>
      <c r="B140" s="59" t="str">
        <f>IFERROR(VLOOKUP($A140,Admission!$1:$998,4,0),"")</f>
        <v/>
      </c>
      <c r="C140" s="59" t="str">
        <f>IFERROR(VLOOKUP($A140,Admission!$1:$998,5,0),"")</f>
        <v/>
      </c>
      <c r="D140" s="59"/>
      <c r="E140" s="59" t="str">
        <f>IFERROR(VLOOKUP($A140,Admission!$1:$998,3,0),"")</f>
        <v/>
      </c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1:21" ht="13" x14ac:dyDescent="0.15">
      <c r="A141" s="62"/>
      <c r="B141" s="59" t="str">
        <f>IFERROR(VLOOKUP($A141,Admission!$1:$998,4,0),"")</f>
        <v/>
      </c>
      <c r="C141" s="59" t="str">
        <f>IFERROR(VLOOKUP($A141,Admission!$1:$998,5,0),"")</f>
        <v/>
      </c>
      <c r="D141" s="59"/>
      <c r="E141" s="59" t="str">
        <f>IFERROR(VLOOKUP($A141,Admission!$1:$998,3,0),"")</f>
        <v/>
      </c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1:21" ht="13" x14ac:dyDescent="0.15">
      <c r="A142" s="62"/>
      <c r="B142" s="59" t="str">
        <f>IFERROR(VLOOKUP($A142,Admission!$1:$998,4,0),"")</f>
        <v/>
      </c>
      <c r="C142" s="59" t="str">
        <f>IFERROR(VLOOKUP($A142,Admission!$1:$998,5,0),"")</f>
        <v/>
      </c>
      <c r="D142" s="59"/>
      <c r="E142" s="59" t="str">
        <f>IFERROR(VLOOKUP($A142,Admission!$1:$998,3,0),"")</f>
        <v/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1:21" ht="13" x14ac:dyDescent="0.15">
      <c r="A143" s="62"/>
      <c r="B143" s="59" t="str">
        <f>IFERROR(VLOOKUP($A143,Admission!$1:$998,4,0),"")</f>
        <v/>
      </c>
      <c r="C143" s="59" t="str">
        <f>IFERROR(VLOOKUP($A143,Admission!$1:$998,5,0),"")</f>
        <v/>
      </c>
      <c r="D143" s="59"/>
      <c r="E143" s="59" t="str">
        <f>IFERROR(VLOOKUP($A143,Admission!$1:$998,3,0),"")</f>
        <v/>
      </c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1:21" ht="13" x14ac:dyDescent="0.15">
      <c r="A144" s="62"/>
      <c r="B144" s="59" t="str">
        <f>IFERROR(VLOOKUP($A144,Admission!$1:$998,4,0),"")</f>
        <v/>
      </c>
      <c r="C144" s="59" t="str">
        <f>IFERROR(VLOOKUP($A144,Admission!$1:$998,5,0),"")</f>
        <v/>
      </c>
      <c r="D144" s="59"/>
      <c r="E144" s="59" t="str">
        <f>IFERROR(VLOOKUP($A144,Admission!$1:$998,3,0),"")</f>
        <v/>
      </c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1:21" ht="13" x14ac:dyDescent="0.15">
      <c r="A145" s="62"/>
      <c r="B145" s="59" t="str">
        <f>IFERROR(VLOOKUP($A145,Admission!$1:$998,4,0),"")</f>
        <v/>
      </c>
      <c r="C145" s="59" t="str">
        <f>IFERROR(VLOOKUP($A145,Admission!$1:$998,5,0),"")</f>
        <v/>
      </c>
      <c r="D145" s="59"/>
      <c r="E145" s="59" t="str">
        <f>IFERROR(VLOOKUP($A145,Admission!$1:$998,3,0),"")</f>
        <v/>
      </c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spans="1:21" ht="13" x14ac:dyDescent="0.15">
      <c r="A146" s="62"/>
      <c r="B146" s="59" t="str">
        <f>IFERROR(VLOOKUP($A146,Admission!$1:$998,4,0),"")</f>
        <v/>
      </c>
      <c r="C146" s="59" t="str">
        <f>IFERROR(VLOOKUP($A146,Admission!$1:$998,5,0),"")</f>
        <v/>
      </c>
      <c r="D146" s="59"/>
      <c r="E146" s="59" t="str">
        <f>IFERROR(VLOOKUP($A146,Admission!$1:$998,3,0),"")</f>
        <v/>
      </c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1:21" ht="13" x14ac:dyDescent="0.15">
      <c r="A147" s="62"/>
      <c r="B147" s="59" t="str">
        <f>IFERROR(VLOOKUP($A147,Admission!$1:$998,4,0),"")</f>
        <v/>
      </c>
      <c r="C147" s="59" t="str">
        <f>IFERROR(VLOOKUP($A147,Admission!$1:$998,5,0),"")</f>
        <v/>
      </c>
      <c r="D147" s="59"/>
      <c r="E147" s="59" t="str">
        <f>IFERROR(VLOOKUP($A147,Admission!$1:$998,3,0),"")</f>
        <v/>
      </c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spans="1:21" ht="13" x14ac:dyDescent="0.15">
      <c r="A148" s="62"/>
      <c r="B148" s="59" t="str">
        <f>IFERROR(VLOOKUP($A148,Admission!$1:$998,4,0),"")</f>
        <v/>
      </c>
      <c r="C148" s="59" t="str">
        <f>IFERROR(VLOOKUP($A148,Admission!$1:$998,5,0),"")</f>
        <v/>
      </c>
      <c r="D148" s="59"/>
      <c r="E148" s="59" t="str">
        <f>IFERROR(VLOOKUP($A148,Admission!$1:$998,3,0),"")</f>
        <v/>
      </c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1:21" ht="13" x14ac:dyDescent="0.15">
      <c r="A149" s="62"/>
      <c r="B149" s="59" t="str">
        <f>IFERROR(VLOOKUP($A149,Admission!$1:$998,4,0),"")</f>
        <v/>
      </c>
      <c r="C149" s="59" t="str">
        <f>IFERROR(VLOOKUP($A149,Admission!$1:$998,5,0),"")</f>
        <v/>
      </c>
      <c r="D149" s="59"/>
      <c r="E149" s="59" t="str">
        <f>IFERROR(VLOOKUP($A149,Admission!$1:$998,3,0),"")</f>
        <v/>
      </c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1:21" ht="13" x14ac:dyDescent="0.15">
      <c r="A150" s="62"/>
      <c r="B150" s="59" t="str">
        <f>IFERROR(VLOOKUP($A150,Admission!$1:$998,4,0),"")</f>
        <v/>
      </c>
      <c r="C150" s="59" t="str">
        <f>IFERROR(VLOOKUP($A150,Admission!$1:$998,5,0),"")</f>
        <v/>
      </c>
      <c r="D150" s="59"/>
      <c r="E150" s="59" t="str">
        <f>IFERROR(VLOOKUP($A150,Admission!$1:$998,3,0),"")</f>
        <v/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spans="1:21" ht="13" x14ac:dyDescent="0.15">
      <c r="A151" s="62"/>
      <c r="E151" s="23" t="str">
        <f>IFERROR(VLOOKUP($A151,Admission!150:1145,3,0),"")</f>
        <v/>
      </c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 spans="1:21" ht="13" x14ac:dyDescent="0.15">
      <c r="A152" s="62"/>
      <c r="E152" s="23" t="str">
        <f>IFERROR(VLOOKUP($A152,Admission!151:1146,3,0),"")</f>
        <v/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 spans="1:21" ht="13" x14ac:dyDescent="0.15">
      <c r="A153" s="62"/>
      <c r="E153" s="23" t="str">
        <f>IFERROR(VLOOKUP($A153,Admission!152:1147,3,0),"")</f>
        <v/>
      </c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 spans="1:21" ht="13" x14ac:dyDescent="0.15">
      <c r="A154" s="62"/>
      <c r="E154" s="23" t="str">
        <f>IFERROR(VLOOKUP($A154,Admission!153:1148,3,0),"")</f>
        <v/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 spans="1:21" ht="13" x14ac:dyDescent="0.15">
      <c r="A155" s="62"/>
      <c r="E155" s="23" t="str">
        <f>IFERROR(VLOOKUP($A155,Admission!154:1149,3,0),"")</f>
        <v/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 spans="1:21" ht="13" x14ac:dyDescent="0.15">
      <c r="A156" s="62"/>
      <c r="E156" s="23" t="str">
        <f>IFERROR(VLOOKUP($A156,Admission!155:1150,3,0),"")</f>
        <v/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 spans="1:21" ht="13" x14ac:dyDescent="0.15">
      <c r="A157" s="62"/>
      <c r="E157" s="23" t="str">
        <f>IFERROR(VLOOKUP($A157,Admission!156:1151,3,0),"")</f>
        <v/>
      </c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 spans="1:21" ht="13" x14ac:dyDescent="0.15">
      <c r="A158" s="62"/>
      <c r="E158" s="23" t="str">
        <f>IFERROR(VLOOKUP($A158,Admission!157:1152,3,0),"")</f>
        <v/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 spans="1:21" ht="13" x14ac:dyDescent="0.15">
      <c r="A159" s="62"/>
      <c r="E159" s="23" t="str">
        <f>IFERROR(VLOOKUP($A159,Admission!158:1153,3,0),"")</f>
        <v/>
      </c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 spans="1:21" ht="13" x14ac:dyDescent="0.15">
      <c r="A160" s="62"/>
      <c r="E160" s="23" t="str">
        <f>IFERROR(VLOOKUP($A160,Admission!159:1154,3,0),"")</f>
        <v/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</row>
    <row r="161" spans="1:21" ht="13" x14ac:dyDescent="0.15">
      <c r="A161" s="62"/>
      <c r="E161" s="23" t="str">
        <f>IFERROR(VLOOKUP($A161,Admission!160:1155,3,0),"")</f>
        <v/>
      </c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 spans="1:21" ht="13" x14ac:dyDescent="0.15">
      <c r="A162" s="62"/>
      <c r="E162" s="23" t="str">
        <f>IFERROR(VLOOKUP($A162,Admission!161:1156,3,0),"")</f>
        <v/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</row>
    <row r="163" spans="1:21" ht="13" x14ac:dyDescent="0.15">
      <c r="A163" s="62"/>
      <c r="E163" s="23" t="str">
        <f>IFERROR(VLOOKUP($A163,Admission!162:1157,3,0),"")</f>
        <v/>
      </c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 spans="1:21" ht="13" x14ac:dyDescent="0.15">
      <c r="A164" s="62"/>
      <c r="E164" s="23" t="str">
        <f>IFERROR(VLOOKUP($A164,Admission!163:1158,3,0),"")</f>
        <v/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 spans="1:21" ht="13" x14ac:dyDescent="0.15">
      <c r="A165" s="62"/>
      <c r="E165" s="23" t="str">
        <f>IFERROR(VLOOKUP($A165,Admission!164:1159,3,0),"")</f>
        <v/>
      </c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 spans="1:21" ht="13" x14ac:dyDescent="0.15">
      <c r="A166" s="62"/>
      <c r="E166" s="23" t="str">
        <f>IFERROR(VLOOKUP($A166,Admission!165:1160,3,0),"")</f>
        <v/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</row>
    <row r="167" spans="1:21" ht="13" x14ac:dyDescent="0.15">
      <c r="A167" s="62"/>
      <c r="E167" s="23" t="str">
        <f>IFERROR(VLOOKUP($A167,Admission!166:1161,3,0),"")</f>
        <v/>
      </c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</row>
    <row r="168" spans="1:21" ht="13" x14ac:dyDescent="0.15">
      <c r="A168" s="62"/>
      <c r="E168" s="23" t="str">
        <f>IFERROR(VLOOKUP($A168,Admission!167:1162,3,0),"")</f>
        <v/>
      </c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</row>
    <row r="169" spans="1:21" ht="13" x14ac:dyDescent="0.15">
      <c r="A169" s="62"/>
      <c r="E169" s="23" t="str">
        <f>IFERROR(VLOOKUP($A169,Admission!168:1163,3,0),"")</f>
        <v/>
      </c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</row>
    <row r="170" spans="1:21" ht="13" x14ac:dyDescent="0.15">
      <c r="A170" s="62"/>
      <c r="E170" s="23" t="str">
        <f>IFERROR(VLOOKUP($A170,Admission!169:1164,3,0),"")</f>
        <v/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 spans="1:21" ht="13" x14ac:dyDescent="0.15">
      <c r="A171" s="62"/>
      <c r="E171" s="23" t="str">
        <f>IFERROR(VLOOKUP($A171,Admission!170:1165,3,0),"")</f>
        <v/>
      </c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</row>
    <row r="172" spans="1:21" ht="13" x14ac:dyDescent="0.15">
      <c r="A172" s="62"/>
      <c r="E172" s="23" t="str">
        <f>IFERROR(VLOOKUP($A172,Admission!171:1166,3,0),"")</f>
        <v/>
      </c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</row>
    <row r="173" spans="1:21" ht="13" x14ac:dyDescent="0.15">
      <c r="A173" s="62"/>
      <c r="E173" s="23" t="str">
        <f>IFERROR(VLOOKUP($A173,Admission!172:1167,3,0),"")</f>
        <v/>
      </c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</row>
    <row r="174" spans="1:21" ht="13" x14ac:dyDescent="0.15">
      <c r="A174" s="62"/>
      <c r="E174" s="23" t="str">
        <f>IFERROR(VLOOKUP($A174,Admission!173:1168,3,0),"")</f>
        <v/>
      </c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 spans="1:21" ht="13" x14ac:dyDescent="0.15">
      <c r="A175" s="62"/>
      <c r="E175" s="23" t="str">
        <f>IFERROR(VLOOKUP($A175,Admission!174:1169,3,0),"")</f>
        <v/>
      </c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 spans="1:21" ht="13" x14ac:dyDescent="0.15">
      <c r="A176" s="62"/>
      <c r="E176" s="23" t="str">
        <f>IFERROR(VLOOKUP($A176,Admission!175:1170,3,0),"")</f>
        <v/>
      </c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spans="1:21" ht="13" x14ac:dyDescent="0.15">
      <c r="A177" s="62"/>
      <c r="E177" s="23" t="str">
        <f>IFERROR(VLOOKUP($A177,Admission!176:1171,3,0),"")</f>
        <v/>
      </c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spans="1:21" ht="13" x14ac:dyDescent="0.15">
      <c r="A178" s="62"/>
      <c r="E178" s="23" t="str">
        <f>IFERROR(VLOOKUP($A178,Admission!177:1172,3,0),"")</f>
        <v/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</row>
    <row r="179" spans="1:21" ht="13" x14ac:dyDescent="0.15">
      <c r="A179" s="62"/>
      <c r="E179" s="23" t="str">
        <f>IFERROR(VLOOKUP($A179,Admission!178:1173,3,0),"")</f>
        <v/>
      </c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</row>
    <row r="180" spans="1:21" ht="13" x14ac:dyDescent="0.15">
      <c r="A180" s="62"/>
      <c r="E180" s="23" t="str">
        <f>IFERROR(VLOOKUP($A180,Admission!178:1174,3,0),"")</f>
        <v/>
      </c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spans="1:21" ht="13" x14ac:dyDescent="0.15">
      <c r="A181" s="62"/>
      <c r="E181" s="23" t="str">
        <f>IFERROR(VLOOKUP($A181,Admission!178:1175,3,0),"")</f>
        <v/>
      </c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 spans="1:21" ht="13" x14ac:dyDescent="0.15">
      <c r="A182" s="62"/>
      <c r="E182" s="23" t="str">
        <f>IFERROR(VLOOKUP($A182,Admission!178:1176,3,0),"")</f>
        <v/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</row>
    <row r="183" spans="1:21" ht="13" x14ac:dyDescent="0.15">
      <c r="A183" s="62"/>
      <c r="E183" s="23" t="str">
        <f>IFERROR(VLOOKUP($A183,Admission!178:1177,3,0),"")</f>
        <v/>
      </c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</row>
    <row r="184" spans="1:21" ht="13" x14ac:dyDescent="0.15">
      <c r="A184" s="62"/>
      <c r="E184" s="23" t="str">
        <f>IFERROR(VLOOKUP($A184,Admission!179:1178,3,0),"")</f>
        <v/>
      </c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</row>
    <row r="185" spans="1:21" ht="13" x14ac:dyDescent="0.15">
      <c r="A185" s="62"/>
      <c r="E185" s="23" t="str">
        <f>IFERROR(VLOOKUP($A185,Admission!180:1179,3,0),"")</f>
        <v/>
      </c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</row>
    <row r="186" spans="1:21" ht="13" x14ac:dyDescent="0.15">
      <c r="A186" s="62"/>
      <c r="E186" s="23" t="str">
        <f>IFERROR(VLOOKUP($A186,Admission!181:1180,3,0),"")</f>
        <v/>
      </c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</row>
    <row r="187" spans="1:21" ht="13" x14ac:dyDescent="0.15">
      <c r="A187" s="62"/>
      <c r="E187" s="23" t="str">
        <f>IFERROR(VLOOKUP($A187,Admission!182:1181,3,0),"")</f>
        <v/>
      </c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</row>
    <row r="188" spans="1:21" ht="13" x14ac:dyDescent="0.15">
      <c r="A188" s="62"/>
      <c r="E188" s="23" t="str">
        <f>IFERROR(VLOOKUP($A188,Admission!183:1182,3,0),"")</f>
        <v/>
      </c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</row>
    <row r="189" spans="1:21" ht="13" x14ac:dyDescent="0.15">
      <c r="A189" s="62"/>
      <c r="E189" s="23" t="str">
        <f>IFERROR(VLOOKUP($A189,Admission!184:1183,3,0),"")</f>
        <v/>
      </c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</row>
    <row r="190" spans="1:21" ht="13" x14ac:dyDescent="0.15">
      <c r="A190" s="62"/>
      <c r="E190" s="23" t="str">
        <f>IFERROR(VLOOKUP($A190,Admission!181:1184,3,0),"")</f>
        <v/>
      </c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</row>
    <row r="191" spans="1:21" ht="13" x14ac:dyDescent="0.15">
      <c r="A191" s="62"/>
      <c r="E191" s="23" t="str">
        <f>IFERROR(VLOOKUP($A191,Admission!178:1185,3,0),"")</f>
        <v/>
      </c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</row>
    <row r="192" spans="1:21" ht="13" x14ac:dyDescent="0.15">
      <c r="A192" s="62"/>
      <c r="E192" s="23" t="str">
        <f>IFERROR(VLOOKUP($A192,Admission!179:1186,3,0),"")</f>
        <v/>
      </c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</row>
    <row r="193" spans="1:21" ht="13" x14ac:dyDescent="0.15">
      <c r="A193" s="6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</row>
    <row r="194" spans="1:21" ht="13" x14ac:dyDescent="0.15">
      <c r="A194" s="6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</row>
    <row r="195" spans="1:21" ht="13" x14ac:dyDescent="0.15">
      <c r="A195" s="6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</row>
    <row r="196" spans="1:21" ht="13" x14ac:dyDescent="0.15">
      <c r="A196" s="6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</row>
    <row r="197" spans="1:21" ht="13" x14ac:dyDescent="0.15">
      <c r="A197" s="6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</row>
    <row r="198" spans="1:21" ht="13" x14ac:dyDescent="0.15">
      <c r="A198" s="6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</row>
    <row r="199" spans="1:21" ht="13" x14ac:dyDescent="0.15">
      <c r="A199" s="6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</row>
    <row r="200" spans="1:21" ht="13" x14ac:dyDescent="0.15">
      <c r="A200" s="6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</row>
    <row r="201" spans="1:21" ht="13" x14ac:dyDescent="0.15">
      <c r="A201" s="6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</row>
    <row r="202" spans="1:21" ht="13" x14ac:dyDescent="0.15">
      <c r="A202" s="6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</row>
    <row r="203" spans="1:21" ht="13" x14ac:dyDescent="0.15">
      <c r="A203" s="6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</row>
    <row r="204" spans="1:21" ht="13" x14ac:dyDescent="0.15">
      <c r="A204" s="6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</row>
    <row r="205" spans="1:21" ht="13" x14ac:dyDescent="0.15">
      <c r="A205" s="6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</row>
    <row r="206" spans="1:21" ht="13" x14ac:dyDescent="0.15">
      <c r="A206" s="6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</row>
    <row r="207" spans="1:21" ht="13" x14ac:dyDescent="0.15">
      <c r="A207" s="6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</row>
    <row r="208" spans="1:21" ht="13" x14ac:dyDescent="0.15">
      <c r="A208" s="6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</row>
    <row r="209" spans="1:21" ht="13" x14ac:dyDescent="0.15">
      <c r="A209" s="6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</row>
    <row r="210" spans="1:21" ht="13" x14ac:dyDescent="0.15">
      <c r="A210" s="6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</row>
    <row r="211" spans="1:21" ht="13" x14ac:dyDescent="0.15">
      <c r="A211" s="6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</row>
    <row r="212" spans="1:21" ht="13" x14ac:dyDescent="0.15">
      <c r="A212" s="6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</row>
    <row r="213" spans="1:21" ht="13" x14ac:dyDescent="0.15">
      <c r="A213" s="6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</row>
    <row r="214" spans="1:21" ht="13" x14ac:dyDescent="0.15">
      <c r="A214" s="6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</row>
    <row r="215" spans="1:21" ht="13" x14ac:dyDescent="0.15">
      <c r="A215" s="6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</row>
    <row r="216" spans="1:21" ht="13" x14ac:dyDescent="0.15">
      <c r="A216" s="6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</row>
    <row r="217" spans="1:21" ht="13" x14ac:dyDescent="0.15">
      <c r="A217" s="6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</row>
    <row r="218" spans="1:21" ht="13" x14ac:dyDescent="0.15">
      <c r="A218" s="6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</row>
    <row r="219" spans="1:21" ht="13" x14ac:dyDescent="0.15">
      <c r="A219" s="6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</row>
    <row r="220" spans="1:21" ht="13" x14ac:dyDescent="0.15">
      <c r="A220" s="6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</row>
    <row r="221" spans="1:21" ht="13" x14ac:dyDescent="0.15">
      <c r="A221" s="6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</row>
    <row r="222" spans="1:21" ht="13" x14ac:dyDescent="0.15">
      <c r="A222" s="6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</row>
    <row r="223" spans="1:21" ht="13" x14ac:dyDescent="0.15">
      <c r="A223" s="6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</row>
    <row r="224" spans="1:21" ht="13" x14ac:dyDescent="0.15">
      <c r="A224" s="6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</row>
    <row r="225" spans="1:21" ht="13" x14ac:dyDescent="0.15">
      <c r="A225" s="6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</row>
    <row r="226" spans="1:21" ht="13" x14ac:dyDescent="0.15">
      <c r="A226" s="6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</row>
    <row r="227" spans="1:21" ht="13" x14ac:dyDescent="0.15">
      <c r="A227" s="6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</row>
    <row r="228" spans="1:21" ht="13" x14ac:dyDescent="0.15">
      <c r="A228" s="6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</row>
    <row r="229" spans="1:21" ht="13" x14ac:dyDescent="0.15">
      <c r="A229" s="6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</row>
    <row r="230" spans="1:21" ht="13" x14ac:dyDescent="0.15">
      <c r="A230" s="6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</row>
    <row r="231" spans="1:21" ht="13" x14ac:dyDescent="0.15">
      <c r="A231" s="6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</row>
    <row r="232" spans="1:21" ht="13" x14ac:dyDescent="0.15">
      <c r="A232" s="6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</row>
    <row r="233" spans="1:21" ht="13" x14ac:dyDescent="0.15">
      <c r="A233" s="6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</row>
    <row r="234" spans="1:21" ht="13" x14ac:dyDescent="0.15">
      <c r="A234" s="6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</row>
    <row r="235" spans="1:21" ht="13" x14ac:dyDescent="0.15">
      <c r="A235" s="6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</row>
    <row r="236" spans="1:21" ht="13" x14ac:dyDescent="0.15">
      <c r="A236" s="6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</row>
    <row r="237" spans="1:21" ht="13" x14ac:dyDescent="0.15">
      <c r="A237" s="6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</row>
    <row r="238" spans="1:21" ht="13" x14ac:dyDescent="0.15">
      <c r="A238" s="6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</row>
    <row r="239" spans="1:21" ht="13" x14ac:dyDescent="0.15">
      <c r="A239" s="6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</row>
    <row r="240" spans="1:21" ht="13" x14ac:dyDescent="0.15">
      <c r="A240" s="6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</row>
    <row r="241" spans="1:21" ht="13" x14ac:dyDescent="0.15">
      <c r="A241" s="6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</row>
    <row r="242" spans="1:21" ht="13" x14ac:dyDescent="0.15">
      <c r="A242" s="6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</row>
    <row r="243" spans="1:21" ht="13" x14ac:dyDescent="0.15">
      <c r="A243" s="6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</row>
    <row r="244" spans="1:21" ht="13" x14ac:dyDescent="0.15">
      <c r="A244" s="6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</row>
    <row r="245" spans="1:21" ht="13" x14ac:dyDescent="0.15">
      <c r="A245" s="6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</row>
    <row r="246" spans="1:21" ht="13" x14ac:dyDescent="0.15">
      <c r="A246" s="6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</row>
    <row r="247" spans="1:21" ht="13" x14ac:dyDescent="0.15">
      <c r="A247" s="6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</row>
    <row r="248" spans="1:21" ht="13" x14ac:dyDescent="0.15">
      <c r="A248" s="6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</row>
    <row r="249" spans="1:21" ht="13" x14ac:dyDescent="0.15">
      <c r="A249" s="6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</row>
    <row r="250" spans="1:21" ht="13" x14ac:dyDescent="0.15">
      <c r="A250" s="6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</row>
    <row r="251" spans="1:21" ht="13" x14ac:dyDescent="0.15">
      <c r="A251" s="6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</row>
    <row r="252" spans="1:21" ht="13" x14ac:dyDescent="0.15">
      <c r="A252" s="6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</row>
    <row r="253" spans="1:21" ht="13" x14ac:dyDescent="0.15">
      <c r="A253" s="6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</row>
    <row r="254" spans="1:21" ht="13" x14ac:dyDescent="0.15">
      <c r="A254" s="6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</row>
    <row r="255" spans="1:21" ht="13" x14ac:dyDescent="0.15">
      <c r="A255" s="6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</row>
    <row r="256" spans="1:21" ht="13" x14ac:dyDescent="0.15">
      <c r="A256" s="6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</row>
    <row r="257" spans="1:21" ht="13" x14ac:dyDescent="0.15">
      <c r="A257" s="6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</row>
    <row r="258" spans="1:21" ht="13" x14ac:dyDescent="0.15">
      <c r="A258" s="6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</row>
    <row r="259" spans="1:21" ht="13" x14ac:dyDescent="0.15">
      <c r="A259" s="6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</row>
    <row r="260" spans="1:21" ht="13" x14ac:dyDescent="0.15">
      <c r="A260" s="6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</row>
    <row r="261" spans="1:21" ht="13" x14ac:dyDescent="0.15">
      <c r="A261" s="6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</row>
    <row r="262" spans="1:21" ht="13" x14ac:dyDescent="0.15">
      <c r="A262" s="6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</row>
    <row r="263" spans="1:21" ht="13" x14ac:dyDescent="0.15">
      <c r="A263" s="6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</row>
    <row r="264" spans="1:21" ht="13" x14ac:dyDescent="0.15">
      <c r="A264" s="6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</row>
    <row r="265" spans="1:21" ht="13" x14ac:dyDescent="0.15">
      <c r="A265" s="6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</row>
    <row r="266" spans="1:21" ht="13" x14ac:dyDescent="0.15">
      <c r="A266" s="6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</row>
    <row r="267" spans="1:21" ht="13" x14ac:dyDescent="0.15">
      <c r="A267" s="6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</row>
    <row r="268" spans="1:21" ht="13" x14ac:dyDescent="0.15">
      <c r="A268" s="6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</row>
    <row r="269" spans="1:21" ht="13" x14ac:dyDescent="0.15">
      <c r="A269" s="6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</row>
    <row r="270" spans="1:21" ht="13" x14ac:dyDescent="0.15">
      <c r="A270" s="6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</row>
    <row r="271" spans="1:21" ht="13" x14ac:dyDescent="0.15">
      <c r="A271" s="6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</row>
    <row r="272" spans="1:21" ht="13" x14ac:dyDescent="0.15">
      <c r="A272" s="6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</row>
    <row r="273" spans="1:21" ht="13" x14ac:dyDescent="0.15">
      <c r="A273" s="6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</row>
    <row r="274" spans="1:21" ht="13" x14ac:dyDescent="0.15">
      <c r="A274" s="6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</row>
    <row r="275" spans="1:21" ht="13" x14ac:dyDescent="0.15">
      <c r="A275" s="6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</row>
    <row r="276" spans="1:21" ht="13" x14ac:dyDescent="0.15">
      <c r="A276" s="6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</row>
    <row r="277" spans="1:21" ht="13" x14ac:dyDescent="0.15">
      <c r="A277" s="6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</row>
    <row r="278" spans="1:21" ht="13" x14ac:dyDescent="0.15">
      <c r="A278" s="6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</row>
    <row r="279" spans="1:21" ht="13" x14ac:dyDescent="0.15">
      <c r="A279" s="6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</row>
    <row r="280" spans="1:21" ht="13" x14ac:dyDescent="0.15">
      <c r="A280" s="6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</row>
    <row r="281" spans="1:21" ht="13" x14ac:dyDescent="0.15">
      <c r="A281" s="6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</row>
    <row r="282" spans="1:21" ht="13" x14ac:dyDescent="0.15">
      <c r="A282" s="6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</row>
    <row r="283" spans="1:21" ht="13" x14ac:dyDescent="0.15">
      <c r="A283" s="6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</row>
    <row r="284" spans="1:21" ht="13" x14ac:dyDescent="0.15">
      <c r="A284" s="6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</row>
    <row r="285" spans="1:21" ht="13" x14ac:dyDescent="0.15">
      <c r="A285" s="6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</row>
    <row r="286" spans="1:21" ht="13" x14ac:dyDescent="0.15">
      <c r="A286" s="6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</row>
    <row r="287" spans="1:21" ht="13" x14ac:dyDescent="0.15">
      <c r="A287" s="6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</row>
    <row r="288" spans="1:21" ht="13" x14ac:dyDescent="0.15">
      <c r="A288" s="6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</row>
    <row r="289" spans="1:21" ht="13" x14ac:dyDescent="0.15">
      <c r="A289" s="6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</row>
    <row r="290" spans="1:21" ht="13" x14ac:dyDescent="0.15">
      <c r="A290" s="6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</row>
    <row r="291" spans="1:21" ht="13" x14ac:dyDescent="0.15">
      <c r="A291" s="6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</row>
    <row r="292" spans="1:21" ht="13" x14ac:dyDescent="0.15">
      <c r="A292" s="6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</row>
    <row r="293" spans="1:21" ht="13" x14ac:dyDescent="0.15">
      <c r="A293" s="6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</row>
    <row r="294" spans="1:21" ht="13" x14ac:dyDescent="0.15">
      <c r="A294" s="6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</row>
    <row r="295" spans="1:21" ht="13" x14ac:dyDescent="0.15">
      <c r="A295" s="6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</row>
    <row r="296" spans="1:21" ht="13" x14ac:dyDescent="0.15">
      <c r="A296" s="6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</row>
    <row r="297" spans="1:21" ht="13" x14ac:dyDescent="0.15">
      <c r="A297" s="6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</row>
    <row r="298" spans="1:21" ht="13" x14ac:dyDescent="0.15">
      <c r="A298" s="6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</row>
    <row r="299" spans="1:21" ht="13" x14ac:dyDescent="0.15">
      <c r="A299" s="6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</row>
    <row r="300" spans="1:21" ht="13" x14ac:dyDescent="0.15">
      <c r="A300" s="6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</row>
    <row r="301" spans="1:21" ht="13" x14ac:dyDescent="0.15">
      <c r="A301" s="6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</row>
    <row r="302" spans="1:21" ht="13" x14ac:dyDescent="0.15">
      <c r="A302" s="6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</row>
    <row r="303" spans="1:21" ht="13" x14ac:dyDescent="0.15">
      <c r="A303" s="6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</row>
    <row r="304" spans="1:21" ht="13" x14ac:dyDescent="0.15">
      <c r="A304" s="6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</row>
    <row r="305" spans="1:21" ht="13" x14ac:dyDescent="0.15">
      <c r="A305" s="6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</row>
    <row r="306" spans="1:21" ht="13" x14ac:dyDescent="0.15">
      <c r="A306" s="6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</row>
    <row r="307" spans="1:21" ht="13" x14ac:dyDescent="0.15">
      <c r="A307" s="6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</row>
    <row r="308" spans="1:21" ht="13" x14ac:dyDescent="0.15">
      <c r="A308" s="6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</row>
    <row r="309" spans="1:21" ht="13" x14ac:dyDescent="0.15">
      <c r="A309" s="6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</row>
    <row r="310" spans="1:21" ht="13" x14ac:dyDescent="0.15">
      <c r="A310" s="6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</row>
    <row r="311" spans="1:21" ht="13" x14ac:dyDescent="0.15">
      <c r="A311" s="6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</row>
    <row r="312" spans="1:21" ht="13" x14ac:dyDescent="0.15">
      <c r="A312" s="6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</row>
    <row r="313" spans="1:21" ht="13" x14ac:dyDescent="0.15">
      <c r="A313" s="6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</row>
    <row r="314" spans="1:21" ht="13" x14ac:dyDescent="0.15">
      <c r="A314" s="6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</row>
    <row r="315" spans="1:21" ht="13" x14ac:dyDescent="0.15">
      <c r="A315" s="6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</row>
    <row r="316" spans="1:21" ht="13" x14ac:dyDescent="0.15">
      <c r="A316" s="6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</row>
    <row r="317" spans="1:21" ht="13" x14ac:dyDescent="0.15">
      <c r="A317" s="6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</row>
    <row r="318" spans="1:21" ht="13" x14ac:dyDescent="0.15">
      <c r="A318" s="6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</row>
    <row r="319" spans="1:21" ht="13" x14ac:dyDescent="0.15">
      <c r="A319" s="6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</row>
    <row r="320" spans="1:21" ht="13" x14ac:dyDescent="0.15">
      <c r="A320" s="6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</row>
    <row r="321" spans="1:21" ht="13" x14ac:dyDescent="0.15">
      <c r="A321" s="6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</row>
    <row r="322" spans="1:21" ht="13" x14ac:dyDescent="0.15">
      <c r="A322" s="6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</row>
    <row r="323" spans="1:21" ht="13" x14ac:dyDescent="0.15">
      <c r="A323" s="6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</row>
    <row r="324" spans="1:21" ht="13" x14ac:dyDescent="0.15">
      <c r="A324" s="6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</row>
    <row r="325" spans="1:21" ht="13" x14ac:dyDescent="0.15">
      <c r="A325" s="6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</row>
    <row r="326" spans="1:21" ht="13" x14ac:dyDescent="0.15">
      <c r="A326" s="6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</row>
    <row r="327" spans="1:21" ht="13" x14ac:dyDescent="0.15">
      <c r="A327" s="6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</row>
    <row r="328" spans="1:21" ht="13" x14ac:dyDescent="0.15">
      <c r="A328" s="6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</row>
    <row r="329" spans="1:21" ht="13" x14ac:dyDescent="0.15">
      <c r="A329" s="6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</row>
    <row r="330" spans="1:21" ht="13" x14ac:dyDescent="0.15">
      <c r="A330" s="6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</row>
    <row r="331" spans="1:21" ht="13" x14ac:dyDescent="0.15">
      <c r="A331" s="6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</row>
    <row r="332" spans="1:21" ht="13" x14ac:dyDescent="0.15">
      <c r="A332" s="6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</row>
    <row r="333" spans="1:21" ht="13" x14ac:dyDescent="0.15">
      <c r="A333" s="6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</row>
    <row r="334" spans="1:21" ht="13" x14ac:dyDescent="0.15">
      <c r="A334" s="6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</row>
    <row r="335" spans="1:21" ht="13" x14ac:dyDescent="0.15">
      <c r="A335" s="6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</row>
    <row r="336" spans="1:21" ht="13" x14ac:dyDescent="0.15">
      <c r="A336" s="6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</row>
    <row r="337" spans="1:21" ht="13" x14ac:dyDescent="0.15">
      <c r="A337" s="6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</row>
    <row r="338" spans="1:21" ht="13" x14ac:dyDescent="0.15">
      <c r="A338" s="6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</row>
    <row r="339" spans="1:21" ht="13" x14ac:dyDescent="0.15">
      <c r="A339" s="6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</row>
    <row r="340" spans="1:21" ht="13" x14ac:dyDescent="0.15">
      <c r="A340" s="6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</row>
    <row r="341" spans="1:21" ht="13" x14ac:dyDescent="0.15">
      <c r="A341" s="6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</row>
    <row r="342" spans="1:21" ht="13" x14ac:dyDescent="0.15">
      <c r="A342" s="6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</row>
    <row r="343" spans="1:21" ht="13" x14ac:dyDescent="0.15">
      <c r="A343" s="6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</row>
    <row r="344" spans="1:21" ht="13" x14ac:dyDescent="0.15">
      <c r="A344" s="6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</row>
    <row r="345" spans="1:21" ht="13" x14ac:dyDescent="0.15">
      <c r="A345" s="6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</row>
    <row r="346" spans="1:21" ht="13" x14ac:dyDescent="0.15">
      <c r="A346" s="6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</row>
    <row r="347" spans="1:21" ht="13" x14ac:dyDescent="0.15">
      <c r="A347" s="6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</row>
    <row r="348" spans="1:21" ht="13" x14ac:dyDescent="0.15">
      <c r="A348" s="6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</row>
    <row r="349" spans="1:21" ht="13" x14ac:dyDescent="0.15">
      <c r="A349" s="6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</row>
    <row r="350" spans="1:21" ht="13" x14ac:dyDescent="0.15">
      <c r="A350" s="6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</row>
    <row r="351" spans="1:21" ht="13" x14ac:dyDescent="0.15">
      <c r="A351" s="6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</row>
    <row r="352" spans="1:21" ht="13" x14ac:dyDescent="0.15">
      <c r="A352" s="6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</row>
    <row r="353" spans="1:21" ht="13" x14ac:dyDescent="0.15">
      <c r="A353" s="6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</row>
    <row r="354" spans="1:21" ht="13" x14ac:dyDescent="0.15">
      <c r="A354" s="6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</row>
    <row r="355" spans="1:21" ht="13" x14ac:dyDescent="0.15">
      <c r="A355" s="6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</row>
    <row r="356" spans="1:21" ht="13" x14ac:dyDescent="0.15">
      <c r="A356" s="6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</row>
    <row r="357" spans="1:21" ht="13" x14ac:dyDescent="0.15">
      <c r="A357" s="6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</row>
    <row r="358" spans="1:21" ht="13" x14ac:dyDescent="0.15">
      <c r="A358" s="6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</row>
    <row r="359" spans="1:21" ht="13" x14ac:dyDescent="0.15">
      <c r="A359" s="6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</row>
    <row r="360" spans="1:21" ht="13" x14ac:dyDescent="0.15">
      <c r="A360" s="6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</row>
    <row r="361" spans="1:21" ht="13" x14ac:dyDescent="0.15">
      <c r="A361" s="6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</row>
    <row r="362" spans="1:21" ht="13" x14ac:dyDescent="0.15">
      <c r="A362" s="6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</row>
    <row r="363" spans="1:21" ht="13" x14ac:dyDescent="0.15">
      <c r="A363" s="6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</row>
    <row r="364" spans="1:21" ht="13" x14ac:dyDescent="0.15">
      <c r="A364" s="6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</row>
    <row r="365" spans="1:21" ht="13" x14ac:dyDescent="0.15">
      <c r="A365" s="6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</row>
    <row r="366" spans="1:21" ht="13" x14ac:dyDescent="0.15">
      <c r="A366" s="6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</row>
    <row r="367" spans="1:21" ht="13" x14ac:dyDescent="0.15">
      <c r="A367" s="6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</row>
    <row r="368" spans="1:21" ht="13" x14ac:dyDescent="0.15">
      <c r="A368" s="6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</row>
    <row r="369" spans="1:21" ht="13" x14ac:dyDescent="0.15">
      <c r="A369" s="6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</row>
    <row r="370" spans="1:21" ht="13" x14ac:dyDescent="0.15">
      <c r="A370" s="6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</row>
    <row r="371" spans="1:21" ht="13" x14ac:dyDescent="0.15">
      <c r="A371" s="6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</row>
    <row r="372" spans="1:21" ht="13" x14ac:dyDescent="0.15">
      <c r="A372" s="6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</row>
    <row r="373" spans="1:21" ht="13" x14ac:dyDescent="0.15">
      <c r="A373" s="6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</row>
    <row r="374" spans="1:21" ht="13" x14ac:dyDescent="0.15">
      <c r="A374" s="6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</row>
    <row r="375" spans="1:21" ht="13" x14ac:dyDescent="0.15">
      <c r="A375" s="6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</row>
    <row r="376" spans="1:21" ht="13" x14ac:dyDescent="0.15">
      <c r="A376" s="6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</row>
    <row r="377" spans="1:21" ht="13" x14ac:dyDescent="0.15">
      <c r="A377" s="6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</row>
    <row r="378" spans="1:21" ht="13" x14ac:dyDescent="0.15">
      <c r="A378" s="6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</row>
    <row r="379" spans="1:21" ht="13" x14ac:dyDescent="0.15">
      <c r="A379" s="6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</row>
    <row r="380" spans="1:21" ht="13" x14ac:dyDescent="0.15">
      <c r="A380" s="6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</row>
    <row r="381" spans="1:21" ht="13" x14ac:dyDescent="0.15">
      <c r="A381" s="6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</row>
    <row r="382" spans="1:21" ht="13" x14ac:dyDescent="0.15">
      <c r="A382" s="6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</row>
    <row r="383" spans="1:21" ht="13" x14ac:dyDescent="0.15">
      <c r="A383" s="6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</row>
    <row r="384" spans="1:21" ht="13" x14ac:dyDescent="0.15">
      <c r="A384" s="6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</row>
    <row r="385" spans="1:21" ht="13" x14ac:dyDescent="0.15">
      <c r="A385" s="6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</row>
    <row r="386" spans="1:21" ht="13" x14ac:dyDescent="0.15">
      <c r="A386" s="6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</row>
    <row r="387" spans="1:21" ht="13" x14ac:dyDescent="0.15">
      <c r="A387" s="6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</row>
    <row r="388" spans="1:21" ht="13" x14ac:dyDescent="0.15">
      <c r="A388" s="6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</row>
    <row r="389" spans="1:21" ht="13" x14ac:dyDescent="0.15">
      <c r="A389" s="6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</row>
    <row r="390" spans="1:21" ht="13" x14ac:dyDescent="0.15">
      <c r="A390" s="6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</row>
    <row r="391" spans="1:21" ht="13" x14ac:dyDescent="0.15">
      <c r="A391" s="6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</row>
    <row r="392" spans="1:21" ht="13" x14ac:dyDescent="0.15">
      <c r="A392" s="6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</row>
    <row r="393" spans="1:21" ht="13" x14ac:dyDescent="0.15">
      <c r="A393" s="6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</row>
    <row r="394" spans="1:21" ht="13" x14ac:dyDescent="0.15">
      <c r="A394" s="6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</row>
    <row r="395" spans="1:21" ht="13" x14ac:dyDescent="0.15">
      <c r="A395" s="6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</row>
    <row r="396" spans="1:21" ht="13" x14ac:dyDescent="0.15">
      <c r="A396" s="6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</row>
    <row r="397" spans="1:21" ht="13" x14ac:dyDescent="0.15">
      <c r="A397" s="6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</row>
    <row r="398" spans="1:21" ht="13" x14ac:dyDescent="0.15">
      <c r="A398" s="6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</row>
    <row r="399" spans="1:21" ht="13" x14ac:dyDescent="0.15">
      <c r="A399" s="6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</row>
    <row r="400" spans="1:21" ht="13" x14ac:dyDescent="0.15">
      <c r="A400" s="6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</row>
    <row r="401" spans="1:21" ht="13" x14ac:dyDescent="0.15">
      <c r="A401" s="6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</row>
    <row r="402" spans="1:21" ht="13" x14ac:dyDescent="0.15">
      <c r="A402" s="6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</row>
    <row r="403" spans="1:21" ht="13" x14ac:dyDescent="0.15">
      <c r="A403" s="6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</row>
    <row r="404" spans="1:21" ht="13" x14ac:dyDescent="0.15">
      <c r="A404" s="6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</row>
    <row r="405" spans="1:21" ht="13" x14ac:dyDescent="0.15">
      <c r="A405" s="6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</row>
    <row r="406" spans="1:21" ht="13" x14ac:dyDescent="0.15">
      <c r="A406" s="6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</row>
    <row r="407" spans="1:21" ht="13" x14ac:dyDescent="0.15">
      <c r="A407" s="6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</row>
    <row r="408" spans="1:21" ht="13" x14ac:dyDescent="0.15">
      <c r="A408" s="6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</row>
    <row r="409" spans="1:21" ht="13" x14ac:dyDescent="0.15">
      <c r="A409" s="6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</row>
    <row r="410" spans="1:21" ht="13" x14ac:dyDescent="0.15">
      <c r="A410" s="6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</row>
    <row r="411" spans="1:21" ht="13" x14ac:dyDescent="0.15">
      <c r="A411" s="6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</row>
    <row r="412" spans="1:21" ht="13" x14ac:dyDescent="0.15">
      <c r="A412" s="6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</row>
    <row r="413" spans="1:21" ht="13" x14ac:dyDescent="0.15">
      <c r="A413" s="6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</row>
    <row r="414" spans="1:21" ht="13" x14ac:dyDescent="0.15">
      <c r="A414" s="6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</row>
    <row r="415" spans="1:21" ht="13" x14ac:dyDescent="0.15">
      <c r="A415" s="6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</row>
    <row r="416" spans="1:21" ht="13" x14ac:dyDescent="0.15">
      <c r="A416" s="6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</row>
    <row r="417" spans="1:21" ht="13" x14ac:dyDescent="0.15">
      <c r="A417" s="6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</row>
    <row r="418" spans="1:21" ht="13" x14ac:dyDescent="0.15">
      <c r="A418" s="6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</row>
    <row r="419" spans="1:21" ht="13" x14ac:dyDescent="0.15">
      <c r="A419" s="6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</row>
    <row r="420" spans="1:21" ht="13" x14ac:dyDescent="0.15">
      <c r="A420" s="6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</row>
    <row r="421" spans="1:21" ht="13" x14ac:dyDescent="0.15">
      <c r="A421" s="6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</row>
    <row r="422" spans="1:21" ht="13" x14ac:dyDescent="0.15">
      <c r="A422" s="6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</row>
    <row r="423" spans="1:21" ht="13" x14ac:dyDescent="0.15">
      <c r="A423" s="6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</row>
    <row r="424" spans="1:21" ht="13" x14ac:dyDescent="0.15">
      <c r="A424" s="6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</row>
    <row r="425" spans="1:21" ht="13" x14ac:dyDescent="0.15">
      <c r="A425" s="6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</row>
    <row r="426" spans="1:21" ht="13" x14ac:dyDescent="0.15">
      <c r="A426" s="6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</row>
    <row r="427" spans="1:21" ht="13" x14ac:dyDescent="0.15">
      <c r="A427" s="6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</row>
    <row r="428" spans="1:21" ht="13" x14ac:dyDescent="0.15">
      <c r="A428" s="6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</row>
    <row r="429" spans="1:21" ht="13" x14ac:dyDescent="0.15">
      <c r="A429" s="6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</row>
    <row r="430" spans="1:21" ht="13" x14ac:dyDescent="0.15">
      <c r="A430" s="6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</row>
    <row r="431" spans="1:21" ht="13" x14ac:dyDescent="0.15">
      <c r="A431" s="6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</row>
    <row r="432" spans="1:21" ht="13" x14ac:dyDescent="0.15">
      <c r="A432" s="6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</row>
    <row r="433" spans="1:21" ht="13" x14ac:dyDescent="0.15">
      <c r="A433" s="6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</row>
    <row r="434" spans="1:21" ht="13" x14ac:dyDescent="0.15">
      <c r="A434" s="6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</row>
    <row r="435" spans="1:21" ht="13" x14ac:dyDescent="0.15">
      <c r="A435" s="6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</row>
    <row r="436" spans="1:21" ht="13" x14ac:dyDescent="0.15">
      <c r="A436" s="6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</row>
    <row r="437" spans="1:21" ht="13" x14ac:dyDescent="0.15">
      <c r="A437" s="6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</row>
    <row r="438" spans="1:21" ht="13" x14ac:dyDescent="0.15">
      <c r="A438" s="6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</row>
    <row r="439" spans="1:21" ht="13" x14ac:dyDescent="0.15">
      <c r="A439" s="6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</row>
    <row r="440" spans="1:21" ht="13" x14ac:dyDescent="0.15">
      <c r="A440" s="6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</row>
    <row r="441" spans="1:21" ht="13" x14ac:dyDescent="0.15">
      <c r="A441" s="6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</row>
    <row r="442" spans="1:21" ht="13" x14ac:dyDescent="0.15">
      <c r="A442" s="6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</row>
    <row r="443" spans="1:21" ht="13" x14ac:dyDescent="0.15">
      <c r="A443" s="6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</row>
    <row r="444" spans="1:21" ht="13" x14ac:dyDescent="0.15">
      <c r="A444" s="6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</row>
    <row r="445" spans="1:21" ht="13" x14ac:dyDescent="0.15">
      <c r="A445" s="6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</row>
    <row r="446" spans="1:21" ht="13" x14ac:dyDescent="0.15">
      <c r="A446" s="6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</row>
    <row r="447" spans="1:21" ht="13" x14ac:dyDescent="0.15">
      <c r="A447" s="6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</row>
    <row r="448" spans="1:21" ht="13" x14ac:dyDescent="0.15">
      <c r="A448" s="6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</row>
    <row r="449" spans="1:21" ht="13" x14ac:dyDescent="0.15">
      <c r="A449" s="6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</row>
    <row r="450" spans="1:21" ht="13" x14ac:dyDescent="0.15">
      <c r="A450" s="6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</row>
    <row r="451" spans="1:21" ht="13" x14ac:dyDescent="0.15">
      <c r="A451" s="6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</row>
    <row r="452" spans="1:21" ht="13" x14ac:dyDescent="0.15">
      <c r="A452" s="6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</row>
    <row r="453" spans="1:21" ht="13" x14ac:dyDescent="0.15">
      <c r="A453" s="6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</row>
    <row r="454" spans="1:21" ht="13" x14ac:dyDescent="0.15">
      <c r="A454" s="6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</row>
    <row r="455" spans="1:21" ht="13" x14ac:dyDescent="0.15">
      <c r="A455" s="6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</row>
    <row r="456" spans="1:21" ht="13" x14ac:dyDescent="0.15">
      <c r="A456" s="6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</row>
    <row r="457" spans="1:21" ht="13" x14ac:dyDescent="0.15">
      <c r="A457" s="6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</row>
    <row r="458" spans="1:21" ht="13" x14ac:dyDescent="0.15">
      <c r="A458" s="6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</row>
    <row r="459" spans="1:21" ht="13" x14ac:dyDescent="0.15">
      <c r="A459" s="6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</row>
    <row r="460" spans="1:21" ht="13" x14ac:dyDescent="0.15">
      <c r="A460" s="6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</row>
    <row r="461" spans="1:21" ht="13" x14ac:dyDescent="0.15">
      <c r="A461" s="6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</row>
    <row r="462" spans="1:21" ht="13" x14ac:dyDescent="0.15">
      <c r="A462" s="6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</row>
    <row r="463" spans="1:21" ht="13" x14ac:dyDescent="0.15">
      <c r="A463" s="6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</row>
    <row r="464" spans="1:21" ht="13" x14ac:dyDescent="0.15">
      <c r="A464" s="6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</row>
    <row r="465" spans="1:21" ht="13" x14ac:dyDescent="0.15">
      <c r="A465" s="6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</row>
    <row r="466" spans="1:21" ht="13" x14ac:dyDescent="0.15">
      <c r="A466" s="6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</row>
    <row r="467" spans="1:21" ht="13" x14ac:dyDescent="0.15">
      <c r="A467" s="6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</row>
    <row r="468" spans="1:21" ht="13" x14ac:dyDescent="0.15">
      <c r="A468" s="6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</row>
    <row r="469" spans="1:21" ht="13" x14ac:dyDescent="0.15">
      <c r="A469" s="6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</row>
    <row r="470" spans="1:21" ht="13" x14ac:dyDescent="0.15">
      <c r="A470" s="6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</row>
    <row r="471" spans="1:21" ht="13" x14ac:dyDescent="0.15">
      <c r="A471" s="6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</row>
    <row r="472" spans="1:21" ht="13" x14ac:dyDescent="0.15">
      <c r="A472" s="6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</row>
    <row r="473" spans="1:21" ht="13" x14ac:dyDescent="0.15">
      <c r="A473" s="6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</row>
    <row r="474" spans="1:21" ht="13" x14ac:dyDescent="0.15">
      <c r="A474" s="6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</row>
    <row r="475" spans="1:21" ht="13" x14ac:dyDescent="0.15">
      <c r="A475" s="6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</row>
    <row r="476" spans="1:21" ht="13" x14ac:dyDescent="0.15">
      <c r="A476" s="6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</row>
    <row r="477" spans="1:21" ht="13" x14ac:dyDescent="0.15">
      <c r="A477" s="6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</row>
    <row r="478" spans="1:21" ht="13" x14ac:dyDescent="0.15">
      <c r="A478" s="6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</row>
    <row r="479" spans="1:21" ht="13" x14ac:dyDescent="0.15">
      <c r="A479" s="6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</row>
    <row r="480" spans="1:21" ht="13" x14ac:dyDescent="0.15">
      <c r="A480" s="6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</row>
    <row r="481" spans="1:21" ht="13" x14ac:dyDescent="0.15">
      <c r="A481" s="6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</row>
    <row r="482" spans="1:21" ht="13" x14ac:dyDescent="0.15">
      <c r="A482" s="6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</row>
    <row r="483" spans="1:21" ht="13" x14ac:dyDescent="0.15">
      <c r="A483" s="6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</row>
    <row r="484" spans="1:21" ht="13" x14ac:dyDescent="0.15">
      <c r="A484" s="6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</row>
    <row r="485" spans="1:21" ht="13" x14ac:dyDescent="0.15">
      <c r="A485" s="6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</row>
    <row r="486" spans="1:21" ht="13" x14ac:dyDescent="0.15">
      <c r="A486" s="6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</row>
    <row r="487" spans="1:21" ht="13" x14ac:dyDescent="0.15">
      <c r="A487" s="6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</row>
    <row r="488" spans="1:21" ht="13" x14ac:dyDescent="0.15">
      <c r="A488" s="6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</row>
    <row r="489" spans="1:21" ht="13" x14ac:dyDescent="0.15">
      <c r="A489" s="6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</row>
    <row r="490" spans="1:21" ht="13" x14ac:dyDescent="0.15">
      <c r="A490" s="6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</row>
    <row r="491" spans="1:21" ht="13" x14ac:dyDescent="0.15">
      <c r="A491" s="6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</row>
    <row r="492" spans="1:21" ht="13" x14ac:dyDescent="0.15">
      <c r="A492" s="6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</row>
    <row r="493" spans="1:21" ht="13" x14ac:dyDescent="0.15">
      <c r="A493" s="6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</row>
    <row r="494" spans="1:21" ht="13" x14ac:dyDescent="0.15">
      <c r="A494" s="6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</row>
    <row r="495" spans="1:21" ht="13" x14ac:dyDescent="0.15">
      <c r="A495" s="6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</row>
    <row r="496" spans="1:21" ht="13" x14ac:dyDescent="0.15">
      <c r="A496" s="6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</row>
    <row r="497" spans="1:21" ht="13" x14ac:dyDescent="0.15">
      <c r="A497" s="6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</row>
    <row r="498" spans="1:21" ht="13" x14ac:dyDescent="0.15">
      <c r="A498" s="6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</row>
    <row r="499" spans="1:21" ht="13" x14ac:dyDescent="0.15">
      <c r="A499" s="6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</row>
    <row r="500" spans="1:21" ht="13" x14ac:dyDescent="0.15">
      <c r="A500" s="6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</row>
    <row r="501" spans="1:21" ht="13" x14ac:dyDescent="0.15">
      <c r="A501" s="6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</row>
    <row r="502" spans="1:21" ht="13" x14ac:dyDescent="0.15">
      <c r="A502" s="6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</row>
    <row r="503" spans="1:21" ht="13" x14ac:dyDescent="0.15">
      <c r="A503" s="6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</row>
    <row r="504" spans="1:21" ht="13" x14ac:dyDescent="0.15">
      <c r="A504" s="6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</row>
    <row r="505" spans="1:21" ht="13" x14ac:dyDescent="0.15">
      <c r="A505" s="6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</row>
    <row r="506" spans="1:21" ht="13" x14ac:dyDescent="0.15">
      <c r="A506" s="6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</row>
    <row r="507" spans="1:21" ht="13" x14ac:dyDescent="0.15">
      <c r="A507" s="6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</row>
    <row r="508" spans="1:21" ht="13" x14ac:dyDescent="0.15">
      <c r="A508" s="6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</row>
    <row r="509" spans="1:21" ht="13" x14ac:dyDescent="0.15">
      <c r="A509" s="6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</row>
    <row r="510" spans="1:21" ht="13" x14ac:dyDescent="0.15">
      <c r="A510" s="6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</row>
    <row r="511" spans="1:21" ht="13" x14ac:dyDescent="0.15">
      <c r="A511" s="6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</row>
    <row r="512" spans="1:21" ht="13" x14ac:dyDescent="0.15">
      <c r="A512" s="6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</row>
    <row r="513" spans="1:21" ht="13" x14ac:dyDescent="0.15">
      <c r="A513" s="6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</row>
    <row r="514" spans="1:21" ht="13" x14ac:dyDescent="0.15">
      <c r="A514" s="6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</row>
    <row r="515" spans="1:21" ht="13" x14ac:dyDescent="0.15">
      <c r="A515" s="6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</row>
    <row r="516" spans="1:21" ht="13" x14ac:dyDescent="0.15">
      <c r="A516" s="6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</row>
    <row r="517" spans="1:21" ht="13" x14ac:dyDescent="0.15">
      <c r="A517" s="6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</row>
    <row r="518" spans="1:21" ht="13" x14ac:dyDescent="0.15">
      <c r="A518" s="6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</row>
    <row r="519" spans="1:21" ht="13" x14ac:dyDescent="0.15">
      <c r="A519" s="6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</row>
    <row r="520" spans="1:21" ht="13" x14ac:dyDescent="0.15">
      <c r="A520" s="6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</row>
    <row r="521" spans="1:21" ht="13" x14ac:dyDescent="0.15">
      <c r="A521" s="6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</row>
    <row r="522" spans="1:21" ht="13" x14ac:dyDescent="0.15">
      <c r="A522" s="6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</row>
    <row r="523" spans="1:21" ht="13" x14ac:dyDescent="0.15">
      <c r="A523" s="6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</row>
    <row r="524" spans="1:21" ht="13" x14ac:dyDescent="0.15">
      <c r="A524" s="6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</row>
    <row r="525" spans="1:21" ht="13" x14ac:dyDescent="0.15">
      <c r="A525" s="6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</row>
    <row r="526" spans="1:21" ht="13" x14ac:dyDescent="0.15">
      <c r="A526" s="6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</row>
    <row r="527" spans="1:21" ht="13" x14ac:dyDescent="0.15">
      <c r="A527" s="6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</row>
    <row r="528" spans="1:21" ht="13" x14ac:dyDescent="0.15">
      <c r="A528" s="6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</row>
    <row r="529" spans="1:21" ht="13" x14ac:dyDescent="0.15">
      <c r="A529" s="6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</row>
    <row r="530" spans="1:21" ht="13" x14ac:dyDescent="0.15">
      <c r="A530" s="6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</row>
    <row r="531" spans="1:21" ht="13" x14ac:dyDescent="0.15">
      <c r="A531" s="6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</row>
    <row r="532" spans="1:21" ht="13" x14ac:dyDescent="0.15">
      <c r="A532" s="6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</row>
    <row r="533" spans="1:21" ht="13" x14ac:dyDescent="0.15">
      <c r="A533" s="6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</row>
    <row r="534" spans="1:21" ht="13" x14ac:dyDescent="0.15">
      <c r="A534" s="6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</row>
    <row r="535" spans="1:21" ht="13" x14ac:dyDescent="0.15">
      <c r="A535" s="6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</row>
    <row r="536" spans="1:21" ht="13" x14ac:dyDescent="0.15">
      <c r="A536" s="6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</row>
    <row r="537" spans="1:21" ht="13" x14ac:dyDescent="0.15">
      <c r="A537" s="6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</row>
    <row r="538" spans="1:21" ht="13" x14ac:dyDescent="0.15">
      <c r="A538" s="6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</row>
    <row r="539" spans="1:21" ht="13" x14ac:dyDescent="0.15">
      <c r="A539" s="6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</row>
    <row r="540" spans="1:21" ht="13" x14ac:dyDescent="0.15">
      <c r="A540" s="6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</row>
    <row r="541" spans="1:21" ht="13" x14ac:dyDescent="0.15">
      <c r="A541" s="6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</row>
    <row r="542" spans="1:21" ht="13" x14ac:dyDescent="0.15">
      <c r="A542" s="6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</row>
    <row r="543" spans="1:21" ht="13" x14ac:dyDescent="0.15">
      <c r="A543" s="6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</row>
    <row r="544" spans="1:21" ht="13" x14ac:dyDescent="0.15">
      <c r="A544" s="6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</row>
    <row r="545" spans="1:21" ht="13" x14ac:dyDescent="0.15">
      <c r="A545" s="6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</row>
    <row r="546" spans="1:21" ht="13" x14ac:dyDescent="0.15">
      <c r="A546" s="6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</row>
    <row r="547" spans="1:21" ht="13" x14ac:dyDescent="0.15">
      <c r="A547" s="6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</row>
    <row r="548" spans="1:21" ht="13" x14ac:dyDescent="0.15">
      <c r="A548" s="6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</row>
    <row r="549" spans="1:21" ht="13" x14ac:dyDescent="0.15">
      <c r="A549" s="6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</row>
    <row r="550" spans="1:21" ht="13" x14ac:dyDescent="0.15">
      <c r="A550" s="6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</row>
    <row r="551" spans="1:21" ht="13" x14ac:dyDescent="0.15">
      <c r="A551" s="6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</row>
    <row r="552" spans="1:21" ht="13" x14ac:dyDescent="0.15">
      <c r="A552" s="6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</row>
    <row r="553" spans="1:21" ht="13" x14ac:dyDescent="0.15">
      <c r="A553" s="6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</row>
    <row r="554" spans="1:21" ht="13" x14ac:dyDescent="0.15">
      <c r="A554" s="6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</row>
    <row r="555" spans="1:21" ht="13" x14ac:dyDescent="0.15">
      <c r="A555" s="6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</row>
    <row r="556" spans="1:21" ht="13" x14ac:dyDescent="0.15">
      <c r="A556" s="6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</row>
    <row r="557" spans="1:21" ht="13" x14ac:dyDescent="0.15">
      <c r="A557" s="6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</row>
    <row r="558" spans="1:21" ht="13" x14ac:dyDescent="0.15">
      <c r="A558" s="6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</row>
    <row r="559" spans="1:21" ht="13" x14ac:dyDescent="0.15">
      <c r="A559" s="6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</row>
    <row r="560" spans="1:21" ht="13" x14ac:dyDescent="0.15">
      <c r="A560" s="6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</row>
    <row r="561" spans="1:21" ht="13" x14ac:dyDescent="0.15">
      <c r="A561" s="6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</row>
    <row r="562" spans="1:21" ht="13" x14ac:dyDescent="0.15">
      <c r="A562" s="6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</row>
    <row r="563" spans="1:21" ht="13" x14ac:dyDescent="0.15">
      <c r="A563" s="6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</row>
    <row r="564" spans="1:21" ht="13" x14ac:dyDescent="0.15">
      <c r="A564" s="6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</row>
    <row r="565" spans="1:21" ht="13" x14ac:dyDescent="0.15">
      <c r="A565" s="6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</row>
    <row r="566" spans="1:21" ht="13" x14ac:dyDescent="0.15">
      <c r="A566" s="6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</row>
    <row r="567" spans="1:21" ht="13" x14ac:dyDescent="0.15">
      <c r="A567" s="6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</row>
    <row r="568" spans="1:21" ht="13" x14ac:dyDescent="0.15">
      <c r="A568" s="6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</row>
    <row r="569" spans="1:21" ht="13" x14ac:dyDescent="0.15">
      <c r="A569" s="6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</row>
    <row r="570" spans="1:21" ht="13" x14ac:dyDescent="0.15">
      <c r="A570" s="6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</row>
    <row r="571" spans="1:21" ht="13" x14ac:dyDescent="0.15">
      <c r="A571" s="6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</row>
    <row r="572" spans="1:21" ht="13" x14ac:dyDescent="0.15">
      <c r="A572" s="6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</row>
    <row r="573" spans="1:21" ht="13" x14ac:dyDescent="0.15">
      <c r="A573" s="6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</row>
    <row r="574" spans="1:21" ht="13" x14ac:dyDescent="0.15">
      <c r="A574" s="6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</row>
    <row r="575" spans="1:21" ht="13" x14ac:dyDescent="0.15">
      <c r="A575" s="6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</row>
    <row r="576" spans="1:21" ht="13" x14ac:dyDescent="0.15">
      <c r="A576" s="6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</row>
    <row r="577" spans="1:21" ht="13" x14ac:dyDescent="0.15">
      <c r="A577" s="6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</row>
    <row r="578" spans="1:21" ht="13" x14ac:dyDescent="0.15">
      <c r="A578" s="6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</row>
    <row r="579" spans="1:21" ht="13" x14ac:dyDescent="0.15">
      <c r="A579" s="6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</row>
    <row r="580" spans="1:21" ht="13" x14ac:dyDescent="0.15">
      <c r="A580" s="6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</row>
    <row r="581" spans="1:21" ht="13" x14ac:dyDescent="0.15">
      <c r="A581" s="6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</row>
    <row r="582" spans="1:21" ht="13" x14ac:dyDescent="0.15">
      <c r="A582" s="6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</row>
    <row r="583" spans="1:21" ht="13" x14ac:dyDescent="0.15">
      <c r="A583" s="6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</row>
    <row r="584" spans="1:21" ht="13" x14ac:dyDescent="0.15">
      <c r="A584" s="6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</row>
    <row r="585" spans="1:21" ht="13" x14ac:dyDescent="0.15">
      <c r="A585" s="6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</row>
    <row r="586" spans="1:21" ht="13" x14ac:dyDescent="0.15">
      <c r="A586" s="6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</row>
    <row r="587" spans="1:21" ht="13" x14ac:dyDescent="0.15">
      <c r="A587" s="6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</row>
    <row r="588" spans="1:21" ht="13" x14ac:dyDescent="0.15">
      <c r="A588" s="6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</row>
    <row r="589" spans="1:21" ht="13" x14ac:dyDescent="0.15">
      <c r="A589" s="6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</row>
    <row r="590" spans="1:21" ht="13" x14ac:dyDescent="0.15">
      <c r="A590" s="6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</row>
    <row r="591" spans="1:21" ht="13" x14ac:dyDescent="0.15">
      <c r="A591" s="6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</row>
    <row r="592" spans="1:21" ht="13" x14ac:dyDescent="0.15">
      <c r="A592" s="6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</row>
    <row r="593" spans="1:21" ht="13" x14ac:dyDescent="0.15">
      <c r="A593" s="6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</row>
    <row r="594" spans="1:21" ht="13" x14ac:dyDescent="0.15">
      <c r="A594" s="6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</row>
    <row r="595" spans="1:21" ht="13" x14ac:dyDescent="0.15">
      <c r="A595" s="6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</row>
    <row r="596" spans="1:21" ht="13" x14ac:dyDescent="0.15">
      <c r="A596" s="6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</row>
    <row r="597" spans="1:21" ht="13" x14ac:dyDescent="0.15">
      <c r="A597" s="6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</row>
    <row r="598" spans="1:21" ht="13" x14ac:dyDescent="0.15">
      <c r="A598" s="6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</row>
    <row r="599" spans="1:21" ht="13" x14ac:dyDescent="0.15">
      <c r="A599" s="6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</row>
    <row r="600" spans="1:21" ht="13" x14ac:dyDescent="0.15">
      <c r="A600" s="6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</row>
    <row r="601" spans="1:21" ht="13" x14ac:dyDescent="0.15">
      <c r="A601" s="6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</row>
    <row r="602" spans="1:21" ht="13" x14ac:dyDescent="0.15">
      <c r="A602" s="6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</row>
    <row r="603" spans="1:21" ht="13" x14ac:dyDescent="0.15">
      <c r="A603" s="6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</row>
    <row r="604" spans="1:21" ht="13" x14ac:dyDescent="0.15">
      <c r="A604" s="6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</row>
    <row r="605" spans="1:21" ht="13" x14ac:dyDescent="0.15">
      <c r="A605" s="6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</row>
    <row r="606" spans="1:21" ht="13" x14ac:dyDescent="0.15">
      <c r="A606" s="6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</row>
    <row r="607" spans="1:21" ht="13" x14ac:dyDescent="0.15">
      <c r="A607" s="6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</row>
    <row r="608" spans="1:21" ht="13" x14ac:dyDescent="0.15">
      <c r="A608" s="6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</row>
    <row r="609" spans="1:21" ht="13" x14ac:dyDescent="0.15">
      <c r="A609" s="6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</row>
    <row r="610" spans="1:21" ht="13" x14ac:dyDescent="0.15">
      <c r="A610" s="6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</row>
    <row r="611" spans="1:21" ht="13" x14ac:dyDescent="0.15">
      <c r="A611" s="6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</row>
    <row r="612" spans="1:21" ht="13" x14ac:dyDescent="0.15">
      <c r="A612" s="6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</row>
    <row r="613" spans="1:21" ht="13" x14ac:dyDescent="0.15">
      <c r="A613" s="6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</row>
    <row r="614" spans="1:21" ht="13" x14ac:dyDescent="0.15">
      <c r="A614" s="6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</row>
    <row r="615" spans="1:21" ht="13" x14ac:dyDescent="0.15">
      <c r="A615" s="6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</row>
    <row r="616" spans="1:21" ht="13" x14ac:dyDescent="0.15">
      <c r="A616" s="6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</row>
    <row r="617" spans="1:21" ht="13" x14ac:dyDescent="0.15">
      <c r="A617" s="6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</row>
    <row r="618" spans="1:21" ht="13" x14ac:dyDescent="0.15">
      <c r="A618" s="6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</row>
    <row r="619" spans="1:21" ht="13" x14ac:dyDescent="0.15">
      <c r="A619" s="6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</row>
    <row r="620" spans="1:21" ht="13" x14ac:dyDescent="0.15">
      <c r="A620" s="6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</row>
    <row r="621" spans="1:21" ht="13" x14ac:dyDescent="0.15">
      <c r="A621" s="6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</row>
    <row r="622" spans="1:21" ht="13" x14ac:dyDescent="0.15">
      <c r="A622" s="6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</row>
    <row r="623" spans="1:21" ht="13" x14ac:dyDescent="0.15">
      <c r="A623" s="6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</row>
    <row r="624" spans="1:21" ht="13" x14ac:dyDescent="0.15">
      <c r="A624" s="6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</row>
    <row r="625" spans="1:21" ht="13" x14ac:dyDescent="0.15">
      <c r="A625" s="6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</row>
    <row r="626" spans="1:21" ht="13" x14ac:dyDescent="0.15">
      <c r="A626" s="6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</row>
    <row r="627" spans="1:21" ht="13" x14ac:dyDescent="0.15">
      <c r="A627" s="6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</row>
    <row r="628" spans="1:21" ht="13" x14ac:dyDescent="0.15">
      <c r="A628" s="6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</row>
    <row r="629" spans="1:21" ht="13" x14ac:dyDescent="0.15">
      <c r="A629" s="6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</row>
    <row r="630" spans="1:21" ht="13" x14ac:dyDescent="0.15">
      <c r="A630" s="6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</row>
    <row r="631" spans="1:21" ht="13" x14ac:dyDescent="0.15">
      <c r="A631" s="6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</row>
    <row r="632" spans="1:21" ht="13" x14ac:dyDescent="0.15">
      <c r="A632" s="6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</row>
    <row r="633" spans="1:21" ht="13" x14ac:dyDescent="0.15">
      <c r="A633" s="6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</row>
    <row r="634" spans="1:21" ht="13" x14ac:dyDescent="0.15">
      <c r="A634" s="6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</row>
    <row r="635" spans="1:21" ht="13" x14ac:dyDescent="0.15">
      <c r="A635" s="6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</row>
    <row r="636" spans="1:21" ht="13" x14ac:dyDescent="0.15">
      <c r="A636" s="6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</row>
    <row r="637" spans="1:21" ht="13" x14ac:dyDescent="0.15">
      <c r="A637" s="6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</row>
    <row r="638" spans="1:21" ht="13" x14ac:dyDescent="0.15">
      <c r="A638" s="6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</row>
    <row r="639" spans="1:21" ht="13" x14ac:dyDescent="0.15">
      <c r="A639" s="6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</row>
    <row r="640" spans="1:21" ht="13" x14ac:dyDescent="0.15">
      <c r="A640" s="6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</row>
    <row r="641" spans="1:21" ht="13" x14ac:dyDescent="0.15">
      <c r="A641" s="6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</row>
    <row r="642" spans="1:21" ht="13" x14ac:dyDescent="0.15">
      <c r="A642" s="6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</row>
    <row r="643" spans="1:21" ht="13" x14ac:dyDescent="0.15">
      <c r="A643" s="6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</row>
    <row r="644" spans="1:21" ht="13" x14ac:dyDescent="0.15">
      <c r="A644" s="6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</row>
    <row r="645" spans="1:21" ht="13" x14ac:dyDescent="0.15">
      <c r="A645" s="6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</row>
    <row r="646" spans="1:21" ht="13" x14ac:dyDescent="0.15">
      <c r="A646" s="6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</row>
    <row r="647" spans="1:21" ht="13" x14ac:dyDescent="0.15">
      <c r="A647" s="6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</row>
    <row r="648" spans="1:21" ht="13" x14ac:dyDescent="0.15">
      <c r="A648" s="6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</row>
    <row r="649" spans="1:21" ht="13" x14ac:dyDescent="0.15">
      <c r="A649" s="6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</row>
    <row r="650" spans="1:21" ht="13" x14ac:dyDescent="0.15">
      <c r="A650" s="6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</row>
    <row r="651" spans="1:21" ht="13" x14ac:dyDescent="0.15">
      <c r="A651" s="6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</row>
    <row r="652" spans="1:21" ht="13" x14ac:dyDescent="0.15">
      <c r="A652" s="6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</row>
    <row r="653" spans="1:21" ht="13" x14ac:dyDescent="0.15">
      <c r="A653" s="6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</row>
    <row r="654" spans="1:21" ht="13" x14ac:dyDescent="0.15">
      <c r="A654" s="6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</row>
    <row r="655" spans="1:21" ht="13" x14ac:dyDescent="0.15">
      <c r="A655" s="6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</row>
    <row r="656" spans="1:21" ht="13" x14ac:dyDescent="0.15">
      <c r="A656" s="6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</row>
    <row r="657" spans="1:21" ht="13" x14ac:dyDescent="0.15">
      <c r="A657" s="6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</row>
    <row r="658" spans="1:21" ht="13" x14ac:dyDescent="0.15">
      <c r="A658" s="6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</row>
    <row r="659" spans="1:21" ht="13" x14ac:dyDescent="0.15">
      <c r="A659" s="6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</row>
    <row r="660" spans="1:21" ht="13" x14ac:dyDescent="0.15">
      <c r="A660" s="6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</row>
    <row r="661" spans="1:21" ht="13" x14ac:dyDescent="0.15">
      <c r="A661" s="6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</row>
    <row r="662" spans="1:21" ht="13" x14ac:dyDescent="0.15">
      <c r="A662" s="6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</row>
    <row r="663" spans="1:21" ht="13" x14ac:dyDescent="0.15">
      <c r="A663" s="6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</row>
    <row r="664" spans="1:21" ht="13" x14ac:dyDescent="0.15">
      <c r="A664" s="6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</row>
    <row r="665" spans="1:21" ht="13" x14ac:dyDescent="0.15">
      <c r="A665" s="6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</row>
    <row r="666" spans="1:21" ht="13" x14ac:dyDescent="0.15">
      <c r="A666" s="6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</row>
    <row r="667" spans="1:21" ht="13" x14ac:dyDescent="0.15">
      <c r="A667" s="6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</row>
    <row r="668" spans="1:21" ht="13" x14ac:dyDescent="0.15">
      <c r="A668" s="6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</row>
    <row r="669" spans="1:21" ht="13" x14ac:dyDescent="0.15">
      <c r="A669" s="6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</row>
    <row r="670" spans="1:21" ht="13" x14ac:dyDescent="0.15">
      <c r="A670" s="6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</row>
    <row r="671" spans="1:21" ht="13" x14ac:dyDescent="0.15">
      <c r="A671" s="6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</row>
    <row r="672" spans="1:21" ht="13" x14ac:dyDescent="0.15">
      <c r="A672" s="6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</row>
    <row r="673" spans="1:21" ht="13" x14ac:dyDescent="0.15">
      <c r="A673" s="6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</row>
    <row r="674" spans="1:21" ht="13" x14ac:dyDescent="0.15">
      <c r="A674" s="6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</row>
    <row r="675" spans="1:21" ht="13" x14ac:dyDescent="0.15">
      <c r="A675" s="62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</row>
    <row r="676" spans="1:21" ht="13" x14ac:dyDescent="0.15">
      <c r="A676" s="62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</row>
    <row r="677" spans="1:21" ht="13" x14ac:dyDescent="0.15">
      <c r="A677" s="62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</row>
    <row r="678" spans="1:21" ht="13" x14ac:dyDescent="0.15">
      <c r="A678" s="62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</row>
    <row r="679" spans="1:21" ht="13" x14ac:dyDescent="0.15">
      <c r="A679" s="62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</row>
    <row r="680" spans="1:21" ht="13" x14ac:dyDescent="0.15">
      <c r="A680" s="62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</row>
    <row r="681" spans="1:21" ht="13" x14ac:dyDescent="0.15">
      <c r="A681" s="62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</row>
    <row r="682" spans="1:21" ht="13" x14ac:dyDescent="0.15">
      <c r="A682" s="62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</row>
    <row r="683" spans="1:21" ht="13" x14ac:dyDescent="0.15">
      <c r="A683" s="62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</row>
    <row r="684" spans="1:21" ht="13" x14ac:dyDescent="0.15">
      <c r="A684" s="62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</row>
    <row r="685" spans="1:21" ht="13" x14ac:dyDescent="0.15">
      <c r="A685" s="62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</row>
    <row r="686" spans="1:21" ht="13" x14ac:dyDescent="0.15">
      <c r="A686" s="62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</row>
    <row r="687" spans="1:21" ht="13" x14ac:dyDescent="0.15">
      <c r="A687" s="62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</row>
    <row r="688" spans="1:21" ht="13" x14ac:dyDescent="0.15">
      <c r="A688" s="62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</row>
    <row r="689" spans="1:21" ht="13" x14ac:dyDescent="0.15">
      <c r="A689" s="62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</row>
    <row r="690" spans="1:21" ht="13" x14ac:dyDescent="0.15">
      <c r="A690" s="62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</row>
    <row r="691" spans="1:21" ht="13" x14ac:dyDescent="0.15">
      <c r="A691" s="62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</row>
    <row r="692" spans="1:21" ht="13" x14ac:dyDescent="0.15">
      <c r="A692" s="62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</row>
    <row r="693" spans="1:21" ht="13" x14ac:dyDescent="0.15">
      <c r="A693" s="62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</row>
    <row r="694" spans="1:21" ht="13" x14ac:dyDescent="0.15">
      <c r="A694" s="62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</row>
    <row r="695" spans="1:21" ht="13" x14ac:dyDescent="0.15">
      <c r="A695" s="62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</row>
    <row r="696" spans="1:21" ht="13" x14ac:dyDescent="0.15">
      <c r="A696" s="62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</row>
    <row r="697" spans="1:21" ht="13" x14ac:dyDescent="0.15">
      <c r="A697" s="62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</row>
    <row r="698" spans="1:21" ht="13" x14ac:dyDescent="0.15">
      <c r="A698" s="62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</row>
    <row r="699" spans="1:21" ht="13" x14ac:dyDescent="0.15">
      <c r="A699" s="62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</row>
    <row r="700" spans="1:21" ht="13" x14ac:dyDescent="0.15">
      <c r="A700" s="62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</row>
    <row r="701" spans="1:21" ht="13" x14ac:dyDescent="0.15">
      <c r="A701" s="62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</row>
    <row r="702" spans="1:21" ht="13" x14ac:dyDescent="0.15">
      <c r="A702" s="62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</row>
    <row r="703" spans="1:21" ht="13" x14ac:dyDescent="0.15">
      <c r="A703" s="62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</row>
    <row r="704" spans="1:21" ht="13" x14ac:dyDescent="0.15">
      <c r="A704" s="62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</row>
    <row r="705" spans="1:21" ht="13" x14ac:dyDescent="0.15">
      <c r="A705" s="62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</row>
    <row r="706" spans="1:21" ht="13" x14ac:dyDescent="0.15">
      <c r="A706" s="62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</row>
    <row r="707" spans="1:21" ht="13" x14ac:dyDescent="0.15">
      <c r="A707" s="62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</row>
    <row r="708" spans="1:21" ht="13" x14ac:dyDescent="0.15">
      <c r="A708" s="62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</row>
    <row r="709" spans="1:21" ht="13" x14ac:dyDescent="0.15">
      <c r="A709" s="62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</row>
    <row r="710" spans="1:21" ht="13" x14ac:dyDescent="0.15">
      <c r="A710" s="62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</row>
    <row r="711" spans="1:21" ht="13" x14ac:dyDescent="0.15">
      <c r="A711" s="62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</row>
    <row r="712" spans="1:21" ht="13" x14ac:dyDescent="0.15">
      <c r="A712" s="62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</row>
    <row r="713" spans="1:21" ht="13" x14ac:dyDescent="0.15">
      <c r="A713" s="62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</row>
    <row r="714" spans="1:21" ht="13" x14ac:dyDescent="0.15">
      <c r="A714" s="62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</row>
    <row r="715" spans="1:21" ht="13" x14ac:dyDescent="0.15">
      <c r="A715" s="62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</row>
    <row r="716" spans="1:21" ht="13" x14ac:dyDescent="0.15">
      <c r="A716" s="62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</row>
    <row r="717" spans="1:21" ht="13" x14ac:dyDescent="0.15">
      <c r="A717" s="62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</row>
    <row r="718" spans="1:21" ht="13" x14ac:dyDescent="0.15">
      <c r="A718" s="62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</row>
    <row r="719" spans="1:21" ht="13" x14ac:dyDescent="0.15">
      <c r="A719" s="62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</row>
    <row r="720" spans="1:21" ht="13" x14ac:dyDescent="0.15">
      <c r="A720" s="62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</row>
    <row r="721" spans="1:21" ht="13" x14ac:dyDescent="0.15">
      <c r="A721" s="62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</row>
    <row r="722" spans="1:21" ht="13" x14ac:dyDescent="0.15">
      <c r="A722" s="62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</row>
    <row r="723" spans="1:21" ht="13" x14ac:dyDescent="0.15">
      <c r="A723" s="62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</row>
    <row r="724" spans="1:21" ht="13" x14ac:dyDescent="0.15">
      <c r="A724" s="62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</row>
    <row r="725" spans="1:21" ht="13" x14ac:dyDescent="0.15">
      <c r="A725" s="62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</row>
    <row r="726" spans="1:21" ht="13" x14ac:dyDescent="0.15">
      <c r="A726" s="62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</row>
    <row r="727" spans="1:21" ht="13" x14ac:dyDescent="0.15">
      <c r="A727" s="62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</row>
    <row r="728" spans="1:21" ht="13" x14ac:dyDescent="0.15">
      <c r="A728" s="62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</row>
    <row r="729" spans="1:21" ht="13" x14ac:dyDescent="0.15">
      <c r="A729" s="62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</row>
    <row r="730" spans="1:21" ht="13" x14ac:dyDescent="0.15">
      <c r="A730" s="62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</row>
    <row r="731" spans="1:21" ht="13" x14ac:dyDescent="0.15">
      <c r="A731" s="62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</row>
    <row r="732" spans="1:21" ht="13" x14ac:dyDescent="0.15">
      <c r="A732" s="62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</row>
    <row r="733" spans="1:21" ht="13" x14ac:dyDescent="0.15">
      <c r="A733" s="62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</row>
    <row r="734" spans="1:21" ht="13" x14ac:dyDescent="0.15">
      <c r="A734" s="62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</row>
    <row r="735" spans="1:21" ht="13" x14ac:dyDescent="0.15">
      <c r="A735" s="62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</row>
    <row r="736" spans="1:21" ht="13" x14ac:dyDescent="0.15">
      <c r="A736" s="62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</row>
    <row r="737" spans="1:21" ht="13" x14ac:dyDescent="0.15">
      <c r="A737" s="62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</row>
    <row r="738" spans="1:21" ht="13" x14ac:dyDescent="0.15">
      <c r="A738" s="62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</row>
    <row r="739" spans="1:21" ht="13" x14ac:dyDescent="0.15">
      <c r="A739" s="62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</row>
    <row r="740" spans="1:21" ht="13" x14ac:dyDescent="0.15">
      <c r="A740" s="62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</row>
    <row r="741" spans="1:21" ht="13" x14ac:dyDescent="0.15">
      <c r="A741" s="62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</row>
    <row r="742" spans="1:21" ht="13" x14ac:dyDescent="0.15">
      <c r="A742" s="62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</row>
    <row r="743" spans="1:21" ht="13" x14ac:dyDescent="0.15">
      <c r="A743" s="62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</row>
    <row r="744" spans="1:21" ht="13" x14ac:dyDescent="0.15">
      <c r="A744" s="62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</row>
    <row r="745" spans="1:21" ht="13" x14ac:dyDescent="0.15">
      <c r="A745" s="62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</row>
    <row r="746" spans="1:21" ht="13" x14ac:dyDescent="0.15">
      <c r="A746" s="62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</row>
    <row r="747" spans="1:21" ht="13" x14ac:dyDescent="0.15">
      <c r="A747" s="62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</row>
    <row r="748" spans="1:21" ht="13" x14ac:dyDescent="0.15">
      <c r="A748" s="62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</row>
    <row r="749" spans="1:21" ht="13" x14ac:dyDescent="0.15">
      <c r="A749" s="62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</row>
    <row r="750" spans="1:21" ht="13" x14ac:dyDescent="0.15">
      <c r="A750" s="62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</row>
    <row r="751" spans="1:21" ht="13" x14ac:dyDescent="0.15">
      <c r="A751" s="62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</row>
    <row r="752" spans="1:21" ht="13" x14ac:dyDescent="0.15">
      <c r="A752" s="62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</row>
    <row r="753" spans="1:21" ht="13" x14ac:dyDescent="0.15">
      <c r="A753" s="62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</row>
    <row r="754" spans="1:21" ht="13" x14ac:dyDescent="0.15">
      <c r="A754" s="62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</row>
    <row r="755" spans="1:21" ht="13" x14ac:dyDescent="0.15">
      <c r="A755" s="62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</row>
    <row r="756" spans="1:21" ht="13" x14ac:dyDescent="0.15">
      <c r="A756" s="62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</row>
    <row r="757" spans="1:21" ht="13" x14ac:dyDescent="0.15">
      <c r="A757" s="62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</row>
    <row r="758" spans="1:21" ht="13" x14ac:dyDescent="0.15">
      <c r="A758" s="62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</row>
    <row r="759" spans="1:21" ht="13" x14ac:dyDescent="0.15">
      <c r="A759" s="62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</row>
    <row r="760" spans="1:21" ht="13" x14ac:dyDescent="0.15">
      <c r="A760" s="62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</row>
    <row r="761" spans="1:21" ht="13" x14ac:dyDescent="0.15">
      <c r="A761" s="62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</row>
    <row r="762" spans="1:21" ht="13" x14ac:dyDescent="0.15">
      <c r="A762" s="62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</row>
    <row r="763" spans="1:21" ht="13" x14ac:dyDescent="0.15">
      <c r="A763" s="62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</row>
    <row r="764" spans="1:21" ht="13" x14ac:dyDescent="0.15">
      <c r="A764" s="62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</row>
    <row r="765" spans="1:21" ht="13" x14ac:dyDescent="0.15">
      <c r="A765" s="62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</row>
    <row r="766" spans="1:21" ht="13" x14ac:dyDescent="0.15">
      <c r="A766" s="62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</row>
    <row r="767" spans="1:21" ht="13" x14ac:dyDescent="0.15">
      <c r="A767" s="62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</row>
    <row r="768" spans="1:21" ht="13" x14ac:dyDescent="0.15">
      <c r="A768" s="62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</row>
    <row r="769" spans="1:21" ht="13" x14ac:dyDescent="0.15">
      <c r="A769" s="62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</row>
    <row r="770" spans="1:21" ht="13" x14ac:dyDescent="0.15">
      <c r="A770" s="62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</row>
    <row r="771" spans="1:21" ht="13" x14ac:dyDescent="0.15">
      <c r="A771" s="62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</row>
    <row r="772" spans="1:21" ht="13" x14ac:dyDescent="0.15">
      <c r="A772" s="62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</row>
    <row r="773" spans="1:21" ht="13" x14ac:dyDescent="0.15">
      <c r="A773" s="62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</row>
    <row r="774" spans="1:21" ht="13" x14ac:dyDescent="0.15">
      <c r="A774" s="62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</row>
    <row r="775" spans="1:21" ht="13" x14ac:dyDescent="0.15">
      <c r="A775" s="62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</row>
    <row r="776" spans="1:21" ht="13" x14ac:dyDescent="0.15">
      <c r="A776" s="62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</row>
    <row r="777" spans="1:21" ht="13" x14ac:dyDescent="0.15">
      <c r="A777" s="62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</row>
    <row r="778" spans="1:21" ht="13" x14ac:dyDescent="0.15">
      <c r="A778" s="62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</row>
    <row r="779" spans="1:21" ht="13" x14ac:dyDescent="0.15">
      <c r="A779" s="62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</row>
    <row r="780" spans="1:21" ht="13" x14ac:dyDescent="0.15">
      <c r="A780" s="62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</row>
    <row r="781" spans="1:21" ht="13" x14ac:dyDescent="0.15">
      <c r="A781" s="62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</row>
    <row r="782" spans="1:21" ht="13" x14ac:dyDescent="0.15">
      <c r="A782" s="62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</row>
    <row r="783" spans="1:21" ht="13" x14ac:dyDescent="0.15">
      <c r="A783" s="62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</row>
    <row r="784" spans="1:21" ht="13" x14ac:dyDescent="0.15">
      <c r="A784" s="62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</row>
    <row r="785" spans="1:21" ht="13" x14ac:dyDescent="0.15">
      <c r="A785" s="62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</row>
    <row r="786" spans="1:21" ht="13" x14ac:dyDescent="0.15">
      <c r="A786" s="62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</row>
    <row r="787" spans="1:21" ht="13" x14ac:dyDescent="0.15">
      <c r="A787" s="62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</row>
    <row r="788" spans="1:21" ht="13" x14ac:dyDescent="0.15">
      <c r="A788" s="62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</row>
    <row r="789" spans="1:21" ht="13" x14ac:dyDescent="0.15">
      <c r="A789" s="62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</row>
    <row r="790" spans="1:21" ht="13" x14ac:dyDescent="0.15">
      <c r="A790" s="62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</row>
    <row r="791" spans="1:21" ht="13" x14ac:dyDescent="0.15">
      <c r="A791" s="62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</row>
    <row r="792" spans="1:21" ht="13" x14ac:dyDescent="0.15">
      <c r="A792" s="62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</row>
    <row r="793" spans="1:21" ht="13" x14ac:dyDescent="0.15">
      <c r="A793" s="62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</row>
    <row r="794" spans="1:21" ht="13" x14ac:dyDescent="0.15">
      <c r="A794" s="62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</row>
    <row r="795" spans="1:21" ht="13" x14ac:dyDescent="0.15">
      <c r="A795" s="62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</row>
    <row r="796" spans="1:21" ht="13" x14ac:dyDescent="0.15">
      <c r="A796" s="62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</row>
    <row r="797" spans="1:21" ht="13" x14ac:dyDescent="0.15">
      <c r="A797" s="62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</row>
    <row r="798" spans="1:21" ht="13" x14ac:dyDescent="0.15">
      <c r="A798" s="62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</row>
    <row r="799" spans="1:21" ht="13" x14ac:dyDescent="0.15">
      <c r="A799" s="62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</row>
    <row r="800" spans="1:21" ht="13" x14ac:dyDescent="0.15">
      <c r="A800" s="62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</row>
    <row r="801" spans="1:21" ht="13" x14ac:dyDescent="0.15">
      <c r="A801" s="62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</row>
    <row r="802" spans="1:21" ht="13" x14ac:dyDescent="0.15">
      <c r="A802" s="62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</row>
    <row r="803" spans="1:21" ht="13" x14ac:dyDescent="0.15">
      <c r="A803" s="62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</row>
    <row r="804" spans="1:21" ht="13" x14ac:dyDescent="0.15">
      <c r="A804" s="62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</row>
    <row r="805" spans="1:21" ht="13" x14ac:dyDescent="0.15">
      <c r="A805" s="62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</row>
    <row r="806" spans="1:21" ht="13" x14ac:dyDescent="0.15">
      <c r="A806" s="62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</row>
    <row r="807" spans="1:21" ht="13" x14ac:dyDescent="0.15">
      <c r="A807" s="62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</row>
    <row r="808" spans="1:21" ht="13" x14ac:dyDescent="0.15">
      <c r="A808" s="62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</row>
    <row r="809" spans="1:21" ht="13" x14ac:dyDescent="0.15">
      <c r="A809" s="62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</row>
    <row r="810" spans="1:21" ht="13" x14ac:dyDescent="0.15">
      <c r="A810" s="62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</row>
    <row r="811" spans="1:21" ht="13" x14ac:dyDescent="0.15">
      <c r="A811" s="62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</row>
    <row r="812" spans="1:21" ht="13" x14ac:dyDescent="0.15">
      <c r="A812" s="62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</row>
    <row r="813" spans="1:21" ht="13" x14ac:dyDescent="0.15">
      <c r="A813" s="62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</row>
    <row r="814" spans="1:21" ht="13" x14ac:dyDescent="0.15">
      <c r="A814" s="62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</row>
    <row r="815" spans="1:21" ht="13" x14ac:dyDescent="0.15">
      <c r="A815" s="62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</row>
    <row r="816" spans="1:21" ht="13" x14ac:dyDescent="0.15">
      <c r="A816" s="62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</row>
    <row r="817" spans="1:21" ht="13" x14ac:dyDescent="0.15">
      <c r="A817" s="62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</row>
    <row r="818" spans="1:21" ht="13" x14ac:dyDescent="0.15">
      <c r="A818" s="62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</row>
    <row r="819" spans="1:21" ht="13" x14ac:dyDescent="0.15">
      <c r="A819" s="62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</row>
    <row r="820" spans="1:21" ht="13" x14ac:dyDescent="0.15">
      <c r="A820" s="62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</row>
    <row r="821" spans="1:21" ht="13" x14ac:dyDescent="0.15">
      <c r="A821" s="62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</row>
    <row r="822" spans="1:21" ht="13" x14ac:dyDescent="0.15">
      <c r="A822" s="62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</row>
    <row r="823" spans="1:21" ht="13" x14ac:dyDescent="0.15">
      <c r="A823" s="62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</row>
    <row r="824" spans="1:21" ht="13" x14ac:dyDescent="0.15">
      <c r="A824" s="62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</row>
    <row r="825" spans="1:21" ht="13" x14ac:dyDescent="0.15">
      <c r="A825" s="62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</row>
    <row r="826" spans="1:21" ht="13" x14ac:dyDescent="0.15">
      <c r="A826" s="62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</row>
    <row r="827" spans="1:21" ht="13" x14ac:dyDescent="0.15">
      <c r="A827" s="62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</row>
    <row r="828" spans="1:21" ht="13" x14ac:dyDescent="0.15">
      <c r="A828" s="62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</row>
    <row r="829" spans="1:21" ht="13" x14ac:dyDescent="0.15">
      <c r="A829" s="62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</row>
    <row r="830" spans="1:21" ht="13" x14ac:dyDescent="0.15">
      <c r="A830" s="62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</row>
    <row r="831" spans="1:21" ht="13" x14ac:dyDescent="0.15">
      <c r="A831" s="62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</row>
    <row r="832" spans="1:21" ht="13" x14ac:dyDescent="0.15">
      <c r="A832" s="62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</row>
    <row r="833" spans="1:21" ht="13" x14ac:dyDescent="0.15">
      <c r="A833" s="62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</row>
    <row r="834" spans="1:21" ht="13" x14ac:dyDescent="0.15">
      <c r="A834" s="62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</row>
    <row r="835" spans="1:21" ht="13" x14ac:dyDescent="0.15">
      <c r="A835" s="62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</row>
    <row r="836" spans="1:21" ht="13" x14ac:dyDescent="0.15">
      <c r="A836" s="62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</row>
    <row r="837" spans="1:21" ht="13" x14ac:dyDescent="0.15">
      <c r="A837" s="62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</row>
    <row r="838" spans="1:21" ht="13" x14ac:dyDescent="0.15">
      <c r="A838" s="62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</row>
    <row r="839" spans="1:21" ht="13" x14ac:dyDescent="0.15">
      <c r="A839" s="62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</row>
    <row r="840" spans="1:21" ht="13" x14ac:dyDescent="0.15">
      <c r="A840" s="62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</row>
    <row r="841" spans="1:21" ht="13" x14ac:dyDescent="0.15">
      <c r="A841" s="62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</row>
    <row r="842" spans="1:21" ht="13" x14ac:dyDescent="0.15">
      <c r="A842" s="62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</row>
    <row r="843" spans="1:21" ht="13" x14ac:dyDescent="0.15">
      <c r="A843" s="62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</row>
    <row r="844" spans="1:21" ht="13" x14ac:dyDescent="0.15">
      <c r="A844" s="62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</row>
    <row r="845" spans="1:21" ht="13" x14ac:dyDescent="0.15">
      <c r="A845" s="62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</row>
    <row r="846" spans="1:21" ht="13" x14ac:dyDescent="0.15">
      <c r="A846" s="62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</row>
    <row r="847" spans="1:21" ht="13" x14ac:dyDescent="0.15">
      <c r="A847" s="62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</row>
    <row r="848" spans="1:21" ht="13" x14ac:dyDescent="0.15">
      <c r="A848" s="62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</row>
    <row r="849" spans="1:21" ht="13" x14ac:dyDescent="0.15">
      <c r="A849" s="62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</row>
    <row r="850" spans="1:21" ht="13" x14ac:dyDescent="0.15">
      <c r="A850" s="62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</row>
    <row r="851" spans="1:21" ht="13" x14ac:dyDescent="0.15">
      <c r="A851" s="62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</row>
    <row r="852" spans="1:21" ht="13" x14ac:dyDescent="0.15">
      <c r="A852" s="62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</row>
    <row r="853" spans="1:21" ht="13" x14ac:dyDescent="0.15">
      <c r="A853" s="62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</row>
    <row r="854" spans="1:21" ht="13" x14ac:dyDescent="0.15">
      <c r="A854" s="62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</row>
    <row r="855" spans="1:21" ht="13" x14ac:dyDescent="0.15">
      <c r="A855" s="62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</row>
    <row r="856" spans="1:21" ht="13" x14ac:dyDescent="0.15">
      <c r="A856" s="62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</row>
    <row r="857" spans="1:21" ht="13" x14ac:dyDescent="0.15">
      <c r="A857" s="62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</row>
    <row r="858" spans="1:21" ht="13" x14ac:dyDescent="0.15">
      <c r="A858" s="62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</row>
    <row r="859" spans="1:21" ht="13" x14ac:dyDescent="0.15">
      <c r="A859" s="62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</row>
    <row r="860" spans="1:21" ht="13" x14ac:dyDescent="0.15">
      <c r="A860" s="62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</row>
    <row r="861" spans="1:21" ht="13" x14ac:dyDescent="0.15">
      <c r="A861" s="62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</row>
    <row r="862" spans="1:21" ht="13" x14ac:dyDescent="0.15">
      <c r="A862" s="62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</row>
    <row r="863" spans="1:21" ht="13" x14ac:dyDescent="0.15">
      <c r="A863" s="62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</row>
    <row r="864" spans="1:21" ht="13" x14ac:dyDescent="0.15">
      <c r="A864" s="62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</row>
    <row r="865" spans="1:21" ht="13" x14ac:dyDescent="0.15">
      <c r="A865" s="62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</row>
    <row r="866" spans="1:21" ht="13" x14ac:dyDescent="0.15">
      <c r="A866" s="62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</row>
    <row r="867" spans="1:21" ht="13" x14ac:dyDescent="0.15">
      <c r="A867" s="62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</row>
    <row r="868" spans="1:21" ht="13" x14ac:dyDescent="0.15">
      <c r="A868" s="62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</row>
    <row r="869" spans="1:21" ht="13" x14ac:dyDescent="0.15">
      <c r="A869" s="62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</row>
    <row r="870" spans="1:21" ht="13" x14ac:dyDescent="0.15">
      <c r="A870" s="62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</row>
    <row r="871" spans="1:21" ht="13" x14ac:dyDescent="0.15">
      <c r="A871" s="62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</row>
    <row r="872" spans="1:21" ht="13" x14ac:dyDescent="0.15">
      <c r="A872" s="62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</row>
    <row r="873" spans="1:21" ht="13" x14ac:dyDescent="0.15">
      <c r="A873" s="62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</row>
    <row r="874" spans="1:21" ht="13" x14ac:dyDescent="0.15">
      <c r="A874" s="62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</row>
    <row r="875" spans="1:21" ht="13" x14ac:dyDescent="0.15">
      <c r="A875" s="62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</row>
    <row r="876" spans="1:21" ht="13" x14ac:dyDescent="0.15">
      <c r="A876" s="62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</row>
    <row r="877" spans="1:21" ht="13" x14ac:dyDescent="0.15">
      <c r="A877" s="62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</row>
    <row r="878" spans="1:21" ht="13" x14ac:dyDescent="0.15">
      <c r="A878" s="62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</row>
    <row r="879" spans="1:21" ht="13" x14ac:dyDescent="0.15">
      <c r="A879" s="62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</row>
    <row r="880" spans="1:21" ht="13" x14ac:dyDescent="0.15">
      <c r="A880" s="62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</row>
    <row r="881" spans="1:21" ht="13" x14ac:dyDescent="0.15">
      <c r="A881" s="62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</row>
    <row r="882" spans="1:21" ht="13" x14ac:dyDescent="0.15">
      <c r="A882" s="62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</row>
    <row r="883" spans="1:21" ht="13" x14ac:dyDescent="0.15">
      <c r="A883" s="62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</row>
    <row r="884" spans="1:21" ht="13" x14ac:dyDescent="0.15">
      <c r="A884" s="62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</row>
    <row r="885" spans="1:21" ht="13" x14ac:dyDescent="0.15">
      <c r="A885" s="62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</row>
    <row r="886" spans="1:21" ht="13" x14ac:dyDescent="0.15">
      <c r="A886" s="62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</row>
    <row r="887" spans="1:21" ht="13" x14ac:dyDescent="0.15">
      <c r="A887" s="62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</row>
    <row r="888" spans="1:21" ht="13" x14ac:dyDescent="0.15">
      <c r="A888" s="62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</row>
    <row r="889" spans="1:21" ht="13" x14ac:dyDescent="0.15">
      <c r="A889" s="62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</row>
    <row r="890" spans="1:21" ht="13" x14ac:dyDescent="0.15">
      <c r="A890" s="62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</row>
    <row r="891" spans="1:21" ht="13" x14ac:dyDescent="0.15">
      <c r="A891" s="62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</row>
    <row r="892" spans="1:21" ht="13" x14ac:dyDescent="0.15">
      <c r="A892" s="62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</row>
    <row r="893" spans="1:21" ht="13" x14ac:dyDescent="0.15">
      <c r="A893" s="62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</row>
    <row r="894" spans="1:21" ht="13" x14ac:dyDescent="0.15">
      <c r="A894" s="62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</row>
    <row r="895" spans="1:21" ht="13" x14ac:dyDescent="0.15">
      <c r="A895" s="62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</row>
    <row r="896" spans="1:21" ht="13" x14ac:dyDescent="0.15">
      <c r="A896" s="62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</row>
    <row r="897" spans="1:21" ht="13" x14ac:dyDescent="0.15">
      <c r="A897" s="62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</row>
    <row r="898" spans="1:21" ht="13" x14ac:dyDescent="0.15">
      <c r="A898" s="62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</row>
    <row r="899" spans="1:21" ht="13" x14ac:dyDescent="0.15">
      <c r="A899" s="62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</row>
    <row r="900" spans="1:21" ht="13" x14ac:dyDescent="0.15">
      <c r="A900" s="62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</row>
    <row r="901" spans="1:21" ht="13" x14ac:dyDescent="0.15">
      <c r="A901" s="62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</row>
    <row r="902" spans="1:21" ht="13" x14ac:dyDescent="0.15">
      <c r="A902" s="62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</row>
    <row r="903" spans="1:21" ht="13" x14ac:dyDescent="0.15">
      <c r="A903" s="62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</row>
    <row r="904" spans="1:21" ht="13" x14ac:dyDescent="0.15">
      <c r="A904" s="62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</row>
    <row r="905" spans="1:21" ht="13" x14ac:dyDescent="0.15">
      <c r="A905" s="62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</row>
    <row r="906" spans="1:21" ht="13" x14ac:dyDescent="0.15">
      <c r="A906" s="62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</row>
    <row r="907" spans="1:21" ht="13" x14ac:dyDescent="0.15">
      <c r="A907" s="62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</row>
    <row r="908" spans="1:21" ht="13" x14ac:dyDescent="0.15">
      <c r="A908" s="62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</row>
    <row r="909" spans="1:21" ht="13" x14ac:dyDescent="0.15">
      <c r="A909" s="62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</row>
    <row r="910" spans="1:21" ht="13" x14ac:dyDescent="0.15">
      <c r="A910" s="62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</row>
    <row r="911" spans="1:21" ht="13" x14ac:dyDescent="0.15">
      <c r="A911" s="62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</row>
    <row r="912" spans="1:21" ht="13" x14ac:dyDescent="0.15">
      <c r="A912" s="62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</row>
    <row r="913" spans="1:21" ht="13" x14ac:dyDescent="0.15">
      <c r="A913" s="62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</row>
    <row r="914" spans="1:21" ht="13" x14ac:dyDescent="0.15">
      <c r="A914" s="62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</row>
    <row r="915" spans="1:21" ht="13" x14ac:dyDescent="0.15">
      <c r="A915" s="62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</row>
    <row r="916" spans="1:21" ht="13" x14ac:dyDescent="0.15">
      <c r="A916" s="62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</row>
    <row r="917" spans="1:21" ht="13" x14ac:dyDescent="0.15">
      <c r="A917" s="62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</row>
    <row r="918" spans="1:21" ht="13" x14ac:dyDescent="0.15">
      <c r="A918" s="62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</row>
    <row r="919" spans="1:21" ht="13" x14ac:dyDescent="0.15">
      <c r="A919" s="62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</row>
    <row r="920" spans="1:21" ht="13" x14ac:dyDescent="0.15">
      <c r="A920" s="62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</row>
    <row r="921" spans="1:21" ht="13" x14ac:dyDescent="0.15">
      <c r="A921" s="62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</row>
    <row r="922" spans="1:21" ht="13" x14ac:dyDescent="0.15">
      <c r="A922" s="62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</row>
    <row r="923" spans="1:21" ht="13" x14ac:dyDescent="0.15">
      <c r="A923" s="62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</row>
    <row r="924" spans="1:21" ht="13" x14ac:dyDescent="0.15">
      <c r="A924" s="62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</row>
    <row r="925" spans="1:21" ht="13" x14ac:dyDescent="0.15">
      <c r="A925" s="62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</row>
    <row r="926" spans="1:21" ht="13" x14ac:dyDescent="0.15">
      <c r="A926" s="62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</row>
    <row r="927" spans="1:21" ht="13" x14ac:dyDescent="0.15">
      <c r="A927" s="62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</row>
    <row r="928" spans="1:21" ht="13" x14ac:dyDescent="0.15">
      <c r="A928" s="62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</row>
    <row r="929" spans="1:21" ht="13" x14ac:dyDescent="0.15">
      <c r="A929" s="62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</row>
    <row r="930" spans="1:21" ht="13" x14ac:dyDescent="0.15">
      <c r="A930" s="62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</row>
    <row r="931" spans="1:21" ht="13" x14ac:dyDescent="0.15">
      <c r="A931" s="62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</row>
    <row r="932" spans="1:21" ht="13" x14ac:dyDescent="0.15">
      <c r="A932" s="62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</row>
    <row r="933" spans="1:21" ht="13" x14ac:dyDescent="0.15">
      <c r="A933" s="62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</row>
    <row r="934" spans="1:21" ht="13" x14ac:dyDescent="0.15">
      <c r="A934" s="62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</row>
    <row r="935" spans="1:21" ht="13" x14ac:dyDescent="0.15">
      <c r="A935" s="62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</row>
    <row r="936" spans="1:21" ht="13" x14ac:dyDescent="0.15">
      <c r="A936" s="62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</row>
    <row r="937" spans="1:21" ht="13" x14ac:dyDescent="0.15">
      <c r="A937" s="62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</row>
    <row r="938" spans="1:21" ht="13" x14ac:dyDescent="0.15">
      <c r="A938" s="62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</row>
    <row r="939" spans="1:21" ht="13" x14ac:dyDescent="0.15">
      <c r="A939" s="62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</row>
    <row r="940" spans="1:21" ht="13" x14ac:dyDescent="0.15">
      <c r="A940" s="62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</row>
    <row r="941" spans="1:21" ht="13" x14ac:dyDescent="0.15">
      <c r="A941" s="62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</row>
    <row r="942" spans="1:21" ht="13" x14ac:dyDescent="0.15">
      <c r="A942" s="62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</row>
    <row r="943" spans="1:21" ht="13" x14ac:dyDescent="0.15">
      <c r="A943" s="62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</row>
    <row r="944" spans="1:21" ht="13" x14ac:dyDescent="0.15">
      <c r="A944" s="62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</row>
    <row r="945" spans="1:21" ht="13" x14ac:dyDescent="0.15">
      <c r="A945" s="62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</row>
    <row r="946" spans="1:21" ht="13" x14ac:dyDescent="0.15">
      <c r="A946" s="62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</row>
    <row r="947" spans="1:21" ht="13" x14ac:dyDescent="0.15">
      <c r="A947" s="62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</row>
    <row r="948" spans="1:21" ht="13" x14ac:dyDescent="0.15">
      <c r="A948" s="62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</row>
    <row r="949" spans="1:21" ht="13" x14ac:dyDescent="0.15">
      <c r="A949" s="62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</row>
    <row r="950" spans="1:21" ht="13" x14ac:dyDescent="0.15">
      <c r="A950" s="62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</row>
    <row r="951" spans="1:21" ht="13" x14ac:dyDescent="0.15">
      <c r="A951" s="62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</row>
    <row r="952" spans="1:21" ht="13" x14ac:dyDescent="0.15">
      <c r="A952" s="62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</row>
    <row r="953" spans="1:21" ht="13" x14ac:dyDescent="0.15">
      <c r="A953" s="62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</row>
    <row r="954" spans="1:21" ht="13" x14ac:dyDescent="0.15">
      <c r="A954" s="62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</row>
    <row r="955" spans="1:21" ht="13" x14ac:dyDescent="0.15">
      <c r="A955" s="62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</row>
    <row r="956" spans="1:21" ht="13" x14ac:dyDescent="0.15">
      <c r="A956" s="62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</row>
    <row r="957" spans="1:21" ht="13" x14ac:dyDescent="0.15">
      <c r="A957" s="62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</row>
    <row r="958" spans="1:21" ht="13" x14ac:dyDescent="0.15">
      <c r="A958" s="62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</row>
    <row r="959" spans="1:21" ht="13" x14ac:dyDescent="0.15">
      <c r="A959" s="62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</row>
    <row r="960" spans="1:21" ht="13" x14ac:dyDescent="0.15">
      <c r="A960" s="62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</row>
    <row r="961" spans="1:21" ht="13" x14ac:dyDescent="0.15">
      <c r="A961" s="62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</row>
    <row r="962" spans="1:21" ht="13" x14ac:dyDescent="0.15">
      <c r="A962" s="62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</row>
    <row r="963" spans="1:21" ht="13" x14ac:dyDescent="0.15">
      <c r="A963" s="62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</row>
    <row r="964" spans="1:21" ht="13" x14ac:dyDescent="0.15">
      <c r="A964" s="62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</row>
    <row r="965" spans="1:21" ht="13" x14ac:dyDescent="0.15">
      <c r="A965" s="62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</row>
    <row r="966" spans="1:21" ht="13" x14ac:dyDescent="0.15">
      <c r="A966" s="62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</row>
    <row r="967" spans="1:21" ht="13" x14ac:dyDescent="0.15">
      <c r="A967" s="62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</row>
    <row r="968" spans="1:21" ht="13" x14ac:dyDescent="0.15">
      <c r="A968" s="62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</row>
    <row r="969" spans="1:21" ht="13" x14ac:dyDescent="0.15">
      <c r="A969" s="62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</row>
    <row r="970" spans="1:21" ht="13" x14ac:dyDescent="0.15">
      <c r="A970" s="62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</row>
    <row r="971" spans="1:21" ht="13" x14ac:dyDescent="0.15">
      <c r="A971" s="62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</row>
    <row r="972" spans="1:21" ht="13" x14ac:dyDescent="0.15">
      <c r="A972" s="62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</row>
    <row r="973" spans="1:21" ht="13" x14ac:dyDescent="0.15">
      <c r="A973" s="62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</row>
    <row r="974" spans="1:21" ht="13" x14ac:dyDescent="0.15">
      <c r="A974" s="62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</row>
    <row r="975" spans="1:21" ht="13" x14ac:dyDescent="0.15">
      <c r="A975" s="62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</row>
    <row r="976" spans="1:21" ht="13" x14ac:dyDescent="0.15">
      <c r="A976" s="62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</row>
    <row r="977" spans="1:21" ht="13" x14ac:dyDescent="0.15">
      <c r="A977" s="62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</row>
    <row r="978" spans="1:21" ht="13" x14ac:dyDescent="0.15">
      <c r="A978" s="62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</row>
    <row r="979" spans="1:21" ht="13" x14ac:dyDescent="0.15">
      <c r="A979" s="62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</row>
    <row r="980" spans="1:21" ht="13" x14ac:dyDescent="0.15">
      <c r="A980" s="62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</row>
    <row r="981" spans="1:21" ht="13" x14ac:dyDescent="0.15">
      <c r="A981" s="62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</row>
    <row r="982" spans="1:21" ht="13" x14ac:dyDescent="0.15">
      <c r="A982" s="62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</row>
    <row r="983" spans="1:21" ht="13" x14ac:dyDescent="0.15">
      <c r="A983" s="62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</row>
    <row r="984" spans="1:21" ht="13" x14ac:dyDescent="0.15">
      <c r="A984" s="62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</row>
    <row r="985" spans="1:21" ht="13" x14ac:dyDescent="0.15">
      <c r="A985" s="62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</row>
    <row r="986" spans="1:21" ht="13" x14ac:dyDescent="0.15">
      <c r="A986" s="62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</row>
    <row r="987" spans="1:21" ht="13" x14ac:dyDescent="0.15">
      <c r="A987" s="62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</row>
    <row r="988" spans="1:21" ht="13" x14ac:dyDescent="0.15">
      <c r="A988" s="62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</row>
    <row r="989" spans="1:21" ht="13" x14ac:dyDescent="0.15">
      <c r="A989" s="62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</row>
    <row r="990" spans="1:21" ht="13" x14ac:dyDescent="0.15">
      <c r="A990" s="62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</row>
    <row r="991" spans="1:21" ht="13" x14ac:dyDescent="0.15">
      <c r="A991" s="62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</row>
    <row r="992" spans="1:21" ht="13" x14ac:dyDescent="0.15">
      <c r="A992" s="62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</row>
    <row r="993" spans="1:21" ht="13" x14ac:dyDescent="0.15">
      <c r="A993" s="62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</row>
    <row r="994" spans="1:21" ht="13" x14ac:dyDescent="0.15">
      <c r="A994" s="62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</row>
    <row r="995" spans="1:21" ht="13" x14ac:dyDescent="0.15">
      <c r="A995" s="62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</row>
    <row r="996" spans="1:21" ht="13" x14ac:dyDescent="0.15">
      <c r="A996" s="62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</row>
    <row r="997" spans="1:21" ht="13" x14ac:dyDescent="0.15">
      <c r="A997" s="62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</row>
    <row r="998" spans="1:21" ht="13" x14ac:dyDescent="0.15">
      <c r="A998" s="62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</row>
    <row r="999" spans="1:21" ht="13" x14ac:dyDescent="0.15">
      <c r="A999" s="62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</row>
    <row r="1000" spans="1:21" ht="13" x14ac:dyDescent="0.15">
      <c r="A1000" s="62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</row>
    <row r="1001" spans="1:21" ht="13" x14ac:dyDescent="0.15">
      <c r="A1001" s="62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</row>
    <row r="1002" spans="1:21" ht="13" x14ac:dyDescent="0.15">
      <c r="A1002" s="62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</row>
  </sheetData>
  <mergeCells count="1">
    <mergeCell ref="F1:U1"/>
  </mergeCells>
  <conditionalFormatting sqref="D3:E3">
    <cfRule type="containsText" dxfId="6" priority="1" operator="containsText" text="hosteller">
      <formula>NOT(ISERROR(SEARCH(("hosteller"),(D3))))</formula>
    </cfRule>
  </conditionalFormatting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F998"/>
  <sheetViews>
    <sheetView workbookViewId="0"/>
  </sheetViews>
  <sheetFormatPr baseColWidth="10" defaultColWidth="12.6640625" defaultRowHeight="15.75" customHeight="1" x14ac:dyDescent="0.15"/>
  <cols>
    <col min="1" max="1" width="14.33203125" customWidth="1"/>
    <col min="2" max="2" width="22.1640625" customWidth="1"/>
    <col min="3" max="3" width="19.6640625" customWidth="1"/>
    <col min="4" max="4" width="12" customWidth="1"/>
    <col min="5" max="5" width="8.6640625" customWidth="1"/>
    <col min="6" max="6" width="6.6640625" customWidth="1"/>
    <col min="7" max="7" width="5.1640625" customWidth="1"/>
    <col min="8" max="8" width="5.6640625" customWidth="1"/>
    <col min="9" max="10" width="5" customWidth="1"/>
    <col min="11" max="11" width="5.5" customWidth="1"/>
    <col min="12" max="12" width="4.5" customWidth="1"/>
    <col min="13" max="13" width="3.83203125" customWidth="1"/>
    <col min="14" max="15" width="4.6640625" customWidth="1"/>
    <col min="16" max="16" width="5.33203125" customWidth="1"/>
    <col min="17" max="17" width="3.5" customWidth="1"/>
    <col min="18" max="18" width="4.83203125" customWidth="1"/>
    <col min="19" max="19" width="4.6640625" customWidth="1"/>
    <col min="20" max="20" width="5.1640625" customWidth="1"/>
    <col min="21" max="21" width="6.33203125" customWidth="1"/>
  </cols>
  <sheetData>
    <row r="1" spans="1:32" ht="13" x14ac:dyDescent="0.15">
      <c r="A1" s="52" t="s">
        <v>548</v>
      </c>
      <c r="B1" s="52" t="s">
        <v>15</v>
      </c>
      <c r="C1" s="52" t="s">
        <v>22</v>
      </c>
      <c r="D1" s="63"/>
      <c r="E1" s="63" t="s">
        <v>567</v>
      </c>
      <c r="F1" s="100" t="s">
        <v>550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32" ht="13" x14ac:dyDescent="0.15">
      <c r="A2" s="54">
        <f>COUNT(A4:A362)</f>
        <v>17</v>
      </c>
      <c r="B2" s="2">
        <f t="shared" ref="B2:C2" si="0">COUNTIF($E$4:$E$188,B1)</f>
        <v>11</v>
      </c>
      <c r="C2" s="2">
        <f t="shared" si="0"/>
        <v>6</v>
      </c>
      <c r="D2" s="64"/>
      <c r="E2" s="64">
        <f>SUM(F2:U2)</f>
        <v>471650</v>
      </c>
      <c r="F2" s="55">
        <f t="shared" ref="F2:U2" si="1">SUM(F$4:F$998)</f>
        <v>32600</v>
      </c>
      <c r="G2" s="55">
        <f t="shared" si="1"/>
        <v>40800</v>
      </c>
      <c r="H2" s="55">
        <f t="shared" si="1"/>
        <v>48800</v>
      </c>
      <c r="I2" s="55">
        <f t="shared" si="1"/>
        <v>2600</v>
      </c>
      <c r="J2" s="55">
        <f t="shared" si="1"/>
        <v>44800</v>
      </c>
      <c r="K2" s="55">
        <f t="shared" si="1"/>
        <v>36000</v>
      </c>
      <c r="L2" s="55">
        <f t="shared" si="1"/>
        <v>35200</v>
      </c>
      <c r="M2" s="55">
        <f t="shared" si="1"/>
        <v>2100</v>
      </c>
      <c r="N2" s="55">
        <f t="shared" si="1"/>
        <v>38400</v>
      </c>
      <c r="O2" s="55">
        <f t="shared" si="1"/>
        <v>34400</v>
      </c>
      <c r="P2" s="55">
        <f t="shared" si="1"/>
        <v>38400</v>
      </c>
      <c r="Q2" s="55">
        <f t="shared" si="1"/>
        <v>2100</v>
      </c>
      <c r="R2" s="55">
        <f t="shared" si="1"/>
        <v>38400</v>
      </c>
      <c r="S2" s="55">
        <f t="shared" si="1"/>
        <v>37600</v>
      </c>
      <c r="T2" s="55">
        <f t="shared" si="1"/>
        <v>1850</v>
      </c>
      <c r="U2" s="55">
        <f t="shared" si="1"/>
        <v>37600</v>
      </c>
    </row>
    <row r="3" spans="1:32" ht="13" x14ac:dyDescent="0.15">
      <c r="A3" s="56" t="s">
        <v>551</v>
      </c>
      <c r="B3" s="56" t="s">
        <v>3</v>
      </c>
      <c r="C3" s="56" t="s">
        <v>552</v>
      </c>
      <c r="D3" s="57" t="s">
        <v>568</v>
      </c>
      <c r="E3" s="56" t="s">
        <v>2</v>
      </c>
      <c r="F3" s="56" t="s">
        <v>557</v>
      </c>
      <c r="G3" s="56" t="s">
        <v>558</v>
      </c>
      <c r="H3" s="56" t="s">
        <v>559</v>
      </c>
      <c r="I3" s="57" t="s">
        <v>569</v>
      </c>
      <c r="J3" s="56" t="s">
        <v>560</v>
      </c>
      <c r="K3" s="56" t="s">
        <v>561</v>
      </c>
      <c r="L3" s="56" t="s">
        <v>562</v>
      </c>
      <c r="M3" s="57" t="s">
        <v>570</v>
      </c>
      <c r="N3" s="56" t="s">
        <v>563</v>
      </c>
      <c r="O3" s="56" t="s">
        <v>564</v>
      </c>
      <c r="P3" s="56" t="s">
        <v>565</v>
      </c>
      <c r="Q3" s="57" t="s">
        <v>570</v>
      </c>
      <c r="R3" s="56" t="s">
        <v>554</v>
      </c>
      <c r="S3" s="56" t="s">
        <v>555</v>
      </c>
      <c r="T3" s="57" t="s">
        <v>570</v>
      </c>
      <c r="U3" s="56" t="s">
        <v>556</v>
      </c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spans="1:32" ht="13" x14ac:dyDescent="0.15">
      <c r="A4" s="58">
        <v>18</v>
      </c>
      <c r="B4" s="59" t="str">
        <f>IFERROR(VLOOKUP($A4,Admission!$1:$998,4,0),"")</f>
        <v>MD ASIM</v>
      </c>
      <c r="C4" s="59" t="str">
        <f>IFERROR(VLOOKUP($A4,Admission!$1:$998,5,0),"")</f>
        <v>SAYEEDUR RAHMAN</v>
      </c>
      <c r="D4" s="59">
        <f>IFERROR(VLOOKUP($A4,Admission!$1:$998,10,0),"")</f>
        <v>9199390869</v>
      </c>
      <c r="E4" s="59" t="str">
        <f>IFERROR(VLOOKUP($A4,Admission!$1:$998,3,0),"")</f>
        <v>Day Scholar</v>
      </c>
      <c r="F4" s="25">
        <v>800</v>
      </c>
      <c r="G4" s="25">
        <v>800</v>
      </c>
      <c r="H4" s="25">
        <v>800</v>
      </c>
      <c r="I4" s="25">
        <v>200</v>
      </c>
      <c r="J4" s="25">
        <v>800</v>
      </c>
      <c r="K4" s="25">
        <v>800</v>
      </c>
      <c r="L4" s="25">
        <v>800</v>
      </c>
      <c r="M4" s="25">
        <v>200</v>
      </c>
      <c r="N4" s="25">
        <v>800</v>
      </c>
      <c r="O4" s="25">
        <v>800</v>
      </c>
      <c r="P4" s="25">
        <v>800</v>
      </c>
      <c r="Q4" s="25">
        <v>200</v>
      </c>
      <c r="R4" s="25">
        <v>800</v>
      </c>
      <c r="S4" s="25">
        <v>800</v>
      </c>
      <c r="T4" s="25">
        <v>200</v>
      </c>
      <c r="U4" s="25">
        <v>800</v>
      </c>
    </row>
    <row r="5" spans="1:32" ht="14" x14ac:dyDescent="0.15">
      <c r="A5" s="58">
        <v>28</v>
      </c>
      <c r="B5" s="59" t="str">
        <f>IFERROR(VLOOKUP($A5,Admission!$1:$998,4,0),"")</f>
        <v>FAHIM SEKH</v>
      </c>
      <c r="C5" s="59" t="str">
        <f>IFERROR(VLOOKUP($A5,Admission!$1:$998,5,0),"")</f>
        <v>KHABIR SEKH</v>
      </c>
      <c r="D5" s="59">
        <f>IFERROR(VLOOKUP($A5,Admission!$1:$998,10,0),"")</f>
        <v>7003238326</v>
      </c>
      <c r="E5" s="59" t="str">
        <f>IFERROR(VLOOKUP($A5,Admission!$1:$998,3,0),"")</f>
        <v>Hosteller</v>
      </c>
      <c r="F5" s="25">
        <v>4000</v>
      </c>
      <c r="G5" s="25">
        <v>4000</v>
      </c>
      <c r="H5" s="25">
        <v>4000</v>
      </c>
      <c r="I5" s="25"/>
      <c r="J5" s="25">
        <v>4000</v>
      </c>
      <c r="K5" s="25">
        <v>4000</v>
      </c>
      <c r="L5" s="25">
        <v>4000</v>
      </c>
      <c r="M5" s="25"/>
      <c r="N5" s="25">
        <v>4000</v>
      </c>
      <c r="O5" s="25">
        <v>4000</v>
      </c>
      <c r="P5" s="25">
        <v>4000</v>
      </c>
      <c r="Q5" s="25"/>
      <c r="R5" s="73">
        <v>4000</v>
      </c>
      <c r="S5" s="25">
        <v>4000</v>
      </c>
      <c r="T5" s="25"/>
      <c r="U5" s="25">
        <v>4000</v>
      </c>
    </row>
    <row r="6" spans="1:32" ht="13" x14ac:dyDescent="0.15">
      <c r="A6" s="58">
        <v>41</v>
      </c>
      <c r="B6" s="59" t="str">
        <f>IFERROR(VLOOKUP($A6,Admission!$1:$998,4,0),"")</f>
        <v>WAJIHA ABDULLAH</v>
      </c>
      <c r="C6" s="59" t="str">
        <f>IFERROR(VLOOKUP($A6,Admission!$1:$998,5,0),"")</f>
        <v>FARUK ABDULLAH</v>
      </c>
      <c r="D6" s="59">
        <f>IFERROR(VLOOKUP($A6,Admission!$1:$998,10,0),"")</f>
        <v>8084353536</v>
      </c>
      <c r="E6" s="59" t="str">
        <f>IFERROR(VLOOKUP($A6,Admission!$1:$998,3,0),"")</f>
        <v>Day Scholar</v>
      </c>
      <c r="F6" s="25">
        <v>800</v>
      </c>
      <c r="G6" s="25">
        <v>800</v>
      </c>
      <c r="H6" s="25">
        <v>800</v>
      </c>
      <c r="I6" s="25">
        <v>200</v>
      </c>
      <c r="J6" s="25">
        <v>800</v>
      </c>
      <c r="K6" s="25" t="s">
        <v>579</v>
      </c>
      <c r="L6" s="25" t="s">
        <v>579</v>
      </c>
      <c r="M6" s="25" t="s">
        <v>579</v>
      </c>
      <c r="N6" s="25" t="s">
        <v>579</v>
      </c>
      <c r="O6" s="25" t="s">
        <v>579</v>
      </c>
      <c r="P6" s="25" t="s">
        <v>579</v>
      </c>
      <c r="Q6" s="25" t="s">
        <v>579</v>
      </c>
      <c r="R6" s="25" t="s">
        <v>579</v>
      </c>
      <c r="S6" s="25" t="s">
        <v>579</v>
      </c>
      <c r="T6" s="25" t="s">
        <v>579</v>
      </c>
      <c r="U6" s="25" t="s">
        <v>579</v>
      </c>
    </row>
    <row r="7" spans="1:32" ht="13" x14ac:dyDescent="0.15">
      <c r="A7" s="58">
        <v>45</v>
      </c>
      <c r="B7" s="59" t="str">
        <f>IFERROR(VLOOKUP($A7,Admission!$1:$998,4,0),"")</f>
        <v>MOHAMMAD AFTAN</v>
      </c>
      <c r="C7" s="59" t="str">
        <f>IFERROR(VLOOKUP($A7,Admission!$1:$998,5,0),"")</f>
        <v>ABDUL JABBAR</v>
      </c>
      <c r="D7" s="59">
        <f>IFERROR(VLOOKUP($A7,Admission!$1:$998,10,0),"")</f>
        <v>9006956889</v>
      </c>
      <c r="E7" s="59" t="str">
        <f>IFERROR(VLOOKUP($A7,Admission!$1:$998,3,0),"")</f>
        <v>Hosteller</v>
      </c>
      <c r="F7" s="25">
        <v>3800</v>
      </c>
      <c r="G7" s="25">
        <v>4000</v>
      </c>
      <c r="H7" s="25">
        <v>4000</v>
      </c>
      <c r="I7" s="25">
        <v>200</v>
      </c>
      <c r="J7" s="25">
        <v>4000</v>
      </c>
      <c r="K7" s="25">
        <v>4000</v>
      </c>
      <c r="L7" s="25">
        <v>4000</v>
      </c>
      <c r="M7" s="25">
        <v>200</v>
      </c>
      <c r="N7" s="25">
        <v>4000</v>
      </c>
      <c r="O7" s="25">
        <v>4000</v>
      </c>
      <c r="P7" s="25">
        <v>4000</v>
      </c>
      <c r="Q7" s="25">
        <v>200</v>
      </c>
      <c r="R7" s="25">
        <v>4000</v>
      </c>
      <c r="S7" s="25">
        <v>4000</v>
      </c>
      <c r="T7" s="25">
        <v>200</v>
      </c>
      <c r="U7" s="25">
        <v>4000</v>
      </c>
    </row>
    <row r="8" spans="1:32" ht="13" x14ac:dyDescent="0.15">
      <c r="A8" s="58">
        <v>68</v>
      </c>
      <c r="B8" s="59" t="str">
        <f>IFERROR(VLOOKUP($A8,Admission!$1:$998,4,0),"")</f>
        <v>MD TAUFIQUE ANSARI</v>
      </c>
      <c r="C8" s="59" t="str">
        <f>IFERROR(VLOOKUP($A8,Admission!$1:$998,5,0),"")</f>
        <v>MD RAFIQUE ANSARI</v>
      </c>
      <c r="D8" s="59">
        <f>IFERROR(VLOOKUP($A8,Admission!$1:$998,10,0),"")</f>
        <v>9065969256</v>
      </c>
      <c r="E8" s="59" t="str">
        <f>IFERROR(VLOOKUP($A8,Admission!$1:$998,3,0),"")</f>
        <v>Hosteller</v>
      </c>
      <c r="F8" s="25">
        <v>4000</v>
      </c>
      <c r="G8" s="25">
        <v>4000</v>
      </c>
      <c r="H8" s="25">
        <v>4000</v>
      </c>
      <c r="I8" s="25">
        <v>200</v>
      </c>
      <c r="J8" s="25">
        <v>4000</v>
      </c>
      <c r="K8" s="25">
        <v>4000</v>
      </c>
      <c r="L8" s="25">
        <v>4000</v>
      </c>
      <c r="M8" s="25">
        <v>200</v>
      </c>
      <c r="N8" s="25">
        <v>4000</v>
      </c>
      <c r="O8" s="25">
        <v>4000</v>
      </c>
      <c r="P8" s="25">
        <v>4000</v>
      </c>
      <c r="Q8" s="25">
        <v>200</v>
      </c>
      <c r="R8" s="25">
        <v>4000</v>
      </c>
      <c r="S8" s="25">
        <v>4000</v>
      </c>
      <c r="T8" s="25">
        <v>200</v>
      </c>
      <c r="U8" s="25">
        <v>4000</v>
      </c>
    </row>
    <row r="9" spans="1:32" ht="13" x14ac:dyDescent="0.15">
      <c r="A9" s="58">
        <v>76</v>
      </c>
      <c r="B9" s="59" t="str">
        <f>IFERROR(VLOOKUP($A9,Admission!$1:$998,4,0),"")</f>
        <v>MOHAMMAD REHAN ANSARI</v>
      </c>
      <c r="C9" s="59" t="str">
        <f>IFERROR(VLOOKUP($A9,Admission!$1:$998,5,0),"")</f>
        <v>MOHAMMAD JIYAUL ANSARI</v>
      </c>
      <c r="D9" s="59">
        <f>IFERROR(VLOOKUP($A9,Admission!$1:$998,10,0),"")</f>
        <v>8809023587</v>
      </c>
      <c r="E9" s="59" t="str">
        <f>IFERROR(VLOOKUP($A9,Admission!$1:$998,3,0),"")</f>
        <v>Hosteller</v>
      </c>
      <c r="F9" s="25">
        <v>4000</v>
      </c>
      <c r="G9" s="25">
        <v>4000</v>
      </c>
      <c r="H9" s="25">
        <v>4000</v>
      </c>
      <c r="I9" s="25">
        <v>200</v>
      </c>
      <c r="J9" s="25">
        <v>4000</v>
      </c>
      <c r="K9" s="25">
        <v>4000</v>
      </c>
      <c r="L9" s="25">
        <v>4000</v>
      </c>
      <c r="M9" s="25">
        <v>250</v>
      </c>
      <c r="N9" s="25">
        <v>4000</v>
      </c>
      <c r="O9" s="25">
        <v>4000</v>
      </c>
      <c r="P9" s="25">
        <v>4000</v>
      </c>
      <c r="Q9" s="25">
        <v>250</v>
      </c>
      <c r="R9" s="25">
        <v>4000</v>
      </c>
      <c r="S9" s="25">
        <v>4000</v>
      </c>
      <c r="T9" s="25"/>
      <c r="U9" s="25">
        <v>4000</v>
      </c>
    </row>
    <row r="10" spans="1:32" ht="13" x14ac:dyDescent="0.15">
      <c r="A10" s="58">
        <v>83</v>
      </c>
      <c r="B10" s="59" t="str">
        <f>IFERROR(VLOOKUP($A10,Admission!$1:$998,4,0),"")</f>
        <v>HASAN</v>
      </c>
      <c r="C10" s="59" t="str">
        <f>IFERROR(VLOOKUP($A10,Admission!$1:$998,5,0),"")</f>
        <v>HASHRUDDIN</v>
      </c>
      <c r="D10" s="59">
        <f>IFERROR(VLOOKUP($A10,Admission!$1:$998,10,0),"")</f>
        <v>8102113518</v>
      </c>
      <c r="E10" s="59" t="str">
        <f>IFERROR(VLOOKUP($A10,Admission!$1:$998,3,0),"")</f>
        <v>Hosteller</v>
      </c>
      <c r="F10" s="25">
        <v>4000</v>
      </c>
      <c r="G10" s="25">
        <v>4000</v>
      </c>
      <c r="H10" s="25">
        <v>4000</v>
      </c>
      <c r="I10" s="25">
        <v>200</v>
      </c>
      <c r="J10" s="25">
        <v>4000</v>
      </c>
      <c r="K10" s="25" t="s">
        <v>579</v>
      </c>
      <c r="L10" s="25" t="s">
        <v>579</v>
      </c>
      <c r="M10" s="25"/>
      <c r="N10" s="25" t="s">
        <v>313</v>
      </c>
      <c r="O10" s="25" t="s">
        <v>579</v>
      </c>
      <c r="P10" s="25" t="s">
        <v>313</v>
      </c>
      <c r="Q10" s="25" t="s">
        <v>313</v>
      </c>
      <c r="R10" s="25" t="s">
        <v>313</v>
      </c>
      <c r="S10" s="25" t="s">
        <v>313</v>
      </c>
      <c r="T10" s="25" t="s">
        <v>313</v>
      </c>
      <c r="U10" s="25" t="s">
        <v>313</v>
      </c>
    </row>
    <row r="11" spans="1:32" ht="13" x14ac:dyDescent="0.15">
      <c r="A11" s="58">
        <v>90</v>
      </c>
      <c r="B11" s="59" t="str">
        <f>IFERROR(VLOOKUP($A11,Admission!$1:$998,4,0),"")</f>
        <v>AADIL ANSARI</v>
      </c>
      <c r="C11" s="59" t="str">
        <f>IFERROR(VLOOKUP($A11,Admission!$1:$998,5,0),"")</f>
        <v>MD MEARAJ ANSARI</v>
      </c>
      <c r="D11" s="59">
        <f>IFERROR(VLOOKUP($A11,Admission!$1:$998,10,0),"")</f>
        <v>9546591339</v>
      </c>
      <c r="E11" s="59" t="str">
        <f>IFERROR(VLOOKUP($A11,Admission!$1:$998,3,0),"")</f>
        <v>Hosteller</v>
      </c>
      <c r="F11" s="25">
        <v>0</v>
      </c>
      <c r="G11" s="25">
        <v>4000</v>
      </c>
      <c r="H11" s="25">
        <v>4000</v>
      </c>
      <c r="I11" s="25">
        <v>200</v>
      </c>
      <c r="J11" s="25">
        <v>4000</v>
      </c>
      <c r="K11" s="25">
        <v>4000</v>
      </c>
      <c r="L11" s="25">
        <v>4000</v>
      </c>
      <c r="M11" s="25">
        <v>200</v>
      </c>
      <c r="N11" s="25">
        <v>4000</v>
      </c>
      <c r="O11" s="25">
        <v>4000</v>
      </c>
      <c r="P11" s="25">
        <v>4000</v>
      </c>
      <c r="Q11" s="25">
        <v>200</v>
      </c>
      <c r="R11" s="25">
        <v>4000</v>
      </c>
      <c r="S11" s="25">
        <v>4000</v>
      </c>
      <c r="T11" s="25">
        <v>200</v>
      </c>
      <c r="U11" s="25">
        <v>4000</v>
      </c>
    </row>
    <row r="12" spans="1:32" ht="13" x14ac:dyDescent="0.15">
      <c r="A12" s="58">
        <v>93</v>
      </c>
      <c r="B12" s="59" t="str">
        <f>IFERROR(VLOOKUP($A12,Admission!$1:$998,4,0),"")</f>
        <v>SAHANAWAJ HUSSAIN</v>
      </c>
      <c r="C12" s="59" t="str">
        <f>IFERROR(VLOOKUP($A12,Admission!$1:$998,5,0),"")</f>
        <v>RAJIBUL ISLAM</v>
      </c>
      <c r="D12" s="59">
        <f>IFERROR(VLOOKUP($A12,Admission!$1:$998,10,0),"")</f>
        <v>8789153525</v>
      </c>
      <c r="E12" s="59" t="str">
        <f>IFERROR(VLOOKUP($A12,Admission!$1:$998,3,0),"")</f>
        <v>Hosteller</v>
      </c>
      <c r="F12" s="25">
        <v>4000</v>
      </c>
      <c r="G12" s="25">
        <v>4000</v>
      </c>
      <c r="H12" s="25">
        <v>4000</v>
      </c>
      <c r="I12" s="25">
        <v>200</v>
      </c>
      <c r="J12" s="25">
        <v>4000</v>
      </c>
      <c r="K12" s="25">
        <v>4000</v>
      </c>
      <c r="L12" s="25">
        <v>4000</v>
      </c>
      <c r="M12" s="25">
        <v>200</v>
      </c>
      <c r="N12" s="25">
        <v>4000</v>
      </c>
      <c r="O12" s="25">
        <v>4000</v>
      </c>
      <c r="P12" s="25">
        <v>4000</v>
      </c>
      <c r="Q12" s="25">
        <v>200</v>
      </c>
      <c r="R12" s="25">
        <v>4000</v>
      </c>
      <c r="S12" s="25">
        <v>4000</v>
      </c>
      <c r="T12" s="25">
        <v>200</v>
      </c>
      <c r="U12" s="25">
        <v>4000</v>
      </c>
    </row>
    <row r="13" spans="1:32" ht="18" customHeight="1" x14ac:dyDescent="0.15">
      <c r="A13" s="58">
        <v>121</v>
      </c>
      <c r="B13" s="59" t="str">
        <f>IFERROR(VLOOKUP($A13,Admission!$1:$998,4,0),"")</f>
        <v>WASIM AKTAR</v>
      </c>
      <c r="C13" s="59" t="str">
        <f>IFERROR(VLOOKUP($A13,Admission!$1:$998,5,0),"")</f>
        <v>SAFIK ALAM</v>
      </c>
      <c r="D13" s="59">
        <f>IFERROR(VLOOKUP($A13,Admission!$1:$998,10,0),"")</f>
        <v>9199240773</v>
      </c>
      <c r="E13" s="59" t="str">
        <f>IFERROR(VLOOKUP($A13,Admission!$1:$998,3,0),"")</f>
        <v>Hosteller</v>
      </c>
      <c r="F13" s="25">
        <v>4000</v>
      </c>
      <c r="G13" s="25">
        <v>4000</v>
      </c>
      <c r="H13" s="25">
        <v>4000</v>
      </c>
      <c r="I13" s="25"/>
      <c r="J13" s="25">
        <v>4000</v>
      </c>
      <c r="K13" s="25">
        <v>4000</v>
      </c>
      <c r="L13" s="25">
        <v>4000</v>
      </c>
      <c r="M13" s="25"/>
      <c r="N13" s="25">
        <v>4000</v>
      </c>
      <c r="O13" s="25"/>
      <c r="P13" s="25"/>
      <c r="Q13" s="25"/>
      <c r="R13" s="25"/>
      <c r="S13" s="25" t="s">
        <v>313</v>
      </c>
      <c r="T13" s="25" t="s">
        <v>313</v>
      </c>
      <c r="U13" s="25" t="s">
        <v>313</v>
      </c>
    </row>
    <row r="14" spans="1:32" ht="13" x14ac:dyDescent="0.15">
      <c r="A14" s="58">
        <v>123</v>
      </c>
      <c r="B14" s="59" t="str">
        <f>IFERROR(VLOOKUP($A14,Admission!$1:$998,4,0),"")</f>
        <v>SARFARAJ ALAM</v>
      </c>
      <c r="C14" s="59" t="str">
        <f>IFERROR(VLOOKUP($A14,Admission!$1:$998,5,0),"")</f>
        <v>MD IDRISH</v>
      </c>
      <c r="D14" s="59">
        <f>IFERROR(VLOOKUP($A14,Admission!$1:$998,10,0),"")</f>
        <v>9142082870</v>
      </c>
      <c r="E14" s="59" t="str">
        <f>IFERROR(VLOOKUP($A14,Admission!$1:$998,3,0),"")</f>
        <v>Day Scholar</v>
      </c>
      <c r="F14" s="25">
        <v>800</v>
      </c>
      <c r="G14" s="25">
        <v>800</v>
      </c>
      <c r="H14" s="25">
        <v>800</v>
      </c>
      <c r="I14" s="25">
        <v>200</v>
      </c>
      <c r="J14" s="25">
        <v>800</v>
      </c>
      <c r="K14" s="25">
        <v>800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</row>
    <row r="15" spans="1:32" ht="13" x14ac:dyDescent="0.15">
      <c r="A15" s="58">
        <v>148</v>
      </c>
      <c r="B15" s="59" t="str">
        <f>IFERROR(VLOOKUP($A15,Admission!$1:$998,4,0),"")</f>
        <v>TAUKIR ALAM</v>
      </c>
      <c r="C15" s="59" t="str">
        <f>IFERROR(VLOOKUP($A15,Admission!$1:$998,5,0),"")</f>
        <v>RUHUL SHEKH</v>
      </c>
      <c r="D15" s="59">
        <f>IFERROR(VLOOKUP($A15,Admission!$1:$998,10,0),"")</f>
        <v>8210692094</v>
      </c>
      <c r="E15" s="59" t="str">
        <f>IFERROR(VLOOKUP($A15,Admission!$1:$998,3,0),"")</f>
        <v>Hosteller</v>
      </c>
      <c r="F15" s="25">
        <v>0</v>
      </c>
      <c r="G15" s="25">
        <v>0</v>
      </c>
      <c r="H15" s="25">
        <v>4000</v>
      </c>
      <c r="I15" s="25">
        <v>200</v>
      </c>
      <c r="J15" s="25">
        <v>4000</v>
      </c>
      <c r="K15" s="25">
        <v>4000</v>
      </c>
      <c r="L15" s="25">
        <v>4000</v>
      </c>
      <c r="M15" s="25">
        <v>200</v>
      </c>
      <c r="N15" s="25">
        <v>4000</v>
      </c>
      <c r="O15" s="25">
        <v>4000</v>
      </c>
      <c r="P15" s="25">
        <v>4000</v>
      </c>
      <c r="Q15" s="25">
        <v>200</v>
      </c>
      <c r="R15" s="25">
        <v>4000</v>
      </c>
      <c r="S15" s="25">
        <v>4000</v>
      </c>
      <c r="T15" s="25">
        <v>200</v>
      </c>
      <c r="U15" s="25">
        <v>4000</v>
      </c>
    </row>
    <row r="16" spans="1:32" ht="13" x14ac:dyDescent="0.15">
      <c r="A16" s="58">
        <v>152</v>
      </c>
      <c r="B16" s="59" t="str">
        <f>IFERROR(VLOOKUP($A16,Admission!$1:$998,4,0),"")</f>
        <v>RIJWAN HUSSAIN</v>
      </c>
      <c r="C16" s="59" t="str">
        <f>IFERROR(VLOOKUP($A16,Admission!$1:$998,5,0),"")</f>
        <v>MD SADDAM HUSSAIN</v>
      </c>
      <c r="D16" s="59">
        <f>IFERROR(VLOOKUP($A16,Admission!$1:$998,10,0),"")</f>
        <v>9980324610</v>
      </c>
      <c r="E16" s="59" t="str">
        <f>IFERROR(VLOOKUP($A16,Admission!$1:$998,3,0),"")</f>
        <v>Hosteller</v>
      </c>
      <c r="F16" s="25">
        <v>0</v>
      </c>
      <c r="G16" s="25">
        <v>0</v>
      </c>
      <c r="H16" s="25">
        <v>4000</v>
      </c>
      <c r="I16" s="25" t="s">
        <v>580</v>
      </c>
      <c r="J16" s="25" t="s">
        <v>580</v>
      </c>
      <c r="K16" s="25" t="s">
        <v>580</v>
      </c>
      <c r="L16" s="25" t="s">
        <v>580</v>
      </c>
      <c r="M16" s="25" t="s">
        <v>580</v>
      </c>
      <c r="N16" s="25" t="s">
        <v>580</v>
      </c>
      <c r="O16" s="25" t="s">
        <v>580</v>
      </c>
      <c r="P16" s="25">
        <v>4000</v>
      </c>
      <c r="Q16" s="25">
        <v>200</v>
      </c>
      <c r="R16" s="25">
        <v>4000</v>
      </c>
      <c r="S16" s="25">
        <v>4000</v>
      </c>
      <c r="T16" s="25">
        <v>200</v>
      </c>
      <c r="U16" s="25">
        <v>4000</v>
      </c>
      <c r="V16" s="23" t="s">
        <v>566</v>
      </c>
    </row>
    <row r="17" spans="1:21" ht="13" x14ac:dyDescent="0.15">
      <c r="A17" s="58">
        <v>155</v>
      </c>
      <c r="B17" s="59" t="str">
        <f>IFERROR(VLOOKUP($A17,Admission!$1:$998,4,0),"")</f>
        <v>RAUNAK ISLAM</v>
      </c>
      <c r="C17" s="59" t="str">
        <f>IFERROR(VLOOKUP($A17,Admission!$1:$998,5,0),"")</f>
        <v>BELAL SEKH</v>
      </c>
      <c r="D17" s="59">
        <f>IFERROR(VLOOKUP($A17,Admission!$1:$998,10,0),"")</f>
        <v>9006023631</v>
      </c>
      <c r="E17" s="59" t="str">
        <f>IFERROR(VLOOKUP($A17,Admission!$1:$998,3,0),"")</f>
        <v>Day Scholar</v>
      </c>
      <c r="F17" s="25">
        <v>800</v>
      </c>
      <c r="G17" s="25">
        <v>800</v>
      </c>
      <c r="H17" s="25">
        <v>800</v>
      </c>
      <c r="I17" s="25">
        <v>200</v>
      </c>
      <c r="J17" s="25">
        <v>800</v>
      </c>
      <c r="K17" s="25">
        <v>800</v>
      </c>
      <c r="L17" s="25">
        <v>800</v>
      </c>
      <c r="M17" s="25">
        <v>250</v>
      </c>
      <c r="N17" s="25">
        <v>800</v>
      </c>
      <c r="O17" s="25">
        <v>800</v>
      </c>
      <c r="P17" s="25">
        <v>800</v>
      </c>
      <c r="Q17" s="25">
        <v>250</v>
      </c>
      <c r="R17" s="25">
        <v>800</v>
      </c>
      <c r="S17" s="25">
        <v>800</v>
      </c>
      <c r="T17" s="25">
        <v>250</v>
      </c>
      <c r="U17" s="25">
        <v>800</v>
      </c>
    </row>
    <row r="18" spans="1:21" ht="13" x14ac:dyDescent="0.15">
      <c r="A18" s="58">
        <v>119</v>
      </c>
      <c r="B18" s="59" t="str">
        <f>IFERROR(VLOOKUP($A18,Admission!$1:$998,4,0),"")</f>
        <v>WAHIDA KHATUN</v>
      </c>
      <c r="C18" s="59" t="str">
        <f>IFERROR(VLOOKUP($A18,Admission!$1:$998,5,0),"")</f>
        <v>ALAMGIR ALAM</v>
      </c>
      <c r="D18" s="59">
        <f>IFERROR(VLOOKUP($A18,Admission!$1:$998,10,0),"")</f>
        <v>8809343430</v>
      </c>
      <c r="E18" s="59" t="str">
        <f>IFERROR(VLOOKUP($A18,Admission!$1:$998,3,0),"")</f>
        <v>Hosteller</v>
      </c>
      <c r="F18" s="25">
        <v>0</v>
      </c>
      <c r="G18" s="25">
        <v>4000</v>
      </c>
      <c r="H18" s="25">
        <v>4000</v>
      </c>
      <c r="I18" s="25"/>
      <c r="J18" s="25">
        <v>4000</v>
      </c>
      <c r="K18" s="25" t="s">
        <v>313</v>
      </c>
      <c r="L18" s="25" t="s">
        <v>313</v>
      </c>
      <c r="M18" s="25"/>
      <c r="N18" s="25" t="s">
        <v>313</v>
      </c>
      <c r="O18" s="25" t="s">
        <v>579</v>
      </c>
      <c r="P18" s="25" t="s">
        <v>313</v>
      </c>
      <c r="Q18" s="25" t="s">
        <v>313</v>
      </c>
      <c r="R18" s="25" t="s">
        <v>313</v>
      </c>
      <c r="S18" s="25" t="s">
        <v>313</v>
      </c>
      <c r="T18" s="25" t="s">
        <v>313</v>
      </c>
      <c r="U18" s="25" t="s">
        <v>313</v>
      </c>
    </row>
    <row r="19" spans="1:21" ht="13" x14ac:dyDescent="0.15">
      <c r="A19" s="58">
        <v>158</v>
      </c>
      <c r="B19" s="59" t="str">
        <f>IFERROR(VLOOKUP($A19,Admission!$1:$998,4,0),"")</f>
        <v>MD MUJAHIDUL ISLAM</v>
      </c>
      <c r="C19" s="59" t="str">
        <f>IFERROR(VLOOKUP($A19,Admission!$1:$998,5,0),"")</f>
        <v>NASIM AHMAD</v>
      </c>
      <c r="D19" s="59">
        <f>IFERROR(VLOOKUP($A19,Admission!$1:$998,10,0),"")</f>
        <v>9431388244</v>
      </c>
      <c r="E19" s="59" t="str">
        <f>IFERROR(VLOOKUP($A19,Admission!$1:$998,3,0),"")</f>
        <v>Day Scholar</v>
      </c>
      <c r="F19" s="25">
        <v>800</v>
      </c>
      <c r="G19" s="25">
        <v>800</v>
      </c>
      <c r="H19" s="25">
        <v>800</v>
      </c>
      <c r="I19" s="25">
        <v>200</v>
      </c>
      <c r="J19" s="25">
        <v>800</v>
      </c>
      <c r="K19" s="25">
        <v>800</v>
      </c>
      <c r="L19" s="25">
        <v>800</v>
      </c>
      <c r="M19" s="25">
        <v>200</v>
      </c>
      <c r="N19" s="25">
        <v>4000</v>
      </c>
      <c r="O19" s="25">
        <v>4000</v>
      </c>
      <c r="P19" s="25">
        <v>4000</v>
      </c>
      <c r="Q19" s="25">
        <v>200</v>
      </c>
      <c r="R19" s="25">
        <v>4000</v>
      </c>
      <c r="S19" s="25">
        <v>4000</v>
      </c>
      <c r="T19" s="25">
        <v>200</v>
      </c>
      <c r="U19" s="25">
        <v>4000</v>
      </c>
    </row>
    <row r="20" spans="1:21" ht="13" x14ac:dyDescent="0.15">
      <c r="A20" s="58">
        <v>159</v>
      </c>
      <c r="B20" s="59" t="str">
        <f>IFERROR(VLOOKUP($A20,Admission!$1:$998,4,0),"")</f>
        <v>MINHAZ ALAM</v>
      </c>
      <c r="C20" s="59" t="str">
        <f>IFERROR(VLOOKUP($A20,Admission!$1:$998,5,0),"")</f>
        <v>ASFARUL SEKH</v>
      </c>
      <c r="D20" s="59">
        <f>IFERROR(VLOOKUP($A20,Admission!$1:$998,10,0),"")</f>
        <v>7321949591</v>
      </c>
      <c r="E20" s="59" t="str">
        <f>IFERROR(VLOOKUP($A20,Admission!$1:$998,3,0),"")</f>
        <v>Day Scholar</v>
      </c>
      <c r="F20" s="25">
        <v>800</v>
      </c>
      <c r="G20" s="25">
        <v>800</v>
      </c>
      <c r="H20" s="25">
        <v>800</v>
      </c>
      <c r="I20" s="25">
        <v>200</v>
      </c>
      <c r="J20" s="25">
        <v>800</v>
      </c>
      <c r="K20" s="25">
        <v>800</v>
      </c>
      <c r="L20" s="25">
        <v>800</v>
      </c>
      <c r="M20" s="25">
        <v>200</v>
      </c>
      <c r="N20" s="25">
        <v>800</v>
      </c>
      <c r="O20" s="25">
        <v>800</v>
      </c>
      <c r="P20" s="25">
        <v>800</v>
      </c>
      <c r="Q20" s="25"/>
      <c r="R20" s="25">
        <v>800</v>
      </c>
      <c r="S20" s="25"/>
      <c r="T20" s="25"/>
      <c r="U20" s="25"/>
    </row>
    <row r="21" spans="1:21" ht="17.25" customHeight="1" x14ac:dyDescent="0.15">
      <c r="B21" s="74"/>
      <c r="C21" s="74"/>
      <c r="D21" s="74"/>
      <c r="E21" s="74"/>
      <c r="O21" s="25"/>
      <c r="P21" s="25"/>
      <c r="Q21" s="25"/>
      <c r="R21" s="25"/>
      <c r="S21" s="25"/>
      <c r="T21" s="25"/>
      <c r="U21" s="25"/>
    </row>
    <row r="22" spans="1:21" ht="13" x14ac:dyDescent="0.15">
      <c r="A22" s="58"/>
      <c r="B22" s="59" t="str">
        <f>IFERROR(VLOOKUP($A22,Admission!$1:$998,4,0),"")</f>
        <v/>
      </c>
      <c r="C22" s="59" t="str">
        <f>IFERROR(VLOOKUP($A22,Admission!$1:$998,5,0),"")</f>
        <v/>
      </c>
      <c r="D22" s="59" t="str">
        <f>IFERROR(VLOOKUP($A22,Admission!$1:$998,10,0),"")</f>
        <v/>
      </c>
      <c r="E22" s="59" t="str">
        <f>IFERROR(VLOOKUP($A22,Admission!$1:$998,3,0),"")</f>
        <v/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1" ht="13" x14ac:dyDescent="0.15">
      <c r="A23" s="58"/>
      <c r="B23" s="59" t="str">
        <f>IFERROR(VLOOKUP($A23,Admission!$1:$998,4,0),"")</f>
        <v/>
      </c>
      <c r="C23" s="59" t="str">
        <f>IFERROR(VLOOKUP($A23,Admission!$1:$998,5,0),"")</f>
        <v/>
      </c>
      <c r="D23" s="59" t="str">
        <f>IFERROR(VLOOKUP($A23,Admission!$1:$998,10,0),"")</f>
        <v/>
      </c>
      <c r="E23" s="59" t="str">
        <f>IFERROR(VLOOKUP($A23,Admission!$1:$998,3,0),"")</f>
        <v/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1" ht="13" x14ac:dyDescent="0.15">
      <c r="A24" s="58"/>
      <c r="B24" s="59" t="str">
        <f>IFERROR(VLOOKUP($A24,Admission!$1:$998,4,0),"")</f>
        <v/>
      </c>
      <c r="C24" s="59" t="str">
        <f>IFERROR(VLOOKUP($A24,Admission!$1:$998,5,0),"")</f>
        <v/>
      </c>
      <c r="D24" s="59" t="str">
        <f>IFERROR(VLOOKUP($A24,Admission!$1:$998,10,0),"")</f>
        <v/>
      </c>
      <c r="E24" s="59" t="str">
        <f>IFERROR(VLOOKUP($A24,Admission!$1:$998,3,0),"")</f>
        <v/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1" ht="13" x14ac:dyDescent="0.15">
      <c r="A25" s="58"/>
      <c r="B25" s="59" t="str">
        <f>IFERROR(VLOOKUP($A25,Admission!$1:$998,4,0),"")</f>
        <v/>
      </c>
      <c r="C25" s="59" t="str">
        <f>IFERROR(VLOOKUP($A25,Admission!$1:$998,5,0),"")</f>
        <v/>
      </c>
      <c r="D25" s="59" t="str">
        <f>IFERROR(VLOOKUP($A25,Admission!$1:$998,10,0),"")</f>
        <v/>
      </c>
      <c r="E25" s="59" t="str">
        <f>IFERROR(VLOOKUP($A25,Admission!$1:$998,3,0),"")</f>
        <v/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1:21" ht="13" x14ac:dyDescent="0.15">
      <c r="A26" s="58"/>
      <c r="B26" s="59" t="str">
        <f>IFERROR(VLOOKUP($A26,Admission!$1:$998,4,0),"")</f>
        <v/>
      </c>
      <c r="C26" s="59" t="str">
        <f>IFERROR(VLOOKUP($A26,Admission!$1:$998,5,0),"")</f>
        <v/>
      </c>
      <c r="D26" s="59" t="str">
        <f>IFERROR(VLOOKUP($A26,Admission!$1:$998,10,0),"")</f>
        <v/>
      </c>
      <c r="E26" s="59" t="str">
        <f>IFERROR(VLOOKUP($A26,Admission!$1:$998,3,0),"")</f>
        <v/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ht="13" x14ac:dyDescent="0.15">
      <c r="A27" s="58"/>
      <c r="B27" s="59" t="str">
        <f>IFERROR(VLOOKUP($A27,Admission!$1:$998,4,0),"")</f>
        <v/>
      </c>
      <c r="C27" s="59" t="str">
        <f>IFERROR(VLOOKUP($A27,Admission!$1:$998,5,0),"")</f>
        <v/>
      </c>
      <c r="D27" s="59" t="str">
        <f>IFERROR(VLOOKUP($A27,Admission!$1:$998,10,0),"")</f>
        <v/>
      </c>
      <c r="E27" s="59" t="str">
        <f>IFERROR(VLOOKUP($A27,Admission!$1:$998,3,0),"")</f>
        <v/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1" ht="13" x14ac:dyDescent="0.15">
      <c r="A28" s="58"/>
      <c r="B28" s="59" t="str">
        <f>IFERROR(VLOOKUP($A28,Admission!$1:$998,4,0),"")</f>
        <v/>
      </c>
      <c r="C28" s="59" t="str">
        <f>IFERROR(VLOOKUP($A28,Admission!$1:$998,5,0),"")</f>
        <v/>
      </c>
      <c r="D28" s="59" t="str">
        <f>IFERROR(VLOOKUP($A28,Admission!$1:$998,10,0),"")</f>
        <v/>
      </c>
      <c r="E28" s="59" t="str">
        <f>IFERROR(VLOOKUP($A28,Admission!$1:$998,3,0),"")</f>
        <v/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ht="13" x14ac:dyDescent="0.15">
      <c r="A29" s="58"/>
      <c r="B29" s="59" t="str">
        <f>IFERROR(VLOOKUP($A29,Admission!$1:$998,4,0),"")</f>
        <v/>
      </c>
      <c r="C29" s="59" t="str">
        <f>IFERROR(VLOOKUP($A29,Admission!$1:$998,5,0),"")</f>
        <v/>
      </c>
      <c r="D29" s="59" t="str">
        <f>IFERROR(VLOOKUP($A29,Admission!$1:$998,10,0),"")</f>
        <v/>
      </c>
      <c r="E29" s="59" t="str">
        <f>IFERROR(VLOOKUP($A29,Admission!$1:$998,3,0),"")</f>
        <v/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ht="13" x14ac:dyDescent="0.15">
      <c r="A30" s="58"/>
      <c r="B30" s="59" t="str">
        <f>IFERROR(VLOOKUP($A30,Admission!$1:$998,4,0),"")</f>
        <v/>
      </c>
      <c r="C30" s="59" t="str">
        <f>IFERROR(VLOOKUP($A30,Admission!$1:$998,5,0),"")</f>
        <v/>
      </c>
      <c r="D30" s="59" t="str">
        <f>IFERROR(VLOOKUP($A30,Admission!$1:$998,10,0),"")</f>
        <v/>
      </c>
      <c r="E30" s="59" t="str">
        <f>IFERROR(VLOOKUP($A30,Admission!$1:$998,3,0),"")</f>
        <v/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 ht="13" x14ac:dyDescent="0.15">
      <c r="A31" s="58"/>
      <c r="B31" s="59" t="str">
        <f>IFERROR(VLOOKUP($A31,Admission!$1:$998,4,0),"")</f>
        <v/>
      </c>
      <c r="C31" s="59" t="str">
        <f>IFERROR(VLOOKUP($A31,Admission!$1:$998,5,0),"")</f>
        <v/>
      </c>
      <c r="D31" s="59" t="str">
        <f>IFERROR(VLOOKUP($A31,Admission!$1:$998,10,0),"")</f>
        <v/>
      </c>
      <c r="E31" s="59" t="str">
        <f>IFERROR(VLOOKUP($A31,Admission!$1:$998,3,0),"")</f>
        <v/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1:21" ht="13" x14ac:dyDescent="0.15">
      <c r="A32" s="58"/>
      <c r="B32" s="59" t="str">
        <f>IFERROR(VLOOKUP($A32,Admission!$1:$998,4,0),"")</f>
        <v/>
      </c>
      <c r="C32" s="59" t="str">
        <f>IFERROR(VLOOKUP($A32,Admission!$1:$998,5,0),"")</f>
        <v/>
      </c>
      <c r="D32" s="59" t="str">
        <f>IFERROR(VLOOKUP($A32,Admission!$1:$998,10,0),"")</f>
        <v/>
      </c>
      <c r="E32" s="59" t="str">
        <f>IFERROR(VLOOKUP($A32,Admission!$1:$998,3,0),"")</f>
        <v/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1:21" ht="13" x14ac:dyDescent="0.15">
      <c r="A33" s="58"/>
      <c r="B33" s="59" t="str">
        <f>IFERROR(VLOOKUP($A33,Admission!$1:$998,4,0),"")</f>
        <v/>
      </c>
      <c r="C33" s="59" t="str">
        <f>IFERROR(VLOOKUP($A33,Admission!$1:$998,5,0),"")</f>
        <v/>
      </c>
      <c r="D33" s="59" t="str">
        <f>IFERROR(VLOOKUP($A33,Admission!$1:$998,10,0),"")</f>
        <v/>
      </c>
      <c r="E33" s="59" t="str">
        <f>IFERROR(VLOOKUP($A33,Admission!$1:$998,3,0),"")</f>
        <v/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1:21" ht="13" x14ac:dyDescent="0.15">
      <c r="A34" s="58"/>
      <c r="B34" s="59" t="str">
        <f>IFERROR(VLOOKUP($A34,Admission!$1:$998,4,0),"")</f>
        <v/>
      </c>
      <c r="C34" s="59" t="str">
        <f>IFERROR(VLOOKUP($A34,Admission!$1:$998,5,0),"")</f>
        <v/>
      </c>
      <c r="D34" s="59" t="str">
        <f>IFERROR(VLOOKUP($A34,Admission!$1:$998,10,0),"")</f>
        <v/>
      </c>
      <c r="E34" s="59" t="str">
        <f>IFERROR(VLOOKUP($A34,Admission!$1:$998,3,0),"")</f>
        <v/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1:21" ht="13" x14ac:dyDescent="0.15">
      <c r="A35" s="58"/>
      <c r="B35" s="59" t="str">
        <f>IFERROR(VLOOKUP($A35,Admission!$1:$998,4,0),"")</f>
        <v/>
      </c>
      <c r="C35" s="59" t="str">
        <f>IFERROR(VLOOKUP($A35,Admission!$1:$998,5,0),"")</f>
        <v/>
      </c>
      <c r="D35" s="59"/>
      <c r="E35" s="59" t="str">
        <f>IFERROR(VLOOKUP($A35,Admission!$1:$998,3,0),"")</f>
        <v/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1:21" ht="13" x14ac:dyDescent="0.15">
      <c r="A36" s="58"/>
      <c r="B36" s="59" t="str">
        <f>IFERROR(VLOOKUP($A36,Admission!$1:$998,4,0),"")</f>
        <v/>
      </c>
      <c r="C36" s="59" t="str">
        <f>IFERROR(VLOOKUP($A36,Admission!$1:$998,5,0),"")</f>
        <v/>
      </c>
      <c r="D36" s="59"/>
      <c r="E36" s="59" t="str">
        <f>IFERROR(VLOOKUP($A36,Admission!$1:$998,3,0),"")</f>
        <v/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1:21" ht="13" x14ac:dyDescent="0.15">
      <c r="A37" s="58"/>
      <c r="B37" s="59" t="str">
        <f>IFERROR(VLOOKUP($A37,Admission!$1:$998,4,0),"")</f>
        <v/>
      </c>
      <c r="C37" s="59" t="str">
        <f>IFERROR(VLOOKUP($A37,Admission!$1:$998,5,0),"")</f>
        <v/>
      </c>
      <c r="D37" s="59"/>
      <c r="E37" s="59" t="str">
        <f>IFERROR(VLOOKUP($A37,Admission!$1:$998,3,0),"")</f>
        <v/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1:21" ht="13" x14ac:dyDescent="0.15">
      <c r="A38" s="58"/>
      <c r="B38" s="59" t="str">
        <f>IFERROR(VLOOKUP($A38,Admission!$1:$998,4,0),"")</f>
        <v/>
      </c>
      <c r="C38" s="59" t="str">
        <f>IFERROR(VLOOKUP($A38,Admission!$1:$998,5,0),"")</f>
        <v/>
      </c>
      <c r="D38" s="59"/>
      <c r="E38" s="59" t="str">
        <f>IFERROR(VLOOKUP($A38,Admission!$1:$998,3,0),"")</f>
        <v/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1:21" ht="13" x14ac:dyDescent="0.15">
      <c r="A39" s="58"/>
      <c r="B39" s="59" t="str">
        <f>IFERROR(VLOOKUP($A39,Admission!$1:$998,4,0),"")</f>
        <v/>
      </c>
      <c r="C39" s="59" t="str">
        <f>IFERROR(VLOOKUP($A39,Admission!$1:$998,5,0),"")</f>
        <v/>
      </c>
      <c r="D39" s="59"/>
      <c r="E39" s="59" t="str">
        <f>IFERROR(VLOOKUP($A39,Admission!$1:$998,3,0),"")</f>
        <v/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ht="13" x14ac:dyDescent="0.15">
      <c r="A40" s="58"/>
      <c r="B40" s="59" t="str">
        <f>IFERROR(VLOOKUP($A40,Admission!$1:$998,4,0),"")</f>
        <v/>
      </c>
      <c r="C40" s="59" t="str">
        <f>IFERROR(VLOOKUP($A40,Admission!$1:$998,5,0),"")</f>
        <v/>
      </c>
      <c r="D40" s="59"/>
      <c r="E40" s="59" t="str">
        <f>IFERROR(VLOOKUP($A40,Admission!$1:$998,3,0),"")</f>
        <v/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1:21" ht="13" x14ac:dyDescent="0.15">
      <c r="A41" s="58"/>
      <c r="B41" s="59" t="str">
        <f>IFERROR(VLOOKUP($A41,Admission!$1:$998,4,0),"")</f>
        <v/>
      </c>
      <c r="C41" s="59" t="str">
        <f>IFERROR(VLOOKUP($A41,Admission!$1:$998,5,0),"")</f>
        <v/>
      </c>
      <c r="D41" s="59"/>
      <c r="E41" s="59" t="str">
        <f>IFERROR(VLOOKUP($A41,Admission!$1:$998,3,0),"")</f>
        <v/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1:21" ht="13" x14ac:dyDescent="0.15">
      <c r="A42" s="58"/>
      <c r="B42" s="59" t="str">
        <f>IFERROR(VLOOKUP($A42,Admission!$1:$998,4,0),"")</f>
        <v/>
      </c>
      <c r="C42" s="59" t="str">
        <f>IFERROR(VLOOKUP($A42,Admission!$1:$998,5,0),"")</f>
        <v/>
      </c>
      <c r="D42" s="59"/>
      <c r="E42" s="59" t="str">
        <f>IFERROR(VLOOKUP($A42,Admission!$1:$998,3,0),"")</f>
        <v/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1:21" ht="13" x14ac:dyDescent="0.15">
      <c r="A43" s="58"/>
      <c r="B43" s="59" t="str">
        <f>IFERROR(VLOOKUP($A43,Admission!$1:$998,4,0),"")</f>
        <v/>
      </c>
      <c r="C43" s="59" t="str">
        <f>IFERROR(VLOOKUP($A43,Admission!$1:$998,5,0),"")</f>
        <v/>
      </c>
      <c r="D43" s="59"/>
      <c r="E43" s="59" t="str">
        <f>IFERROR(VLOOKUP($A43,Admission!$1:$998,3,0),"")</f>
        <v/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21" ht="13" x14ac:dyDescent="0.15">
      <c r="A44" s="58"/>
      <c r="B44" s="59" t="str">
        <f>IFERROR(VLOOKUP($A44,Admission!$1:$998,4,0),"")</f>
        <v/>
      </c>
      <c r="C44" s="59" t="str">
        <f>IFERROR(VLOOKUP($A44,Admission!$1:$998,5,0),"")</f>
        <v/>
      </c>
      <c r="D44" s="59"/>
      <c r="E44" s="59" t="str">
        <f>IFERROR(VLOOKUP($A44,Admission!$1:$998,3,0),"")</f>
        <v/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21" ht="13" x14ac:dyDescent="0.15">
      <c r="A45" s="58"/>
      <c r="B45" s="59" t="str">
        <f>IFERROR(VLOOKUP($A45,Admission!$1:$998,4,0),"")</f>
        <v/>
      </c>
      <c r="C45" s="59" t="str">
        <f>IFERROR(VLOOKUP($A45,Admission!$1:$998,5,0),"")</f>
        <v/>
      </c>
      <c r="D45" s="59"/>
      <c r="E45" s="59" t="str">
        <f>IFERROR(VLOOKUP($A45,Admission!$1:$998,3,0),"")</f>
        <v/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1:21" ht="13" x14ac:dyDescent="0.15">
      <c r="A46" s="58"/>
      <c r="B46" s="59" t="str">
        <f>IFERROR(VLOOKUP($A46,Admission!$1:$998,4,0),"")</f>
        <v/>
      </c>
      <c r="C46" s="59" t="str">
        <f>IFERROR(VLOOKUP($A46,Admission!$1:$998,5,0),"")</f>
        <v/>
      </c>
      <c r="D46" s="59"/>
      <c r="E46" s="59" t="str">
        <f>IFERROR(VLOOKUP($A46,Admission!$1:$998,3,0),"")</f>
        <v/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1:21" ht="13" x14ac:dyDescent="0.15">
      <c r="A47" s="58"/>
      <c r="B47" s="59" t="str">
        <f>IFERROR(VLOOKUP($A47,Admission!$1:$998,4,0),"")</f>
        <v/>
      </c>
      <c r="C47" s="59" t="str">
        <f>IFERROR(VLOOKUP($A47,Admission!$1:$998,5,0),"")</f>
        <v/>
      </c>
      <c r="D47" s="59"/>
      <c r="E47" s="59" t="str">
        <f>IFERROR(VLOOKUP($A47,Admission!$1:$998,3,0),"")</f>
        <v/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1:21" ht="13" x14ac:dyDescent="0.15">
      <c r="A48" s="58"/>
      <c r="B48" s="59" t="str">
        <f>IFERROR(VLOOKUP($A48,Admission!$1:$998,4,0),"")</f>
        <v/>
      </c>
      <c r="C48" s="59" t="str">
        <f>IFERROR(VLOOKUP($A48,Admission!$1:$998,5,0),"")</f>
        <v/>
      </c>
      <c r="D48" s="59"/>
      <c r="E48" s="59" t="str">
        <f>IFERROR(VLOOKUP($A48,Admission!$1:$998,3,0),"")</f>
        <v/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1:21" ht="13" x14ac:dyDescent="0.15">
      <c r="A49" s="58"/>
      <c r="B49" s="59" t="str">
        <f>IFERROR(VLOOKUP($A49,Admission!$1:$998,4,0),"")</f>
        <v/>
      </c>
      <c r="C49" s="59" t="str">
        <f>IFERROR(VLOOKUP($A49,Admission!$1:$998,5,0),"")</f>
        <v/>
      </c>
      <c r="D49" s="59"/>
      <c r="E49" s="59" t="str">
        <f>IFERROR(VLOOKUP($A49,Admission!$1:$998,3,0),"")</f>
        <v/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1:21" ht="13" x14ac:dyDescent="0.15">
      <c r="A50" s="58"/>
      <c r="B50" s="59" t="str">
        <f>IFERROR(VLOOKUP($A50,Admission!$1:$998,4,0),"")</f>
        <v/>
      </c>
      <c r="C50" s="59" t="str">
        <f>IFERROR(VLOOKUP($A50,Admission!$1:$998,5,0),"")</f>
        <v/>
      </c>
      <c r="D50" s="59"/>
      <c r="E50" s="59" t="str">
        <f>IFERROR(VLOOKUP($A50,Admission!$1:$998,3,0),"")</f>
        <v/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1:21" ht="13" x14ac:dyDescent="0.15">
      <c r="A51" s="58"/>
      <c r="B51" s="59" t="str">
        <f>IFERROR(VLOOKUP($A51,Admission!$1:$998,4,0),"")</f>
        <v/>
      </c>
      <c r="C51" s="59" t="str">
        <f>IFERROR(VLOOKUP($A51,Admission!$1:$998,5,0),"")</f>
        <v/>
      </c>
      <c r="D51" s="59"/>
      <c r="E51" s="59" t="str">
        <f>IFERROR(VLOOKUP($A51,Admission!$1:$998,3,0),"")</f>
        <v/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</row>
    <row r="52" spans="1:21" ht="13" x14ac:dyDescent="0.15">
      <c r="A52" s="58"/>
      <c r="B52" s="59" t="str">
        <f>IFERROR(VLOOKUP($A52,Admission!$1:$998,4,0),"")</f>
        <v/>
      </c>
      <c r="C52" s="59" t="str">
        <f>IFERROR(VLOOKUP($A52,Admission!$1:$998,5,0),"")</f>
        <v/>
      </c>
      <c r="D52" s="59"/>
      <c r="E52" s="59" t="str">
        <f>IFERROR(VLOOKUP($A52,Admission!$1:$998,3,0),"")</f>
        <v/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ht="13" x14ac:dyDescent="0.15">
      <c r="A53" s="58"/>
      <c r="B53" s="59" t="str">
        <f>IFERROR(VLOOKUP($A53,Admission!$1:$998,4,0),"")</f>
        <v/>
      </c>
      <c r="C53" s="59" t="str">
        <f>IFERROR(VLOOKUP($A53,Admission!$1:$998,5,0),"")</f>
        <v/>
      </c>
      <c r="D53" s="59"/>
      <c r="E53" s="59" t="str">
        <f>IFERROR(VLOOKUP($A53,Admission!$1:$998,3,0),"")</f>
        <v/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1:21" ht="13" x14ac:dyDescent="0.15">
      <c r="A54" s="58"/>
      <c r="B54" s="59" t="str">
        <f>IFERROR(VLOOKUP($A54,Admission!$1:$998,4,0),"")</f>
        <v/>
      </c>
      <c r="C54" s="59" t="str">
        <f>IFERROR(VLOOKUP($A54,Admission!$1:$998,5,0),"")</f>
        <v/>
      </c>
      <c r="D54" s="59"/>
      <c r="E54" s="59" t="str">
        <f>IFERROR(VLOOKUP($A54,Admission!$1:$998,3,0),"")</f>
        <v/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1:21" ht="13" x14ac:dyDescent="0.15">
      <c r="A55" s="58"/>
      <c r="B55" s="59" t="str">
        <f>IFERROR(VLOOKUP($A55,Admission!$1:$998,4,0),"")</f>
        <v/>
      </c>
      <c r="C55" s="59" t="str">
        <f>IFERROR(VLOOKUP($A55,Admission!$1:$998,5,0),"")</f>
        <v/>
      </c>
      <c r="D55" s="59"/>
      <c r="E55" s="59" t="str">
        <f>IFERROR(VLOOKUP($A55,Admission!$1:$998,3,0),"")</f>
        <v/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 spans="1:21" ht="13" x14ac:dyDescent="0.15">
      <c r="A56" s="58"/>
      <c r="B56" s="59" t="str">
        <f>IFERROR(VLOOKUP($A56,Admission!$1:$998,4,0),"")</f>
        <v/>
      </c>
      <c r="C56" s="59" t="str">
        <f>IFERROR(VLOOKUP($A56,Admission!$1:$998,5,0),"")</f>
        <v/>
      </c>
      <c r="D56" s="59"/>
      <c r="E56" s="59" t="str">
        <f>IFERROR(VLOOKUP($A56,Admission!$1:$998,3,0),"")</f>
        <v/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1:21" ht="13" x14ac:dyDescent="0.15">
      <c r="A57" s="58"/>
      <c r="B57" s="59" t="str">
        <f>IFERROR(VLOOKUP($A57,Admission!$1:$998,4,0),"")</f>
        <v/>
      </c>
      <c r="C57" s="59" t="str">
        <f>IFERROR(VLOOKUP($A57,Admission!$1:$998,5,0),"")</f>
        <v/>
      </c>
      <c r="D57" s="59"/>
      <c r="E57" s="59" t="str">
        <f>IFERROR(VLOOKUP($A57,Admission!$1:$998,3,0),"")</f>
        <v/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1:21" ht="13" x14ac:dyDescent="0.15">
      <c r="A58" s="58"/>
      <c r="B58" s="59" t="str">
        <f>IFERROR(VLOOKUP($A58,Admission!$1:$998,4,0),"")</f>
        <v/>
      </c>
      <c r="C58" s="59" t="str">
        <f>IFERROR(VLOOKUP($A58,Admission!$1:$998,5,0),"")</f>
        <v/>
      </c>
      <c r="D58" s="59"/>
      <c r="E58" s="59" t="str">
        <f>IFERROR(VLOOKUP($A58,Admission!$1:$998,3,0),"")</f>
        <v/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1:21" ht="13" x14ac:dyDescent="0.15">
      <c r="A59" s="58"/>
      <c r="B59" s="59" t="str">
        <f>IFERROR(VLOOKUP($A59,Admission!$1:$998,4,0),"")</f>
        <v/>
      </c>
      <c r="C59" s="59" t="str">
        <f>IFERROR(VLOOKUP($A59,Admission!$1:$998,5,0),"")</f>
        <v/>
      </c>
      <c r="D59" s="59"/>
      <c r="E59" s="59" t="str">
        <f>IFERROR(VLOOKUP($A59,Admission!$1:$998,3,0),"")</f>
        <v/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1:21" ht="13" x14ac:dyDescent="0.15">
      <c r="A60" s="58"/>
      <c r="B60" s="59" t="str">
        <f>IFERROR(VLOOKUP($A60,Admission!$1:$998,4,0),"")</f>
        <v/>
      </c>
      <c r="C60" s="59" t="str">
        <f>IFERROR(VLOOKUP($A60,Admission!$1:$998,5,0),"")</f>
        <v/>
      </c>
      <c r="D60" s="59"/>
      <c r="E60" s="59" t="str">
        <f>IFERROR(VLOOKUP($A60,Admission!$1:$998,3,0),"")</f>
        <v/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</row>
    <row r="61" spans="1:21" ht="13" x14ac:dyDescent="0.15">
      <c r="A61" s="58"/>
      <c r="B61" s="59" t="str">
        <f>IFERROR(VLOOKUP($A61,Admission!$1:$998,4,0),"")</f>
        <v/>
      </c>
      <c r="C61" s="59" t="str">
        <f>IFERROR(VLOOKUP($A61,Admission!$1:$998,5,0),"")</f>
        <v/>
      </c>
      <c r="D61" s="59"/>
      <c r="E61" s="59" t="str">
        <f>IFERROR(VLOOKUP($A61,Admission!$1:$998,3,0),"")</f>
        <v/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1:21" ht="13" x14ac:dyDescent="0.15">
      <c r="A62" s="58"/>
      <c r="B62" s="59" t="str">
        <f>IFERROR(VLOOKUP($A62,Admission!$1:$998,4,0),"")</f>
        <v/>
      </c>
      <c r="C62" s="59" t="str">
        <f>IFERROR(VLOOKUP($A62,Admission!$1:$998,5,0),"")</f>
        <v/>
      </c>
      <c r="D62" s="59"/>
      <c r="E62" s="59" t="str">
        <f>IFERROR(VLOOKUP($A62,Admission!$1:$998,3,0),"")</f>
        <v/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1:21" ht="13" x14ac:dyDescent="0.15">
      <c r="A63" s="58"/>
      <c r="B63" s="59" t="str">
        <f>IFERROR(VLOOKUP($A63,Admission!$1:$998,4,0),"")</f>
        <v/>
      </c>
      <c r="C63" s="59" t="str">
        <f>IFERROR(VLOOKUP($A63,Admission!$1:$998,5,0),"")</f>
        <v/>
      </c>
      <c r="D63" s="59"/>
      <c r="E63" s="59" t="str">
        <f>IFERROR(VLOOKUP($A63,Admission!$1:$998,3,0),"")</f>
        <v/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1:21" ht="13" x14ac:dyDescent="0.15">
      <c r="A64" s="58"/>
      <c r="B64" s="59" t="str">
        <f>IFERROR(VLOOKUP($A64,Admission!$1:$998,4,0),"")</f>
        <v/>
      </c>
      <c r="C64" s="59" t="str">
        <f>IFERROR(VLOOKUP($A64,Admission!$1:$998,5,0),"")</f>
        <v/>
      </c>
      <c r="D64" s="59"/>
      <c r="E64" s="59" t="str">
        <f>IFERROR(VLOOKUP($A64,Admission!$1:$998,3,0),"")</f>
        <v/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</row>
    <row r="65" spans="1:21" ht="13" x14ac:dyDescent="0.15">
      <c r="A65" s="58"/>
      <c r="B65" s="59" t="str">
        <f>IFERROR(VLOOKUP($A65,Admission!$1:$998,4,0),"")</f>
        <v/>
      </c>
      <c r="C65" s="59" t="str">
        <f>IFERROR(VLOOKUP($A65,Admission!$1:$998,5,0),"")</f>
        <v/>
      </c>
      <c r="D65" s="59"/>
      <c r="E65" s="59" t="str">
        <f>IFERROR(VLOOKUP($A65,Admission!$1:$998,3,0),"")</f>
        <v/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1:21" ht="13" x14ac:dyDescent="0.15">
      <c r="A66" s="58"/>
      <c r="B66" s="59" t="str">
        <f>IFERROR(VLOOKUP($A66,Admission!$1:$998,4,0),"")</f>
        <v/>
      </c>
      <c r="C66" s="59" t="str">
        <f>IFERROR(VLOOKUP($A66,Admission!$1:$998,5,0),"")</f>
        <v/>
      </c>
      <c r="D66" s="59"/>
      <c r="E66" s="59" t="str">
        <f>IFERROR(VLOOKUP($A66,Admission!$1:$998,3,0),"")</f>
        <v/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1:21" ht="13" x14ac:dyDescent="0.15">
      <c r="A67" s="58"/>
      <c r="B67" s="59" t="str">
        <f>IFERROR(VLOOKUP($A67,Admission!$1:$998,4,0),"")</f>
        <v/>
      </c>
      <c r="C67" s="59" t="str">
        <f>IFERROR(VLOOKUP($A67,Admission!$1:$998,5,0),"")</f>
        <v/>
      </c>
      <c r="D67" s="59"/>
      <c r="E67" s="59" t="str">
        <f>IFERROR(VLOOKUP($A67,Admission!$1:$998,3,0),"")</f>
        <v/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1:21" ht="13" x14ac:dyDescent="0.15">
      <c r="A68" s="58"/>
      <c r="B68" s="59" t="str">
        <f>IFERROR(VLOOKUP($A68,Admission!$1:$998,4,0),"")</f>
        <v/>
      </c>
      <c r="C68" s="59" t="str">
        <f>IFERROR(VLOOKUP($A68,Admission!$1:$998,5,0),"")</f>
        <v/>
      </c>
      <c r="D68" s="59"/>
      <c r="E68" s="59" t="str">
        <f>IFERROR(VLOOKUP($A68,Admission!$1:$998,3,0),"")</f>
        <v/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</row>
    <row r="69" spans="1:21" ht="13" x14ac:dyDescent="0.15">
      <c r="A69" s="58"/>
      <c r="B69" s="59" t="str">
        <f>IFERROR(VLOOKUP($A69,Admission!$1:$998,4,0),"")</f>
        <v/>
      </c>
      <c r="C69" s="59" t="str">
        <f>IFERROR(VLOOKUP($A69,Admission!$1:$998,5,0),"")</f>
        <v/>
      </c>
      <c r="D69" s="59"/>
      <c r="E69" s="59" t="str">
        <f>IFERROR(VLOOKUP($A69,Admission!$1:$998,3,0),"")</f>
        <v/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1:21" ht="13" x14ac:dyDescent="0.15">
      <c r="A70" s="58"/>
      <c r="B70" s="59" t="str">
        <f>IFERROR(VLOOKUP($A70,Admission!$1:$998,4,0),"")</f>
        <v/>
      </c>
      <c r="C70" s="59" t="str">
        <f>IFERROR(VLOOKUP($A70,Admission!$1:$998,5,0),"")</f>
        <v/>
      </c>
      <c r="D70" s="59"/>
      <c r="E70" s="59" t="str">
        <f>IFERROR(VLOOKUP($A70,Admission!$1:$998,3,0),"")</f>
        <v/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1:21" ht="13" x14ac:dyDescent="0.15">
      <c r="A71" s="58"/>
      <c r="B71" s="59" t="str">
        <f>IFERROR(VLOOKUP($A71,Admission!$1:$998,4,0),"")</f>
        <v/>
      </c>
      <c r="C71" s="59" t="str">
        <f>IFERROR(VLOOKUP($A71,Admission!$1:$998,5,0),"")</f>
        <v/>
      </c>
      <c r="D71" s="59"/>
      <c r="E71" s="59" t="str">
        <f>IFERROR(VLOOKUP($A71,Admission!$1:$998,3,0),"")</f>
        <v/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1:21" ht="13" x14ac:dyDescent="0.15">
      <c r="A72" s="58"/>
      <c r="B72" s="59" t="str">
        <f>IFERROR(VLOOKUP($A72,Admission!$1:$998,4,0),"")</f>
        <v/>
      </c>
      <c r="C72" s="59" t="str">
        <f>IFERROR(VLOOKUP($A72,Admission!$1:$998,5,0),"")</f>
        <v/>
      </c>
      <c r="D72" s="59"/>
      <c r="E72" s="59" t="str">
        <f>IFERROR(VLOOKUP($A72,Admission!$1:$998,3,0),"")</f>
        <v/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1:21" ht="13" x14ac:dyDescent="0.15">
      <c r="A73" s="58"/>
      <c r="B73" s="59" t="str">
        <f>IFERROR(VLOOKUP($A73,Admission!$1:$998,4,0),"")</f>
        <v/>
      </c>
      <c r="C73" s="59" t="str">
        <f>IFERROR(VLOOKUP($A73,Admission!$1:$998,5,0),"")</f>
        <v/>
      </c>
      <c r="D73" s="59"/>
      <c r="E73" s="59" t="str">
        <f>IFERROR(VLOOKUP($A73,Admission!$1:$998,3,0),"")</f>
        <v/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</row>
    <row r="74" spans="1:21" ht="13" x14ac:dyDescent="0.15">
      <c r="A74" s="58"/>
      <c r="B74" s="59" t="str">
        <f>IFERROR(VLOOKUP($A74,Admission!$1:$998,4,0),"")</f>
        <v/>
      </c>
      <c r="C74" s="59" t="str">
        <f>IFERROR(VLOOKUP($A74,Admission!$1:$998,5,0),"")</f>
        <v/>
      </c>
      <c r="D74" s="59"/>
      <c r="E74" s="59" t="str">
        <f>IFERROR(VLOOKUP($A74,Admission!$1:$998,3,0),"")</f>
        <v/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1:21" ht="13" x14ac:dyDescent="0.15">
      <c r="A75" s="58"/>
      <c r="B75" s="59" t="str">
        <f>IFERROR(VLOOKUP($A75,Admission!$1:$998,4,0),"")</f>
        <v/>
      </c>
      <c r="C75" s="59" t="str">
        <f>IFERROR(VLOOKUP($A75,Admission!$1:$998,5,0),"")</f>
        <v/>
      </c>
      <c r="D75" s="59"/>
      <c r="E75" s="59" t="str">
        <f>IFERROR(VLOOKUP($A75,Admission!$1:$998,3,0),"")</f>
        <v/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1:21" ht="13" x14ac:dyDescent="0.15">
      <c r="A76" s="58"/>
      <c r="B76" s="59" t="str">
        <f>IFERROR(VLOOKUP($A76,Admission!$1:$998,4,0),"")</f>
        <v/>
      </c>
      <c r="C76" s="59" t="str">
        <f>IFERROR(VLOOKUP($A76,Admission!$1:$998,5,0),"")</f>
        <v/>
      </c>
      <c r="D76" s="59"/>
      <c r="E76" s="59" t="str">
        <f>IFERROR(VLOOKUP($A76,Admission!$1:$998,3,0),"")</f>
        <v/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1:21" ht="13" x14ac:dyDescent="0.15">
      <c r="A77" s="58"/>
      <c r="B77" s="59" t="str">
        <f>IFERROR(VLOOKUP($A77,Admission!$1:$998,4,0),"")</f>
        <v/>
      </c>
      <c r="C77" s="59" t="str">
        <f>IFERROR(VLOOKUP($A77,Admission!$1:$998,5,0),"")</f>
        <v/>
      </c>
      <c r="D77" s="59"/>
      <c r="E77" s="59" t="str">
        <f>IFERROR(VLOOKUP($A77,Admission!$1:$998,3,0),"")</f>
        <v/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1:21" ht="13" x14ac:dyDescent="0.15">
      <c r="A78" s="58"/>
      <c r="B78" s="59" t="str">
        <f>IFERROR(VLOOKUP($A78,Admission!$1:$998,4,0),"")</f>
        <v/>
      </c>
      <c r="C78" s="59" t="str">
        <f>IFERROR(VLOOKUP($A78,Admission!$1:$998,5,0),"")</f>
        <v/>
      </c>
      <c r="D78" s="59"/>
      <c r="E78" s="59" t="str">
        <f>IFERROR(VLOOKUP($A78,Admission!$1:$998,3,0),"")</f>
        <v/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1:21" ht="13" x14ac:dyDescent="0.15">
      <c r="A79" s="58"/>
      <c r="B79" s="59" t="str">
        <f>IFERROR(VLOOKUP($A79,Admission!$1:$998,4,0),"")</f>
        <v/>
      </c>
      <c r="C79" s="59" t="str">
        <f>IFERROR(VLOOKUP($A79,Admission!$1:$998,5,0),"")</f>
        <v/>
      </c>
      <c r="D79" s="59"/>
      <c r="E79" s="59" t="str">
        <f>IFERROR(VLOOKUP($A79,Admission!$1:$998,3,0),"")</f>
        <v/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1:21" ht="13" x14ac:dyDescent="0.15">
      <c r="A80" s="58"/>
      <c r="B80" s="59" t="str">
        <f>IFERROR(VLOOKUP($A80,Admission!$1:$998,4,0),"")</f>
        <v/>
      </c>
      <c r="C80" s="59" t="str">
        <f>IFERROR(VLOOKUP($A80,Admission!$1:$998,5,0),"")</f>
        <v/>
      </c>
      <c r="D80" s="59"/>
      <c r="E80" s="59" t="str">
        <f>IFERROR(VLOOKUP($A80,Admission!$1:$998,3,0),"")</f>
        <v/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1:21" ht="13" x14ac:dyDescent="0.15">
      <c r="A81" s="58"/>
      <c r="B81" s="59" t="str">
        <f>IFERROR(VLOOKUP($A81,Admission!$1:$998,4,0),"")</f>
        <v/>
      </c>
      <c r="C81" s="59" t="str">
        <f>IFERROR(VLOOKUP($A81,Admission!$1:$998,5,0),"")</f>
        <v/>
      </c>
      <c r="D81" s="59"/>
      <c r="E81" s="59" t="str">
        <f>IFERROR(VLOOKUP($A81,Admission!$1:$998,3,0),"")</f>
        <v/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1:21" ht="13" x14ac:dyDescent="0.15">
      <c r="A82" s="58"/>
      <c r="B82" s="59" t="str">
        <f>IFERROR(VLOOKUP($A82,Admission!$1:$998,4,0),"")</f>
        <v/>
      </c>
      <c r="C82" s="59" t="str">
        <f>IFERROR(VLOOKUP($A82,Admission!$1:$998,5,0),"")</f>
        <v/>
      </c>
      <c r="D82" s="59"/>
      <c r="E82" s="59" t="str">
        <f>IFERROR(VLOOKUP($A82,Admission!$1:$998,3,0),"")</f>
        <v/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1:21" ht="13" x14ac:dyDescent="0.15">
      <c r="A83" s="58"/>
      <c r="B83" s="59" t="str">
        <f>IFERROR(VLOOKUP($A83,Admission!$1:$998,4,0),"")</f>
        <v/>
      </c>
      <c r="C83" s="59" t="str">
        <f>IFERROR(VLOOKUP($A83,Admission!$1:$998,5,0),"")</f>
        <v/>
      </c>
      <c r="D83" s="59"/>
      <c r="E83" s="59" t="str">
        <f>IFERROR(VLOOKUP($A83,Admission!$1:$998,3,0),"")</f>
        <v/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1:21" ht="13" x14ac:dyDescent="0.15">
      <c r="A84" s="58"/>
      <c r="B84" s="59" t="str">
        <f>IFERROR(VLOOKUP($A84,Admission!$1:$998,4,0),"")</f>
        <v/>
      </c>
      <c r="C84" s="59" t="str">
        <f>IFERROR(VLOOKUP($A84,Admission!$1:$998,5,0),"")</f>
        <v/>
      </c>
      <c r="D84" s="59"/>
      <c r="E84" s="59" t="str">
        <f>IFERROR(VLOOKUP($A84,Admission!$1:$998,3,0),"")</f>
        <v/>
      </c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1:21" ht="13" x14ac:dyDescent="0.15">
      <c r="A85" s="58"/>
      <c r="B85" s="59" t="str">
        <f>IFERROR(VLOOKUP($A85,Admission!$1:$998,4,0),"")</f>
        <v/>
      </c>
      <c r="C85" s="59" t="str">
        <f>IFERROR(VLOOKUP($A85,Admission!$1:$998,5,0),"")</f>
        <v/>
      </c>
      <c r="D85" s="59"/>
      <c r="E85" s="59" t="str">
        <f>IFERROR(VLOOKUP($A85,Admission!$1:$998,3,0),"")</f>
        <v/>
      </c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1:21" ht="13" x14ac:dyDescent="0.15">
      <c r="A86" s="58"/>
      <c r="B86" s="59" t="str">
        <f>IFERROR(VLOOKUP($A86,Admission!$1:$998,4,0),"")</f>
        <v/>
      </c>
      <c r="C86" s="59" t="str">
        <f>IFERROR(VLOOKUP($A86,Admission!$1:$998,5,0),"")</f>
        <v/>
      </c>
      <c r="D86" s="59"/>
      <c r="E86" s="59" t="str">
        <f>IFERROR(VLOOKUP($A86,Admission!$1:$998,3,0),"")</f>
        <v/>
      </c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1:21" ht="13" x14ac:dyDescent="0.15">
      <c r="A87" s="58"/>
      <c r="B87" s="59" t="str">
        <f>IFERROR(VLOOKUP($A87,Admission!$1:$998,4,0),"")</f>
        <v/>
      </c>
      <c r="C87" s="59" t="str">
        <f>IFERROR(VLOOKUP($A87,Admission!$1:$998,5,0),"")</f>
        <v/>
      </c>
      <c r="D87" s="59"/>
      <c r="E87" s="59" t="str">
        <f>IFERROR(VLOOKUP($A87,Admission!$1:$998,3,0),"")</f>
        <v/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1:21" ht="13" x14ac:dyDescent="0.15">
      <c r="A88" s="58"/>
      <c r="B88" s="59" t="str">
        <f>IFERROR(VLOOKUP($A88,Admission!$1:$998,4,0),"")</f>
        <v/>
      </c>
      <c r="C88" s="59" t="str">
        <f>IFERROR(VLOOKUP($A88,Admission!$1:$998,5,0),"")</f>
        <v/>
      </c>
      <c r="D88" s="59"/>
      <c r="E88" s="59" t="str">
        <f>IFERROR(VLOOKUP($A88,Admission!$1:$998,3,0),"")</f>
        <v/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1:21" ht="13" x14ac:dyDescent="0.15">
      <c r="A89" s="58"/>
      <c r="B89" s="59" t="str">
        <f>IFERROR(VLOOKUP($A89,Admission!$1:$998,4,0),"")</f>
        <v/>
      </c>
      <c r="C89" s="59" t="str">
        <f>IFERROR(VLOOKUP($A89,Admission!$1:$998,5,0),"")</f>
        <v/>
      </c>
      <c r="D89" s="59"/>
      <c r="E89" s="59" t="str">
        <f>IFERROR(VLOOKUP($A89,Admission!$1:$998,3,0),"")</f>
        <v/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1:21" ht="13" x14ac:dyDescent="0.15">
      <c r="A90" s="58"/>
      <c r="B90" s="59" t="str">
        <f>IFERROR(VLOOKUP($A90,Admission!$1:$998,4,0),"")</f>
        <v/>
      </c>
      <c r="C90" s="59" t="str">
        <f>IFERROR(VLOOKUP($A90,Admission!$1:$998,5,0),"")</f>
        <v/>
      </c>
      <c r="D90" s="59"/>
      <c r="E90" s="59" t="str">
        <f>IFERROR(VLOOKUP($A90,Admission!$1:$998,3,0),"")</f>
        <v/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1:21" ht="13" x14ac:dyDescent="0.15">
      <c r="A91" s="58"/>
      <c r="B91" s="59" t="str">
        <f>IFERROR(VLOOKUP($A91,Admission!$1:$998,4,0),"")</f>
        <v/>
      </c>
      <c r="C91" s="59" t="str">
        <f>IFERROR(VLOOKUP($A91,Admission!$1:$998,5,0),"")</f>
        <v/>
      </c>
      <c r="D91" s="59"/>
      <c r="E91" s="59" t="str">
        <f>IFERROR(VLOOKUP($A91,Admission!$1:$998,3,0),"")</f>
        <v/>
      </c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1:21" ht="13" x14ac:dyDescent="0.15">
      <c r="A92" s="58"/>
      <c r="B92" s="59" t="str">
        <f>IFERROR(VLOOKUP($A92,Admission!$1:$998,4,0),"")</f>
        <v/>
      </c>
      <c r="C92" s="59" t="str">
        <f>IFERROR(VLOOKUP($A92,Admission!$1:$998,5,0),"")</f>
        <v/>
      </c>
      <c r="D92" s="59"/>
      <c r="E92" s="59" t="str">
        <f>IFERROR(VLOOKUP($A92,Admission!$1:$998,3,0),"")</f>
        <v/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1:21" ht="13" x14ac:dyDescent="0.15">
      <c r="A93" s="58"/>
      <c r="B93" s="59" t="str">
        <f>IFERROR(VLOOKUP($A93,Admission!$1:$998,4,0),"")</f>
        <v/>
      </c>
      <c r="C93" s="59" t="str">
        <f>IFERROR(VLOOKUP($A93,Admission!$1:$998,5,0),"")</f>
        <v/>
      </c>
      <c r="D93" s="59"/>
      <c r="E93" s="59" t="str">
        <f>IFERROR(VLOOKUP($A93,Admission!$1:$998,3,0),"")</f>
        <v/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1:21" ht="13" x14ac:dyDescent="0.15">
      <c r="A94" s="58"/>
      <c r="B94" s="59" t="str">
        <f>IFERROR(VLOOKUP($A94,Admission!$1:$998,4,0),"")</f>
        <v/>
      </c>
      <c r="C94" s="59" t="str">
        <f>IFERROR(VLOOKUP($A94,Admission!$1:$998,5,0),"")</f>
        <v/>
      </c>
      <c r="D94" s="59"/>
      <c r="E94" s="59" t="str">
        <f>IFERROR(VLOOKUP($A94,Admission!$1:$998,3,0),"")</f>
        <v/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1:21" ht="13" x14ac:dyDescent="0.15">
      <c r="A95" s="58"/>
      <c r="B95" s="59" t="str">
        <f>IFERROR(VLOOKUP($A95,Admission!$1:$998,4,0),"")</f>
        <v/>
      </c>
      <c r="C95" s="59" t="str">
        <f>IFERROR(VLOOKUP($A95,Admission!$1:$998,5,0),"")</f>
        <v/>
      </c>
      <c r="D95" s="59"/>
      <c r="E95" s="59" t="str">
        <f>IFERROR(VLOOKUP($A95,Admission!$1:$998,3,0),"")</f>
        <v/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1:21" ht="13" x14ac:dyDescent="0.15">
      <c r="A96" s="58"/>
      <c r="B96" s="59" t="str">
        <f>IFERROR(VLOOKUP($A96,Admission!$1:$998,4,0),"")</f>
        <v/>
      </c>
      <c r="C96" s="59" t="str">
        <f>IFERROR(VLOOKUP($A96,Admission!$1:$998,5,0),"")</f>
        <v/>
      </c>
      <c r="D96" s="59"/>
      <c r="E96" s="59" t="str">
        <f>IFERROR(VLOOKUP($A96,Admission!$1:$998,3,0),"")</f>
        <v/>
      </c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1:21" ht="13" x14ac:dyDescent="0.15">
      <c r="A97" s="58"/>
      <c r="B97" s="59" t="str">
        <f>IFERROR(VLOOKUP($A97,Admission!$1:$998,4,0),"")</f>
        <v/>
      </c>
      <c r="C97" s="59" t="str">
        <f>IFERROR(VLOOKUP($A97,Admission!$1:$998,5,0),"")</f>
        <v/>
      </c>
      <c r="D97" s="59"/>
      <c r="E97" s="59" t="str">
        <f>IFERROR(VLOOKUP($A97,Admission!$1:$998,3,0),"")</f>
        <v/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1:21" ht="13" x14ac:dyDescent="0.15">
      <c r="A98" s="58"/>
      <c r="B98" s="59" t="str">
        <f>IFERROR(VLOOKUP($A98,Admission!$1:$998,4,0),"")</f>
        <v/>
      </c>
      <c r="C98" s="59" t="str">
        <f>IFERROR(VLOOKUP($A98,Admission!$1:$998,5,0),"")</f>
        <v/>
      </c>
      <c r="D98" s="59"/>
      <c r="E98" s="59" t="str">
        <f>IFERROR(VLOOKUP($A98,Admission!$1:$998,3,0),"")</f>
        <v/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1:21" ht="13" x14ac:dyDescent="0.15">
      <c r="A99" s="58"/>
      <c r="B99" s="59" t="str">
        <f>IFERROR(VLOOKUP($A99,Admission!$1:$998,4,0),"")</f>
        <v/>
      </c>
      <c r="C99" s="59" t="str">
        <f>IFERROR(VLOOKUP($A99,Admission!$1:$998,5,0),"")</f>
        <v/>
      </c>
      <c r="D99" s="59"/>
      <c r="E99" s="59" t="str">
        <f>IFERROR(VLOOKUP($A99,Admission!$1:$998,3,0),"")</f>
        <v/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1:21" ht="13" x14ac:dyDescent="0.15">
      <c r="A100" s="58"/>
      <c r="B100" s="59" t="str">
        <f>IFERROR(VLOOKUP($A100,Admission!$1:$998,4,0),"")</f>
        <v/>
      </c>
      <c r="C100" s="59" t="str">
        <f>IFERROR(VLOOKUP($A100,Admission!$1:$998,5,0),"")</f>
        <v/>
      </c>
      <c r="D100" s="59"/>
      <c r="E100" s="59" t="str">
        <f>IFERROR(VLOOKUP($A100,Admission!$1:$998,3,0),"")</f>
        <v/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1:21" ht="13" x14ac:dyDescent="0.15">
      <c r="A101" s="58"/>
      <c r="B101" s="59" t="str">
        <f>IFERROR(VLOOKUP($A101,Admission!$1:$998,4,0),"")</f>
        <v/>
      </c>
      <c r="C101" s="59" t="str">
        <f>IFERROR(VLOOKUP($A101,Admission!$1:$998,5,0),"")</f>
        <v/>
      </c>
      <c r="D101" s="59"/>
      <c r="E101" s="59" t="str">
        <f>IFERROR(VLOOKUP($A101,Admission!$1:$998,3,0),"")</f>
        <v/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1:21" ht="13" x14ac:dyDescent="0.15">
      <c r="A102" s="58"/>
      <c r="B102" s="59" t="str">
        <f>IFERROR(VLOOKUP($A102,Admission!$1:$998,4,0),"")</f>
        <v/>
      </c>
      <c r="C102" s="59" t="str">
        <f>IFERROR(VLOOKUP($A102,Admission!$1:$998,5,0),"")</f>
        <v/>
      </c>
      <c r="D102" s="59"/>
      <c r="E102" s="59" t="str">
        <f>IFERROR(VLOOKUP($A102,Admission!$1:$998,3,0),"")</f>
        <v/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1:21" ht="13" x14ac:dyDescent="0.15">
      <c r="A103" s="58"/>
      <c r="B103" s="59" t="str">
        <f>IFERROR(VLOOKUP($A103,Admission!$1:$998,4,0),"")</f>
        <v/>
      </c>
      <c r="C103" s="59" t="str">
        <f>IFERROR(VLOOKUP($A103,Admission!$1:$998,5,0),"")</f>
        <v/>
      </c>
      <c r="D103" s="59"/>
      <c r="E103" s="59" t="str">
        <f>IFERROR(VLOOKUP($A103,Admission!$1:$998,3,0),"")</f>
        <v/>
      </c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1:21" ht="13" x14ac:dyDescent="0.15">
      <c r="A104" s="58"/>
      <c r="B104" s="59" t="str">
        <f>IFERROR(VLOOKUP($A104,Admission!$1:$998,4,0),"")</f>
        <v/>
      </c>
      <c r="C104" s="59" t="str">
        <f>IFERROR(VLOOKUP($A104,Admission!$1:$998,5,0),"")</f>
        <v/>
      </c>
      <c r="D104" s="59"/>
      <c r="E104" s="59" t="str">
        <f>IFERROR(VLOOKUP($A104,Admission!$1:$998,3,0),"")</f>
        <v/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1:21" ht="13" x14ac:dyDescent="0.15">
      <c r="A105" s="58"/>
      <c r="B105" s="59" t="str">
        <f>IFERROR(VLOOKUP($A105,Admission!$1:$998,4,0),"")</f>
        <v/>
      </c>
      <c r="C105" s="59" t="str">
        <f>IFERROR(VLOOKUP($A105,Admission!$1:$998,5,0),"")</f>
        <v/>
      </c>
      <c r="D105" s="59"/>
      <c r="E105" s="59" t="str">
        <f>IFERROR(VLOOKUP($A105,Admission!$1:$998,3,0),"")</f>
        <v/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1:21" ht="13" x14ac:dyDescent="0.15">
      <c r="A106" s="58"/>
      <c r="B106" s="59" t="str">
        <f>IFERROR(VLOOKUP($A106,Admission!$1:$998,4,0),"")</f>
        <v/>
      </c>
      <c r="C106" s="59" t="str">
        <f>IFERROR(VLOOKUP($A106,Admission!$1:$998,5,0),"")</f>
        <v/>
      </c>
      <c r="D106" s="59"/>
      <c r="E106" s="59" t="str">
        <f>IFERROR(VLOOKUP($A106,Admission!$1:$998,3,0),"")</f>
        <v/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1:21" ht="13" x14ac:dyDescent="0.15">
      <c r="A107" s="58"/>
      <c r="B107" s="59" t="str">
        <f>IFERROR(VLOOKUP($A107,Admission!$1:$998,4,0),"")</f>
        <v/>
      </c>
      <c r="C107" s="59" t="str">
        <f>IFERROR(VLOOKUP($A107,Admission!$1:$998,5,0),"")</f>
        <v/>
      </c>
      <c r="D107" s="59"/>
      <c r="E107" s="59" t="str">
        <f>IFERROR(VLOOKUP($A107,Admission!$1:$998,3,0),"")</f>
        <v/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 ht="13" x14ac:dyDescent="0.15">
      <c r="A108" s="58"/>
      <c r="B108" s="59" t="str">
        <f>IFERROR(VLOOKUP($A108,Admission!$1:$998,4,0),"")</f>
        <v/>
      </c>
      <c r="C108" s="59" t="str">
        <f>IFERROR(VLOOKUP($A108,Admission!$1:$998,5,0),"")</f>
        <v/>
      </c>
      <c r="D108" s="59"/>
      <c r="E108" s="59" t="str">
        <f>IFERROR(VLOOKUP($A108,Admission!$1:$998,3,0),"")</f>
        <v/>
      </c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1:21" ht="13" x14ac:dyDescent="0.15">
      <c r="A109" s="58"/>
      <c r="B109" s="59" t="str">
        <f>IFERROR(VLOOKUP($A109,Admission!$1:$998,4,0),"")</f>
        <v/>
      </c>
      <c r="C109" s="59" t="str">
        <f>IFERROR(VLOOKUP($A109,Admission!$1:$998,5,0),"")</f>
        <v/>
      </c>
      <c r="D109" s="59"/>
      <c r="E109" s="59" t="str">
        <f>IFERROR(VLOOKUP($A109,Admission!$1:$998,3,0),"")</f>
        <v/>
      </c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1:21" ht="13" x14ac:dyDescent="0.15">
      <c r="A110" s="58"/>
      <c r="B110" s="59" t="str">
        <f>IFERROR(VLOOKUP($A110,Admission!$1:$998,4,0),"")</f>
        <v/>
      </c>
      <c r="C110" s="59" t="str">
        <f>IFERROR(VLOOKUP($A110,Admission!$1:$998,5,0),"")</f>
        <v/>
      </c>
      <c r="D110" s="59"/>
      <c r="E110" s="59" t="str">
        <f>IFERROR(VLOOKUP($A110,Admission!$1:$998,3,0),"")</f>
        <v/>
      </c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ht="13" x14ac:dyDescent="0.15">
      <c r="A111" s="58"/>
      <c r="B111" s="59" t="str">
        <f>IFERROR(VLOOKUP($A111,Admission!$1:$998,4,0),"")</f>
        <v/>
      </c>
      <c r="C111" s="59" t="str">
        <f>IFERROR(VLOOKUP($A111,Admission!$1:$998,5,0),"")</f>
        <v/>
      </c>
      <c r="D111" s="59"/>
      <c r="E111" s="59" t="str">
        <f>IFERROR(VLOOKUP($A111,Admission!$1:$998,3,0),"")</f>
        <v/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1:21" ht="13" x14ac:dyDescent="0.15">
      <c r="A112" s="58"/>
      <c r="B112" s="59" t="str">
        <f>IFERROR(VLOOKUP($A112,Admission!$1:$998,4,0),"")</f>
        <v/>
      </c>
      <c r="C112" s="59" t="str">
        <f>IFERROR(VLOOKUP($A112,Admission!$1:$998,5,0),"")</f>
        <v/>
      </c>
      <c r="D112" s="59"/>
      <c r="E112" s="59" t="str">
        <f>IFERROR(VLOOKUP($A112,Admission!$1:$998,3,0),"")</f>
        <v/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1:21" ht="13" x14ac:dyDescent="0.15">
      <c r="A113" s="58"/>
      <c r="B113" s="59" t="str">
        <f>IFERROR(VLOOKUP($A113,Admission!$1:$998,4,0),"")</f>
        <v/>
      </c>
      <c r="C113" s="59" t="str">
        <f>IFERROR(VLOOKUP($A113,Admission!$1:$998,5,0),"")</f>
        <v/>
      </c>
      <c r="D113" s="59"/>
      <c r="E113" s="59" t="str">
        <f>IFERROR(VLOOKUP($A113,Admission!$1:$998,3,0),"")</f>
        <v/>
      </c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1:21" ht="13" x14ac:dyDescent="0.15">
      <c r="A114" s="58"/>
      <c r="B114" s="59" t="str">
        <f>IFERROR(VLOOKUP($A114,Admission!$1:$998,4,0),"")</f>
        <v/>
      </c>
      <c r="C114" s="59" t="str">
        <f>IFERROR(VLOOKUP($A114,Admission!$1:$998,5,0),"")</f>
        <v/>
      </c>
      <c r="D114" s="59"/>
      <c r="E114" s="59" t="str">
        <f>IFERROR(VLOOKUP($A114,Admission!$1:$998,3,0),"")</f>
        <v/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1:21" ht="13" x14ac:dyDescent="0.15">
      <c r="A115" s="58"/>
      <c r="B115" s="59" t="str">
        <f>IFERROR(VLOOKUP($A115,Admission!$1:$998,4,0),"")</f>
        <v/>
      </c>
      <c r="C115" s="59" t="str">
        <f>IFERROR(VLOOKUP($A115,Admission!$1:$998,5,0),"")</f>
        <v/>
      </c>
      <c r="D115" s="59"/>
      <c r="E115" s="59" t="str">
        <f>IFERROR(VLOOKUP($A115,Admission!$1:$998,3,0),"")</f>
        <v/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1:21" ht="13" x14ac:dyDescent="0.15">
      <c r="A116" s="58"/>
      <c r="B116" s="59" t="str">
        <f>IFERROR(VLOOKUP($A116,Admission!$1:$998,4,0),"")</f>
        <v/>
      </c>
      <c r="C116" s="59" t="str">
        <f>IFERROR(VLOOKUP($A116,Admission!$1:$998,5,0),"")</f>
        <v/>
      </c>
      <c r="D116" s="59"/>
      <c r="E116" s="59" t="str">
        <f>IFERROR(VLOOKUP($A116,Admission!$1:$998,3,0),"")</f>
        <v/>
      </c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1:21" ht="13" x14ac:dyDescent="0.15">
      <c r="A117" s="58"/>
      <c r="B117" s="59" t="str">
        <f>IFERROR(VLOOKUP($A117,Admission!$1:$998,4,0),"")</f>
        <v/>
      </c>
      <c r="C117" s="59" t="str">
        <f>IFERROR(VLOOKUP($A117,Admission!$1:$998,5,0),"")</f>
        <v/>
      </c>
      <c r="D117" s="59"/>
      <c r="E117" s="59" t="str">
        <f>IFERROR(VLOOKUP($A117,Admission!$1:$998,3,0),"")</f>
        <v/>
      </c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1:21" ht="13" x14ac:dyDescent="0.15">
      <c r="A118" s="58"/>
      <c r="B118" s="59" t="str">
        <f>IFERROR(VLOOKUP($A118,Admission!$1:$998,4,0),"")</f>
        <v/>
      </c>
      <c r="C118" s="59" t="str">
        <f>IFERROR(VLOOKUP($A118,Admission!$1:$998,5,0),"")</f>
        <v/>
      </c>
      <c r="D118" s="59"/>
      <c r="E118" s="59" t="str">
        <f>IFERROR(VLOOKUP($A118,Admission!$1:$998,3,0),"")</f>
        <v/>
      </c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1:21" ht="13" x14ac:dyDescent="0.15">
      <c r="A119" s="62"/>
      <c r="B119" s="59" t="str">
        <f>IFERROR(VLOOKUP($A119,Admission!$1:$998,4,0),"")</f>
        <v/>
      </c>
      <c r="C119" s="59" t="str">
        <f>IFERROR(VLOOKUP($A119,Admission!$1:$998,5,0),"")</f>
        <v/>
      </c>
      <c r="D119" s="59"/>
      <c r="E119" s="59" t="str">
        <f>IFERROR(VLOOKUP($A119,Admission!$1:$998,3,0),"")</f>
        <v/>
      </c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1:21" ht="13" x14ac:dyDescent="0.15">
      <c r="A120" s="62"/>
      <c r="B120" s="59" t="str">
        <f>IFERROR(VLOOKUP($A120,Admission!$1:$998,4,0),"")</f>
        <v/>
      </c>
      <c r="C120" s="59" t="str">
        <f>IFERROR(VLOOKUP($A120,Admission!$1:$998,5,0),"")</f>
        <v/>
      </c>
      <c r="D120" s="59"/>
      <c r="E120" s="59" t="str">
        <f>IFERROR(VLOOKUP($A120,Admission!$1:$998,3,0),"")</f>
        <v/>
      </c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1:21" ht="13" x14ac:dyDescent="0.15">
      <c r="A121" s="62"/>
      <c r="B121" s="59" t="str">
        <f>IFERROR(VLOOKUP($A121,Admission!$1:$998,4,0),"")</f>
        <v/>
      </c>
      <c r="C121" s="59" t="str">
        <f>IFERROR(VLOOKUP($A121,Admission!$1:$998,5,0),"")</f>
        <v/>
      </c>
      <c r="D121" s="59"/>
      <c r="E121" s="59" t="str">
        <f>IFERROR(VLOOKUP($A121,Admission!$1:$998,3,0),"")</f>
        <v/>
      </c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1:21" ht="13" x14ac:dyDescent="0.15">
      <c r="A122" s="62"/>
      <c r="B122" s="59" t="str">
        <f>IFERROR(VLOOKUP($A122,Admission!$1:$998,4,0),"")</f>
        <v/>
      </c>
      <c r="C122" s="59" t="str">
        <f>IFERROR(VLOOKUP($A122,Admission!$1:$998,5,0),"")</f>
        <v/>
      </c>
      <c r="D122" s="59"/>
      <c r="E122" s="59" t="str">
        <f>IFERROR(VLOOKUP($A122,Admission!$1:$998,3,0),"")</f>
        <v/>
      </c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1:21" ht="13" x14ac:dyDescent="0.15">
      <c r="A123" s="62"/>
      <c r="B123" s="59" t="str">
        <f>IFERROR(VLOOKUP($A123,Admission!$1:$998,4,0),"")</f>
        <v/>
      </c>
      <c r="C123" s="59" t="str">
        <f>IFERROR(VLOOKUP($A123,Admission!$1:$998,5,0),"")</f>
        <v/>
      </c>
      <c r="D123" s="59"/>
      <c r="E123" s="59" t="str">
        <f>IFERROR(VLOOKUP($A123,Admission!$1:$998,3,0),"")</f>
        <v/>
      </c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1:21" ht="13" x14ac:dyDescent="0.15">
      <c r="A124" s="62"/>
      <c r="B124" s="59" t="str">
        <f>IFERROR(VLOOKUP($A124,Admission!$1:$998,4,0),"")</f>
        <v/>
      </c>
      <c r="C124" s="59" t="str">
        <f>IFERROR(VLOOKUP($A124,Admission!$1:$998,5,0),"")</f>
        <v/>
      </c>
      <c r="D124" s="59"/>
      <c r="E124" s="59" t="str">
        <f>IFERROR(VLOOKUP($A124,Admission!$1:$998,3,0),"")</f>
        <v/>
      </c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1:21" ht="13" x14ac:dyDescent="0.15">
      <c r="A125" s="62"/>
      <c r="B125" s="59" t="str">
        <f>IFERROR(VLOOKUP($A125,Admission!$1:$998,4,0),"")</f>
        <v/>
      </c>
      <c r="C125" s="59" t="str">
        <f>IFERROR(VLOOKUP($A125,Admission!$1:$998,5,0),"")</f>
        <v/>
      </c>
      <c r="D125" s="59"/>
      <c r="E125" s="59" t="str">
        <f>IFERROR(VLOOKUP($A125,Admission!$1:$998,3,0),"")</f>
        <v/>
      </c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1:21" ht="13" x14ac:dyDescent="0.15">
      <c r="A126" s="62"/>
      <c r="B126" s="59" t="str">
        <f>IFERROR(VLOOKUP($A126,Admission!$1:$998,4,0),"")</f>
        <v/>
      </c>
      <c r="C126" s="59" t="str">
        <f>IFERROR(VLOOKUP($A126,Admission!$1:$998,5,0),"")</f>
        <v/>
      </c>
      <c r="D126" s="59"/>
      <c r="E126" s="59" t="str">
        <f>IFERROR(VLOOKUP($A126,Admission!$1:$998,3,0),"")</f>
        <v/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1:21" ht="13" x14ac:dyDescent="0.15">
      <c r="A127" s="62"/>
      <c r="B127" s="59" t="str">
        <f>IFERROR(VLOOKUP($A127,Admission!$1:$998,4,0),"")</f>
        <v/>
      </c>
      <c r="C127" s="59" t="str">
        <f>IFERROR(VLOOKUP($A127,Admission!$1:$998,5,0),"")</f>
        <v/>
      </c>
      <c r="D127" s="59"/>
      <c r="E127" s="59" t="str">
        <f>IFERROR(VLOOKUP($A127,Admission!$1:$998,3,0),"")</f>
        <v/>
      </c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1:21" ht="13" x14ac:dyDescent="0.15">
      <c r="A128" s="62"/>
      <c r="B128" s="59" t="str">
        <f>IFERROR(VLOOKUP($A128,Admission!$1:$998,4,0),"")</f>
        <v/>
      </c>
      <c r="C128" s="59" t="str">
        <f>IFERROR(VLOOKUP($A128,Admission!$1:$998,5,0),"")</f>
        <v/>
      </c>
      <c r="D128" s="59"/>
      <c r="E128" s="59" t="str">
        <f>IFERROR(VLOOKUP($A128,Admission!$1:$998,3,0),"")</f>
        <v/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1:21" ht="13" x14ac:dyDescent="0.15">
      <c r="A129" s="62"/>
      <c r="B129" s="59" t="str">
        <f>IFERROR(VLOOKUP($A129,Admission!$1:$998,4,0),"")</f>
        <v/>
      </c>
      <c r="C129" s="59" t="str">
        <f>IFERROR(VLOOKUP($A129,Admission!$1:$998,5,0),"")</f>
        <v/>
      </c>
      <c r="D129" s="59"/>
      <c r="E129" s="59" t="str">
        <f>IFERROR(VLOOKUP($A129,Admission!$1:$998,3,0),"")</f>
        <v/>
      </c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1:21" ht="13" x14ac:dyDescent="0.15">
      <c r="A130" s="62"/>
      <c r="B130" s="59" t="str">
        <f>IFERROR(VLOOKUP($A130,Admission!$1:$998,4,0),"")</f>
        <v/>
      </c>
      <c r="C130" s="59" t="str">
        <f>IFERROR(VLOOKUP($A130,Admission!$1:$998,5,0),"")</f>
        <v/>
      </c>
      <c r="D130" s="59"/>
      <c r="E130" s="59" t="str">
        <f>IFERROR(VLOOKUP($A130,Admission!$1:$998,3,0),"")</f>
        <v/>
      </c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1:21" ht="13" x14ac:dyDescent="0.15">
      <c r="A131" s="62"/>
      <c r="B131" s="59" t="str">
        <f>IFERROR(VLOOKUP($A131,Admission!$1:$998,4,0),"")</f>
        <v/>
      </c>
      <c r="C131" s="59" t="str">
        <f>IFERROR(VLOOKUP($A131,Admission!$1:$998,5,0),"")</f>
        <v/>
      </c>
      <c r="D131" s="59"/>
      <c r="E131" s="59" t="str">
        <f>IFERROR(VLOOKUP($A131,Admission!$1:$998,3,0),"")</f>
        <v/>
      </c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1:21" ht="13" x14ac:dyDescent="0.15">
      <c r="A132" s="62"/>
      <c r="B132" s="59" t="str">
        <f>IFERROR(VLOOKUP($A132,Admission!$1:$998,4,0),"")</f>
        <v/>
      </c>
      <c r="C132" s="59" t="str">
        <f>IFERROR(VLOOKUP($A132,Admission!$1:$998,5,0),"")</f>
        <v/>
      </c>
      <c r="D132" s="59"/>
      <c r="E132" s="59" t="str">
        <f>IFERROR(VLOOKUP($A132,Admission!$1:$998,3,0),"")</f>
        <v/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1:21" ht="13" x14ac:dyDescent="0.15">
      <c r="A133" s="62"/>
      <c r="B133" s="59" t="str">
        <f>IFERROR(VLOOKUP($A133,Admission!$1:$998,4,0),"")</f>
        <v/>
      </c>
      <c r="C133" s="59" t="str">
        <f>IFERROR(VLOOKUP($A133,Admission!$1:$998,5,0),"")</f>
        <v/>
      </c>
      <c r="D133" s="59"/>
      <c r="E133" s="59" t="str">
        <f>IFERROR(VLOOKUP($A133,Admission!$1:$998,3,0),"")</f>
        <v/>
      </c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1:21" ht="13" x14ac:dyDescent="0.15">
      <c r="A134" s="62"/>
      <c r="B134" s="59" t="str">
        <f>IFERROR(VLOOKUP($A134,Admission!$1:$998,4,0),"")</f>
        <v/>
      </c>
      <c r="C134" s="59" t="str">
        <f>IFERROR(VLOOKUP($A134,Admission!$1:$998,5,0),"")</f>
        <v/>
      </c>
      <c r="D134" s="59"/>
      <c r="E134" s="59" t="str">
        <f>IFERROR(VLOOKUP($A134,Admission!$1:$998,3,0),"")</f>
        <v/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1:21" ht="13" x14ac:dyDescent="0.15">
      <c r="A135" s="62"/>
      <c r="B135" s="59" t="str">
        <f>IFERROR(VLOOKUP($A135,Admission!$1:$998,4,0),"")</f>
        <v/>
      </c>
      <c r="C135" s="59" t="str">
        <f>IFERROR(VLOOKUP($A135,Admission!$1:$998,5,0),"")</f>
        <v/>
      </c>
      <c r="D135" s="59"/>
      <c r="E135" s="59" t="str">
        <f>IFERROR(VLOOKUP($A135,Admission!$1:$998,3,0),"")</f>
        <v/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1:21" ht="13" x14ac:dyDescent="0.15">
      <c r="A136" s="62"/>
      <c r="B136" s="59" t="str">
        <f>IFERROR(VLOOKUP($A136,Admission!$1:$998,4,0),"")</f>
        <v/>
      </c>
      <c r="C136" s="59" t="str">
        <f>IFERROR(VLOOKUP($A136,Admission!$1:$998,5,0),"")</f>
        <v/>
      </c>
      <c r="D136" s="59"/>
      <c r="E136" s="59" t="str">
        <f>IFERROR(VLOOKUP($A136,Admission!$1:$998,3,0),"")</f>
        <v/>
      </c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1:21" ht="13" x14ac:dyDescent="0.15">
      <c r="A137" s="62"/>
      <c r="B137" s="59" t="str">
        <f>IFERROR(VLOOKUP($A137,Admission!$1:$998,4,0),"")</f>
        <v/>
      </c>
      <c r="C137" s="59" t="str">
        <f>IFERROR(VLOOKUP($A137,Admission!$1:$998,5,0),"")</f>
        <v/>
      </c>
      <c r="D137" s="59"/>
      <c r="E137" s="59" t="str">
        <f>IFERROR(VLOOKUP($A137,Admission!$1:$998,3,0),"")</f>
        <v/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1:21" ht="13" x14ac:dyDescent="0.15">
      <c r="A138" s="62"/>
      <c r="B138" s="59" t="str">
        <f>IFERROR(VLOOKUP($A138,Admission!$1:$998,4,0),"")</f>
        <v/>
      </c>
      <c r="C138" s="59" t="str">
        <f>IFERROR(VLOOKUP($A138,Admission!$1:$998,5,0),"")</f>
        <v/>
      </c>
      <c r="D138" s="59"/>
      <c r="E138" s="59" t="str">
        <f>IFERROR(VLOOKUP($A138,Admission!$1:$998,3,0),"")</f>
        <v/>
      </c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1:21" ht="13" x14ac:dyDescent="0.15">
      <c r="A139" s="62"/>
      <c r="B139" s="59" t="str">
        <f>IFERROR(VLOOKUP($A139,Admission!$1:$998,4,0),"")</f>
        <v/>
      </c>
      <c r="C139" s="59" t="str">
        <f>IFERROR(VLOOKUP($A139,Admission!$1:$998,5,0),"")</f>
        <v/>
      </c>
      <c r="D139" s="59"/>
      <c r="E139" s="59" t="str">
        <f>IFERROR(VLOOKUP($A139,Admission!$1:$998,3,0),"")</f>
        <v/>
      </c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1:21" ht="13" x14ac:dyDescent="0.15">
      <c r="A140" s="62"/>
      <c r="B140" s="59" t="str">
        <f>IFERROR(VLOOKUP($A140,Admission!$1:$998,4,0),"")</f>
        <v/>
      </c>
      <c r="C140" s="59" t="str">
        <f>IFERROR(VLOOKUP($A140,Admission!$1:$998,5,0),"")</f>
        <v/>
      </c>
      <c r="D140" s="59"/>
      <c r="E140" s="59" t="str">
        <f>IFERROR(VLOOKUP($A140,Admission!$1:$998,3,0),"")</f>
        <v/>
      </c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1:21" ht="13" x14ac:dyDescent="0.15">
      <c r="A141" s="62"/>
      <c r="B141" s="59" t="str">
        <f>IFERROR(VLOOKUP($A141,Admission!$1:$998,4,0),"")</f>
        <v/>
      </c>
      <c r="C141" s="59" t="str">
        <f>IFERROR(VLOOKUP($A141,Admission!$1:$998,5,0),"")</f>
        <v/>
      </c>
      <c r="D141" s="59"/>
      <c r="E141" s="59" t="str">
        <f>IFERROR(VLOOKUP($A141,Admission!$1:$998,3,0),"")</f>
        <v/>
      </c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1:21" ht="13" x14ac:dyDescent="0.15">
      <c r="A142" s="62"/>
      <c r="B142" s="59" t="str">
        <f>IFERROR(VLOOKUP($A142,Admission!$1:$998,4,0),"")</f>
        <v/>
      </c>
      <c r="C142" s="59" t="str">
        <f>IFERROR(VLOOKUP($A142,Admission!$1:$998,5,0),"")</f>
        <v/>
      </c>
      <c r="D142" s="59"/>
      <c r="E142" s="59" t="str">
        <f>IFERROR(VLOOKUP($A142,Admission!$1:$998,3,0),"")</f>
        <v/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1:21" ht="13" x14ac:dyDescent="0.15">
      <c r="A143" s="62"/>
      <c r="B143" s="59" t="str">
        <f>IFERROR(VLOOKUP($A143,Admission!$1:$998,4,0),"")</f>
        <v/>
      </c>
      <c r="C143" s="59" t="str">
        <f>IFERROR(VLOOKUP($A143,Admission!$1:$998,5,0),"")</f>
        <v/>
      </c>
      <c r="D143" s="59"/>
      <c r="E143" s="59" t="str">
        <f>IFERROR(VLOOKUP($A143,Admission!$1:$998,3,0),"")</f>
        <v/>
      </c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1:21" ht="13" x14ac:dyDescent="0.15">
      <c r="A144" s="62"/>
      <c r="B144" s="59" t="str">
        <f>IFERROR(VLOOKUP($A144,Admission!$1:$998,4,0),"")</f>
        <v/>
      </c>
      <c r="C144" s="59" t="str">
        <f>IFERROR(VLOOKUP($A144,Admission!$1:$998,5,0),"")</f>
        <v/>
      </c>
      <c r="D144" s="59"/>
      <c r="E144" s="59" t="str">
        <f>IFERROR(VLOOKUP($A144,Admission!$1:$998,3,0),"")</f>
        <v/>
      </c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1:21" ht="13" x14ac:dyDescent="0.15">
      <c r="A145" s="62"/>
      <c r="B145" s="59" t="str">
        <f>IFERROR(VLOOKUP($A145,Admission!$1:$998,4,0),"")</f>
        <v/>
      </c>
      <c r="C145" s="59" t="str">
        <f>IFERROR(VLOOKUP($A145,Admission!$1:$998,5,0),"")</f>
        <v/>
      </c>
      <c r="D145" s="59"/>
      <c r="E145" s="59" t="str">
        <f>IFERROR(VLOOKUP($A145,Admission!$1:$998,3,0),"")</f>
        <v/>
      </c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spans="1:21" ht="13" x14ac:dyDescent="0.15">
      <c r="A146" s="62"/>
      <c r="B146" s="59" t="str">
        <f>IFERROR(VLOOKUP($A146,Admission!$1:$998,4,0),"")</f>
        <v/>
      </c>
      <c r="C146" s="59" t="str">
        <f>IFERROR(VLOOKUP($A146,Admission!$1:$998,5,0),"")</f>
        <v/>
      </c>
      <c r="D146" s="59"/>
      <c r="E146" s="59" t="str">
        <f>IFERROR(VLOOKUP($A146,Admission!$1:$998,3,0),"")</f>
        <v/>
      </c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1:21" ht="13" x14ac:dyDescent="0.15">
      <c r="A147" s="62"/>
      <c r="E147" s="23" t="str">
        <f>IFERROR(VLOOKUP($A147,Admission!150:1145,3,0),"")</f>
        <v/>
      </c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spans="1:21" ht="13" x14ac:dyDescent="0.15">
      <c r="A148" s="62"/>
      <c r="E148" s="23" t="str">
        <f>IFERROR(VLOOKUP($A148,Admission!151:1146,3,0),"")</f>
        <v/>
      </c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1:21" ht="13" x14ac:dyDescent="0.15">
      <c r="A149" s="62"/>
      <c r="E149" s="23" t="str">
        <f>IFERROR(VLOOKUP($A149,Admission!152:1147,3,0),"")</f>
        <v/>
      </c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1:21" ht="13" x14ac:dyDescent="0.15">
      <c r="A150" s="62"/>
      <c r="E150" s="23" t="str">
        <f>IFERROR(VLOOKUP($A150,Admission!153:1148,3,0),"")</f>
        <v/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spans="1:21" ht="13" x14ac:dyDescent="0.15">
      <c r="A151" s="62"/>
      <c r="E151" s="23" t="str">
        <f>IFERROR(VLOOKUP($A151,Admission!154:1149,3,0),"")</f>
        <v/>
      </c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 spans="1:21" ht="13" x14ac:dyDescent="0.15">
      <c r="A152" s="62"/>
      <c r="E152" s="23" t="str">
        <f>IFERROR(VLOOKUP($A152,Admission!155:1150,3,0),"")</f>
        <v/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 spans="1:21" ht="13" x14ac:dyDescent="0.15">
      <c r="A153" s="62"/>
      <c r="E153" s="23" t="str">
        <f>IFERROR(VLOOKUP($A153,Admission!156:1151,3,0),"")</f>
        <v/>
      </c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 spans="1:21" ht="13" x14ac:dyDescent="0.15">
      <c r="A154" s="62"/>
      <c r="E154" s="23" t="str">
        <f>IFERROR(VLOOKUP($A154,Admission!157:1152,3,0),"")</f>
        <v/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 spans="1:21" ht="13" x14ac:dyDescent="0.15">
      <c r="A155" s="62"/>
      <c r="E155" s="23" t="str">
        <f>IFERROR(VLOOKUP($A155,Admission!158:1153,3,0),"")</f>
        <v/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 spans="1:21" ht="13" x14ac:dyDescent="0.15">
      <c r="A156" s="62"/>
      <c r="E156" s="23" t="str">
        <f>IFERROR(VLOOKUP($A156,Admission!159:1154,3,0),"")</f>
        <v/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 spans="1:21" ht="13" x14ac:dyDescent="0.15">
      <c r="A157" s="62"/>
      <c r="E157" s="23" t="str">
        <f>IFERROR(VLOOKUP($A157,Admission!160:1155,3,0),"")</f>
        <v/>
      </c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 spans="1:21" ht="13" x14ac:dyDescent="0.15">
      <c r="A158" s="62"/>
      <c r="E158" s="23" t="str">
        <f>IFERROR(VLOOKUP($A158,Admission!161:1156,3,0),"")</f>
        <v/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 spans="1:21" ht="13" x14ac:dyDescent="0.15">
      <c r="A159" s="62"/>
      <c r="E159" s="23" t="str">
        <f>IFERROR(VLOOKUP($A159,Admission!162:1157,3,0),"")</f>
        <v/>
      </c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 spans="1:21" ht="13" x14ac:dyDescent="0.15">
      <c r="A160" s="62"/>
      <c r="E160" s="23" t="str">
        <f>IFERROR(VLOOKUP($A160,Admission!163:1158,3,0),"")</f>
        <v/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</row>
    <row r="161" spans="1:21" ht="13" x14ac:dyDescent="0.15">
      <c r="A161" s="62"/>
      <c r="E161" s="23" t="str">
        <f>IFERROR(VLOOKUP($A161,Admission!164:1159,3,0),"")</f>
        <v/>
      </c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 spans="1:21" ht="13" x14ac:dyDescent="0.15">
      <c r="A162" s="62"/>
      <c r="E162" s="23" t="str">
        <f>IFERROR(VLOOKUP($A162,Admission!165:1160,3,0),"")</f>
        <v/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</row>
    <row r="163" spans="1:21" ht="13" x14ac:dyDescent="0.15">
      <c r="A163" s="62"/>
      <c r="E163" s="23" t="str">
        <f>IFERROR(VLOOKUP($A163,Admission!166:1161,3,0),"")</f>
        <v/>
      </c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 spans="1:21" ht="13" x14ac:dyDescent="0.15">
      <c r="A164" s="62"/>
      <c r="E164" s="23" t="str">
        <f>IFERROR(VLOOKUP($A164,Admission!167:1162,3,0),"")</f>
        <v/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 spans="1:21" ht="13" x14ac:dyDescent="0.15">
      <c r="A165" s="62"/>
      <c r="E165" s="23" t="str">
        <f>IFERROR(VLOOKUP($A165,Admission!168:1163,3,0),"")</f>
        <v/>
      </c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 spans="1:21" ht="13" x14ac:dyDescent="0.15">
      <c r="A166" s="62"/>
      <c r="E166" s="23" t="str">
        <f>IFERROR(VLOOKUP($A166,Admission!169:1164,3,0),"")</f>
        <v/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</row>
    <row r="167" spans="1:21" ht="13" x14ac:dyDescent="0.15">
      <c r="A167" s="62"/>
      <c r="E167" s="23" t="str">
        <f>IFERROR(VLOOKUP($A167,Admission!170:1165,3,0),"")</f>
        <v/>
      </c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</row>
    <row r="168" spans="1:21" ht="13" x14ac:dyDescent="0.15">
      <c r="A168" s="62"/>
      <c r="E168" s="23" t="str">
        <f>IFERROR(VLOOKUP($A168,Admission!171:1166,3,0),"")</f>
        <v/>
      </c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</row>
    <row r="169" spans="1:21" ht="13" x14ac:dyDescent="0.15">
      <c r="A169" s="62"/>
      <c r="E169" s="23" t="str">
        <f>IFERROR(VLOOKUP($A169,Admission!172:1167,3,0),"")</f>
        <v/>
      </c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</row>
    <row r="170" spans="1:21" ht="13" x14ac:dyDescent="0.15">
      <c r="A170" s="62"/>
      <c r="E170" s="23" t="str">
        <f>IFERROR(VLOOKUP($A170,Admission!173:1168,3,0),"")</f>
        <v/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 spans="1:21" ht="13" x14ac:dyDescent="0.15">
      <c r="A171" s="62"/>
      <c r="E171" s="23" t="str">
        <f>IFERROR(VLOOKUP($A171,Admission!174:1169,3,0),"")</f>
        <v/>
      </c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</row>
    <row r="172" spans="1:21" ht="13" x14ac:dyDescent="0.15">
      <c r="A172" s="62"/>
      <c r="E172" s="23" t="str">
        <f>IFERROR(VLOOKUP($A172,Admission!175:1170,3,0),"")</f>
        <v/>
      </c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</row>
    <row r="173" spans="1:21" ht="13" x14ac:dyDescent="0.15">
      <c r="A173" s="62"/>
      <c r="E173" s="23" t="str">
        <f>IFERROR(VLOOKUP($A173,Admission!176:1171,3,0),"")</f>
        <v/>
      </c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</row>
    <row r="174" spans="1:21" ht="13" x14ac:dyDescent="0.15">
      <c r="A174" s="62"/>
      <c r="E174" s="23" t="str">
        <f>IFERROR(VLOOKUP($A174,Admission!177:1172,3,0),"")</f>
        <v/>
      </c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 spans="1:21" ht="13" x14ac:dyDescent="0.15">
      <c r="A175" s="62"/>
      <c r="E175" s="23" t="str">
        <f>IFERROR(VLOOKUP($A175,Admission!178:1173,3,0),"")</f>
        <v/>
      </c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 spans="1:21" ht="13" x14ac:dyDescent="0.15">
      <c r="A176" s="62"/>
      <c r="E176" s="23" t="str">
        <f>IFERROR(VLOOKUP($A176,Admission!178:1174,3,0),"")</f>
        <v/>
      </c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spans="1:21" ht="13" x14ac:dyDescent="0.15">
      <c r="A177" s="62"/>
      <c r="E177" s="23" t="str">
        <f>IFERROR(VLOOKUP($A177,Admission!178:1175,3,0),"")</f>
        <v/>
      </c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spans="1:21" ht="13" x14ac:dyDescent="0.15">
      <c r="A178" s="62"/>
      <c r="E178" s="23" t="str">
        <f>IFERROR(VLOOKUP($A178,Admission!178:1176,3,0),"")</f>
        <v/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</row>
    <row r="179" spans="1:21" ht="13" x14ac:dyDescent="0.15">
      <c r="A179" s="62"/>
      <c r="E179" s="23" t="str">
        <f>IFERROR(VLOOKUP($A179,Admission!178:1177,3,0),"")</f>
        <v/>
      </c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</row>
    <row r="180" spans="1:21" ht="13" x14ac:dyDescent="0.15">
      <c r="A180" s="62"/>
      <c r="E180" s="23" t="str">
        <f>IFERROR(VLOOKUP($A180,Admission!179:1178,3,0),"")</f>
        <v/>
      </c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spans="1:21" ht="13" x14ac:dyDescent="0.15">
      <c r="A181" s="62"/>
      <c r="E181" s="23" t="str">
        <f>IFERROR(VLOOKUP($A181,Admission!180:1179,3,0),"")</f>
        <v/>
      </c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 spans="1:21" ht="13" x14ac:dyDescent="0.15">
      <c r="A182" s="62"/>
      <c r="E182" s="23" t="str">
        <f>IFERROR(VLOOKUP($A182,Admission!181:1180,3,0),"")</f>
        <v/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</row>
    <row r="183" spans="1:21" ht="13" x14ac:dyDescent="0.15">
      <c r="A183" s="62"/>
      <c r="E183" s="23" t="str">
        <f>IFERROR(VLOOKUP($A183,Admission!182:1181,3,0),"")</f>
        <v/>
      </c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</row>
    <row r="184" spans="1:21" ht="13" x14ac:dyDescent="0.15">
      <c r="A184" s="62"/>
      <c r="E184" s="23" t="str">
        <f>IFERROR(VLOOKUP($A184,Admission!183:1182,3,0),"")</f>
        <v/>
      </c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</row>
    <row r="185" spans="1:21" ht="13" x14ac:dyDescent="0.15">
      <c r="A185" s="62"/>
      <c r="E185" s="23" t="str">
        <f>IFERROR(VLOOKUP($A185,Admission!184:1183,3,0),"")</f>
        <v/>
      </c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</row>
    <row r="186" spans="1:21" ht="13" x14ac:dyDescent="0.15">
      <c r="A186" s="62"/>
      <c r="E186" s="23" t="str">
        <f>IFERROR(VLOOKUP($A186,Admission!181:1184,3,0),"")</f>
        <v/>
      </c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</row>
    <row r="187" spans="1:21" ht="13" x14ac:dyDescent="0.15">
      <c r="A187" s="62"/>
      <c r="E187" s="23" t="str">
        <f>IFERROR(VLOOKUP($A187,Admission!178:1185,3,0),"")</f>
        <v/>
      </c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</row>
    <row r="188" spans="1:21" ht="13" x14ac:dyDescent="0.15">
      <c r="A188" s="62"/>
      <c r="E188" s="23" t="str">
        <f>IFERROR(VLOOKUP($A188,Admission!179:1186,3,0),"")</f>
        <v/>
      </c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</row>
    <row r="189" spans="1:21" ht="13" x14ac:dyDescent="0.15">
      <c r="A189" s="62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</row>
    <row r="190" spans="1:21" ht="13" x14ac:dyDescent="0.15">
      <c r="A190" s="62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</row>
    <row r="191" spans="1:21" ht="13" x14ac:dyDescent="0.15">
      <c r="A191" s="62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</row>
    <row r="192" spans="1:21" ht="13" x14ac:dyDescent="0.15">
      <c r="A192" s="62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</row>
    <row r="193" spans="1:21" ht="13" x14ac:dyDescent="0.15">
      <c r="A193" s="6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</row>
    <row r="194" spans="1:21" ht="13" x14ac:dyDescent="0.15">
      <c r="A194" s="6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</row>
    <row r="195" spans="1:21" ht="13" x14ac:dyDescent="0.15">
      <c r="A195" s="6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</row>
    <row r="196" spans="1:21" ht="13" x14ac:dyDescent="0.15">
      <c r="A196" s="6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</row>
    <row r="197" spans="1:21" ht="13" x14ac:dyDescent="0.15">
      <c r="A197" s="6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</row>
    <row r="198" spans="1:21" ht="13" x14ac:dyDescent="0.15">
      <c r="A198" s="6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</row>
    <row r="199" spans="1:21" ht="13" x14ac:dyDescent="0.15">
      <c r="A199" s="6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</row>
    <row r="200" spans="1:21" ht="13" x14ac:dyDescent="0.15">
      <c r="A200" s="6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</row>
    <row r="201" spans="1:21" ht="13" x14ac:dyDescent="0.15">
      <c r="A201" s="6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</row>
    <row r="202" spans="1:21" ht="13" x14ac:dyDescent="0.15">
      <c r="A202" s="6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</row>
    <row r="203" spans="1:21" ht="13" x14ac:dyDescent="0.15">
      <c r="A203" s="6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</row>
    <row r="204" spans="1:21" ht="13" x14ac:dyDescent="0.15">
      <c r="A204" s="6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</row>
    <row r="205" spans="1:21" ht="13" x14ac:dyDescent="0.15">
      <c r="A205" s="6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</row>
    <row r="206" spans="1:21" ht="13" x14ac:dyDescent="0.15">
      <c r="A206" s="6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</row>
    <row r="207" spans="1:21" ht="13" x14ac:dyDescent="0.15">
      <c r="A207" s="6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</row>
    <row r="208" spans="1:21" ht="13" x14ac:dyDescent="0.15">
      <c r="A208" s="6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</row>
    <row r="209" spans="1:21" ht="13" x14ac:dyDescent="0.15">
      <c r="A209" s="6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</row>
    <row r="210" spans="1:21" ht="13" x14ac:dyDescent="0.15">
      <c r="A210" s="6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</row>
    <row r="211" spans="1:21" ht="13" x14ac:dyDescent="0.15">
      <c r="A211" s="6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</row>
    <row r="212" spans="1:21" ht="13" x14ac:dyDescent="0.15">
      <c r="A212" s="6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</row>
    <row r="213" spans="1:21" ht="13" x14ac:dyDescent="0.15">
      <c r="A213" s="6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</row>
    <row r="214" spans="1:21" ht="13" x14ac:dyDescent="0.15">
      <c r="A214" s="6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</row>
    <row r="215" spans="1:21" ht="13" x14ac:dyDescent="0.15">
      <c r="A215" s="6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</row>
    <row r="216" spans="1:21" ht="13" x14ac:dyDescent="0.15">
      <c r="A216" s="6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</row>
    <row r="217" spans="1:21" ht="13" x14ac:dyDescent="0.15">
      <c r="A217" s="6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</row>
    <row r="218" spans="1:21" ht="13" x14ac:dyDescent="0.15">
      <c r="A218" s="6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</row>
    <row r="219" spans="1:21" ht="13" x14ac:dyDescent="0.15">
      <c r="A219" s="6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</row>
    <row r="220" spans="1:21" ht="13" x14ac:dyDescent="0.15">
      <c r="A220" s="6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</row>
    <row r="221" spans="1:21" ht="13" x14ac:dyDescent="0.15">
      <c r="A221" s="6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</row>
    <row r="222" spans="1:21" ht="13" x14ac:dyDescent="0.15">
      <c r="A222" s="6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</row>
    <row r="223" spans="1:21" ht="13" x14ac:dyDescent="0.15">
      <c r="A223" s="6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</row>
    <row r="224" spans="1:21" ht="13" x14ac:dyDescent="0.15">
      <c r="A224" s="6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</row>
    <row r="225" spans="1:21" ht="13" x14ac:dyDescent="0.15">
      <c r="A225" s="6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</row>
    <row r="226" spans="1:21" ht="13" x14ac:dyDescent="0.15">
      <c r="A226" s="6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</row>
    <row r="227" spans="1:21" ht="13" x14ac:dyDescent="0.15">
      <c r="A227" s="6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</row>
    <row r="228" spans="1:21" ht="13" x14ac:dyDescent="0.15">
      <c r="A228" s="6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</row>
    <row r="229" spans="1:21" ht="13" x14ac:dyDescent="0.15">
      <c r="A229" s="6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</row>
    <row r="230" spans="1:21" ht="13" x14ac:dyDescent="0.15">
      <c r="A230" s="6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</row>
    <row r="231" spans="1:21" ht="13" x14ac:dyDescent="0.15">
      <c r="A231" s="6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</row>
    <row r="232" spans="1:21" ht="13" x14ac:dyDescent="0.15">
      <c r="A232" s="6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</row>
    <row r="233" spans="1:21" ht="13" x14ac:dyDescent="0.15">
      <c r="A233" s="6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</row>
    <row r="234" spans="1:21" ht="13" x14ac:dyDescent="0.15">
      <c r="A234" s="6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</row>
    <row r="235" spans="1:21" ht="13" x14ac:dyDescent="0.15">
      <c r="A235" s="6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</row>
    <row r="236" spans="1:21" ht="13" x14ac:dyDescent="0.15">
      <c r="A236" s="6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</row>
    <row r="237" spans="1:21" ht="13" x14ac:dyDescent="0.15">
      <c r="A237" s="6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</row>
    <row r="238" spans="1:21" ht="13" x14ac:dyDescent="0.15">
      <c r="A238" s="6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</row>
    <row r="239" spans="1:21" ht="13" x14ac:dyDescent="0.15">
      <c r="A239" s="6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</row>
    <row r="240" spans="1:21" ht="13" x14ac:dyDescent="0.15">
      <c r="A240" s="6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</row>
    <row r="241" spans="1:21" ht="13" x14ac:dyDescent="0.15">
      <c r="A241" s="6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</row>
    <row r="242" spans="1:21" ht="13" x14ac:dyDescent="0.15">
      <c r="A242" s="6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</row>
    <row r="243" spans="1:21" ht="13" x14ac:dyDescent="0.15">
      <c r="A243" s="6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</row>
    <row r="244" spans="1:21" ht="13" x14ac:dyDescent="0.15">
      <c r="A244" s="6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</row>
    <row r="245" spans="1:21" ht="13" x14ac:dyDescent="0.15">
      <c r="A245" s="6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</row>
    <row r="246" spans="1:21" ht="13" x14ac:dyDescent="0.15">
      <c r="A246" s="6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</row>
    <row r="247" spans="1:21" ht="13" x14ac:dyDescent="0.15">
      <c r="A247" s="6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</row>
    <row r="248" spans="1:21" ht="13" x14ac:dyDescent="0.15">
      <c r="A248" s="6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</row>
    <row r="249" spans="1:21" ht="13" x14ac:dyDescent="0.15">
      <c r="A249" s="6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</row>
    <row r="250" spans="1:21" ht="13" x14ac:dyDescent="0.15">
      <c r="A250" s="6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</row>
    <row r="251" spans="1:21" ht="13" x14ac:dyDescent="0.15">
      <c r="A251" s="6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</row>
    <row r="252" spans="1:21" ht="13" x14ac:dyDescent="0.15">
      <c r="A252" s="6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</row>
    <row r="253" spans="1:21" ht="13" x14ac:dyDescent="0.15">
      <c r="A253" s="6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</row>
    <row r="254" spans="1:21" ht="13" x14ac:dyDescent="0.15">
      <c r="A254" s="6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</row>
    <row r="255" spans="1:21" ht="13" x14ac:dyDescent="0.15">
      <c r="A255" s="6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</row>
    <row r="256" spans="1:21" ht="13" x14ac:dyDescent="0.15">
      <c r="A256" s="6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</row>
    <row r="257" spans="1:21" ht="13" x14ac:dyDescent="0.15">
      <c r="A257" s="6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</row>
    <row r="258" spans="1:21" ht="13" x14ac:dyDescent="0.15">
      <c r="A258" s="6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</row>
    <row r="259" spans="1:21" ht="13" x14ac:dyDescent="0.15">
      <c r="A259" s="6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</row>
    <row r="260" spans="1:21" ht="13" x14ac:dyDescent="0.15">
      <c r="A260" s="6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</row>
    <row r="261" spans="1:21" ht="13" x14ac:dyDescent="0.15">
      <c r="A261" s="6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</row>
    <row r="262" spans="1:21" ht="13" x14ac:dyDescent="0.15">
      <c r="A262" s="6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</row>
    <row r="263" spans="1:21" ht="13" x14ac:dyDescent="0.15">
      <c r="A263" s="6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</row>
    <row r="264" spans="1:21" ht="13" x14ac:dyDescent="0.15">
      <c r="A264" s="6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</row>
    <row r="265" spans="1:21" ht="13" x14ac:dyDescent="0.15">
      <c r="A265" s="6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</row>
    <row r="266" spans="1:21" ht="13" x14ac:dyDescent="0.15">
      <c r="A266" s="6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</row>
    <row r="267" spans="1:21" ht="13" x14ac:dyDescent="0.15">
      <c r="A267" s="6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</row>
    <row r="268" spans="1:21" ht="13" x14ac:dyDescent="0.15">
      <c r="A268" s="6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</row>
    <row r="269" spans="1:21" ht="13" x14ac:dyDescent="0.15">
      <c r="A269" s="6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</row>
    <row r="270" spans="1:21" ht="13" x14ac:dyDescent="0.15">
      <c r="A270" s="6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</row>
    <row r="271" spans="1:21" ht="13" x14ac:dyDescent="0.15">
      <c r="A271" s="6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</row>
    <row r="272" spans="1:21" ht="13" x14ac:dyDescent="0.15">
      <c r="A272" s="6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</row>
    <row r="273" spans="1:21" ht="13" x14ac:dyDescent="0.15">
      <c r="A273" s="6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</row>
    <row r="274" spans="1:21" ht="13" x14ac:dyDescent="0.15">
      <c r="A274" s="6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</row>
    <row r="275" spans="1:21" ht="13" x14ac:dyDescent="0.15">
      <c r="A275" s="6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</row>
    <row r="276" spans="1:21" ht="13" x14ac:dyDescent="0.15">
      <c r="A276" s="6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</row>
    <row r="277" spans="1:21" ht="13" x14ac:dyDescent="0.15">
      <c r="A277" s="6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</row>
    <row r="278" spans="1:21" ht="13" x14ac:dyDescent="0.15">
      <c r="A278" s="6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</row>
    <row r="279" spans="1:21" ht="13" x14ac:dyDescent="0.15">
      <c r="A279" s="6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</row>
    <row r="280" spans="1:21" ht="13" x14ac:dyDescent="0.15">
      <c r="A280" s="6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</row>
    <row r="281" spans="1:21" ht="13" x14ac:dyDescent="0.15">
      <c r="A281" s="6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</row>
    <row r="282" spans="1:21" ht="13" x14ac:dyDescent="0.15">
      <c r="A282" s="6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</row>
    <row r="283" spans="1:21" ht="13" x14ac:dyDescent="0.15">
      <c r="A283" s="6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</row>
    <row r="284" spans="1:21" ht="13" x14ac:dyDescent="0.15">
      <c r="A284" s="6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</row>
    <row r="285" spans="1:21" ht="13" x14ac:dyDescent="0.15">
      <c r="A285" s="6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</row>
    <row r="286" spans="1:21" ht="13" x14ac:dyDescent="0.15">
      <c r="A286" s="6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</row>
    <row r="287" spans="1:21" ht="13" x14ac:dyDescent="0.15">
      <c r="A287" s="6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</row>
    <row r="288" spans="1:21" ht="13" x14ac:dyDescent="0.15">
      <c r="A288" s="6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</row>
    <row r="289" spans="1:21" ht="13" x14ac:dyDescent="0.15">
      <c r="A289" s="6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</row>
    <row r="290" spans="1:21" ht="13" x14ac:dyDescent="0.15">
      <c r="A290" s="6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</row>
    <row r="291" spans="1:21" ht="13" x14ac:dyDescent="0.15">
      <c r="A291" s="6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</row>
    <row r="292" spans="1:21" ht="13" x14ac:dyDescent="0.15">
      <c r="A292" s="6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</row>
    <row r="293" spans="1:21" ht="13" x14ac:dyDescent="0.15">
      <c r="A293" s="6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</row>
    <row r="294" spans="1:21" ht="13" x14ac:dyDescent="0.15">
      <c r="A294" s="6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</row>
    <row r="295" spans="1:21" ht="13" x14ac:dyDescent="0.15">
      <c r="A295" s="6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</row>
    <row r="296" spans="1:21" ht="13" x14ac:dyDescent="0.15">
      <c r="A296" s="6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</row>
    <row r="297" spans="1:21" ht="13" x14ac:dyDescent="0.15">
      <c r="A297" s="6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</row>
    <row r="298" spans="1:21" ht="13" x14ac:dyDescent="0.15">
      <c r="A298" s="6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</row>
    <row r="299" spans="1:21" ht="13" x14ac:dyDescent="0.15">
      <c r="A299" s="6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</row>
    <row r="300" spans="1:21" ht="13" x14ac:dyDescent="0.15">
      <c r="A300" s="6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</row>
    <row r="301" spans="1:21" ht="13" x14ac:dyDescent="0.15">
      <c r="A301" s="6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</row>
    <row r="302" spans="1:21" ht="13" x14ac:dyDescent="0.15">
      <c r="A302" s="6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</row>
    <row r="303" spans="1:21" ht="13" x14ac:dyDescent="0.15">
      <c r="A303" s="6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</row>
    <row r="304" spans="1:21" ht="13" x14ac:dyDescent="0.15">
      <c r="A304" s="6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</row>
    <row r="305" spans="1:21" ht="13" x14ac:dyDescent="0.15">
      <c r="A305" s="6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</row>
    <row r="306" spans="1:21" ht="13" x14ac:dyDescent="0.15">
      <c r="A306" s="6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</row>
    <row r="307" spans="1:21" ht="13" x14ac:dyDescent="0.15">
      <c r="A307" s="6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</row>
    <row r="308" spans="1:21" ht="13" x14ac:dyDescent="0.15">
      <c r="A308" s="6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</row>
    <row r="309" spans="1:21" ht="13" x14ac:dyDescent="0.15">
      <c r="A309" s="6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</row>
    <row r="310" spans="1:21" ht="13" x14ac:dyDescent="0.15">
      <c r="A310" s="6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</row>
    <row r="311" spans="1:21" ht="13" x14ac:dyDescent="0.15">
      <c r="A311" s="6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</row>
    <row r="312" spans="1:21" ht="13" x14ac:dyDescent="0.15">
      <c r="A312" s="6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</row>
    <row r="313" spans="1:21" ht="13" x14ac:dyDescent="0.15">
      <c r="A313" s="6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</row>
    <row r="314" spans="1:21" ht="13" x14ac:dyDescent="0.15">
      <c r="A314" s="6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</row>
    <row r="315" spans="1:21" ht="13" x14ac:dyDescent="0.15">
      <c r="A315" s="6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</row>
    <row r="316" spans="1:21" ht="13" x14ac:dyDescent="0.15">
      <c r="A316" s="6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</row>
    <row r="317" spans="1:21" ht="13" x14ac:dyDescent="0.15">
      <c r="A317" s="6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</row>
    <row r="318" spans="1:21" ht="13" x14ac:dyDescent="0.15">
      <c r="A318" s="6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</row>
    <row r="319" spans="1:21" ht="13" x14ac:dyDescent="0.15">
      <c r="A319" s="6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</row>
    <row r="320" spans="1:21" ht="13" x14ac:dyDescent="0.15">
      <c r="A320" s="6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</row>
    <row r="321" spans="1:21" ht="13" x14ac:dyDescent="0.15">
      <c r="A321" s="6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</row>
    <row r="322" spans="1:21" ht="13" x14ac:dyDescent="0.15">
      <c r="A322" s="6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</row>
    <row r="323" spans="1:21" ht="13" x14ac:dyDescent="0.15">
      <c r="A323" s="6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</row>
    <row r="324" spans="1:21" ht="13" x14ac:dyDescent="0.15">
      <c r="A324" s="6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</row>
    <row r="325" spans="1:21" ht="13" x14ac:dyDescent="0.15">
      <c r="A325" s="6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</row>
    <row r="326" spans="1:21" ht="13" x14ac:dyDescent="0.15">
      <c r="A326" s="6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</row>
    <row r="327" spans="1:21" ht="13" x14ac:dyDescent="0.15">
      <c r="A327" s="6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</row>
    <row r="328" spans="1:21" ht="13" x14ac:dyDescent="0.15">
      <c r="A328" s="6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</row>
    <row r="329" spans="1:21" ht="13" x14ac:dyDescent="0.15">
      <c r="A329" s="6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</row>
    <row r="330" spans="1:21" ht="13" x14ac:dyDescent="0.15">
      <c r="A330" s="6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</row>
    <row r="331" spans="1:21" ht="13" x14ac:dyDescent="0.15">
      <c r="A331" s="6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</row>
    <row r="332" spans="1:21" ht="13" x14ac:dyDescent="0.15">
      <c r="A332" s="6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</row>
    <row r="333" spans="1:21" ht="13" x14ac:dyDescent="0.15">
      <c r="A333" s="6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</row>
    <row r="334" spans="1:21" ht="13" x14ac:dyDescent="0.15">
      <c r="A334" s="6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</row>
    <row r="335" spans="1:21" ht="13" x14ac:dyDescent="0.15">
      <c r="A335" s="6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</row>
    <row r="336" spans="1:21" ht="13" x14ac:dyDescent="0.15">
      <c r="A336" s="6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</row>
    <row r="337" spans="1:21" ht="13" x14ac:dyDescent="0.15">
      <c r="A337" s="6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</row>
    <row r="338" spans="1:21" ht="13" x14ac:dyDescent="0.15">
      <c r="A338" s="6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</row>
    <row r="339" spans="1:21" ht="13" x14ac:dyDescent="0.15">
      <c r="A339" s="6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</row>
    <row r="340" spans="1:21" ht="13" x14ac:dyDescent="0.15">
      <c r="A340" s="6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</row>
    <row r="341" spans="1:21" ht="13" x14ac:dyDescent="0.15">
      <c r="A341" s="6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</row>
    <row r="342" spans="1:21" ht="13" x14ac:dyDescent="0.15">
      <c r="A342" s="6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</row>
    <row r="343" spans="1:21" ht="13" x14ac:dyDescent="0.15">
      <c r="A343" s="6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</row>
    <row r="344" spans="1:21" ht="13" x14ac:dyDescent="0.15">
      <c r="A344" s="6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</row>
    <row r="345" spans="1:21" ht="13" x14ac:dyDescent="0.15">
      <c r="A345" s="6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</row>
    <row r="346" spans="1:21" ht="13" x14ac:dyDescent="0.15">
      <c r="A346" s="6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</row>
    <row r="347" spans="1:21" ht="13" x14ac:dyDescent="0.15">
      <c r="A347" s="6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</row>
    <row r="348" spans="1:21" ht="13" x14ac:dyDescent="0.15">
      <c r="A348" s="6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</row>
    <row r="349" spans="1:21" ht="13" x14ac:dyDescent="0.15">
      <c r="A349" s="6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</row>
    <row r="350" spans="1:21" ht="13" x14ac:dyDescent="0.15">
      <c r="A350" s="6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</row>
    <row r="351" spans="1:21" ht="13" x14ac:dyDescent="0.15">
      <c r="A351" s="6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</row>
    <row r="352" spans="1:21" ht="13" x14ac:dyDescent="0.15">
      <c r="A352" s="6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</row>
    <row r="353" spans="1:21" ht="13" x14ac:dyDescent="0.15">
      <c r="A353" s="6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</row>
    <row r="354" spans="1:21" ht="13" x14ac:dyDescent="0.15">
      <c r="A354" s="6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</row>
    <row r="355" spans="1:21" ht="13" x14ac:dyDescent="0.15">
      <c r="A355" s="6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</row>
    <row r="356" spans="1:21" ht="13" x14ac:dyDescent="0.15">
      <c r="A356" s="6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</row>
    <row r="357" spans="1:21" ht="13" x14ac:dyDescent="0.15">
      <c r="A357" s="6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</row>
    <row r="358" spans="1:21" ht="13" x14ac:dyDescent="0.15">
      <c r="A358" s="6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</row>
    <row r="359" spans="1:21" ht="13" x14ac:dyDescent="0.15">
      <c r="A359" s="6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</row>
    <row r="360" spans="1:21" ht="13" x14ac:dyDescent="0.15">
      <c r="A360" s="6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</row>
    <row r="361" spans="1:21" ht="13" x14ac:dyDescent="0.15">
      <c r="A361" s="6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</row>
    <row r="362" spans="1:21" ht="13" x14ac:dyDescent="0.15">
      <c r="A362" s="6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</row>
    <row r="363" spans="1:21" ht="13" x14ac:dyDescent="0.15">
      <c r="A363" s="6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</row>
    <row r="364" spans="1:21" ht="13" x14ac:dyDescent="0.15">
      <c r="A364" s="6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</row>
    <row r="365" spans="1:21" ht="13" x14ac:dyDescent="0.15">
      <c r="A365" s="6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</row>
    <row r="366" spans="1:21" ht="13" x14ac:dyDescent="0.15">
      <c r="A366" s="6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</row>
    <row r="367" spans="1:21" ht="13" x14ac:dyDescent="0.15">
      <c r="A367" s="6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</row>
    <row r="368" spans="1:21" ht="13" x14ac:dyDescent="0.15">
      <c r="A368" s="6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</row>
    <row r="369" spans="1:21" ht="13" x14ac:dyDescent="0.15">
      <c r="A369" s="6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</row>
    <row r="370" spans="1:21" ht="13" x14ac:dyDescent="0.15">
      <c r="A370" s="6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</row>
    <row r="371" spans="1:21" ht="13" x14ac:dyDescent="0.15">
      <c r="A371" s="6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</row>
    <row r="372" spans="1:21" ht="13" x14ac:dyDescent="0.15">
      <c r="A372" s="6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</row>
    <row r="373" spans="1:21" ht="13" x14ac:dyDescent="0.15">
      <c r="A373" s="6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</row>
    <row r="374" spans="1:21" ht="13" x14ac:dyDescent="0.15">
      <c r="A374" s="6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</row>
    <row r="375" spans="1:21" ht="13" x14ac:dyDescent="0.15">
      <c r="A375" s="6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</row>
    <row r="376" spans="1:21" ht="13" x14ac:dyDescent="0.15">
      <c r="A376" s="6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</row>
    <row r="377" spans="1:21" ht="13" x14ac:dyDescent="0.15">
      <c r="A377" s="6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</row>
    <row r="378" spans="1:21" ht="13" x14ac:dyDescent="0.15">
      <c r="A378" s="6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</row>
    <row r="379" spans="1:21" ht="13" x14ac:dyDescent="0.15">
      <c r="A379" s="6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</row>
    <row r="380" spans="1:21" ht="13" x14ac:dyDescent="0.15">
      <c r="A380" s="6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</row>
    <row r="381" spans="1:21" ht="13" x14ac:dyDescent="0.15">
      <c r="A381" s="6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</row>
    <row r="382" spans="1:21" ht="13" x14ac:dyDescent="0.15">
      <c r="A382" s="6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</row>
    <row r="383" spans="1:21" ht="13" x14ac:dyDescent="0.15">
      <c r="A383" s="6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</row>
    <row r="384" spans="1:21" ht="13" x14ac:dyDescent="0.15">
      <c r="A384" s="6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</row>
    <row r="385" spans="1:21" ht="13" x14ac:dyDescent="0.15">
      <c r="A385" s="6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</row>
    <row r="386" spans="1:21" ht="13" x14ac:dyDescent="0.15">
      <c r="A386" s="6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</row>
    <row r="387" spans="1:21" ht="13" x14ac:dyDescent="0.15">
      <c r="A387" s="6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</row>
    <row r="388" spans="1:21" ht="13" x14ac:dyDescent="0.15">
      <c r="A388" s="6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</row>
    <row r="389" spans="1:21" ht="13" x14ac:dyDescent="0.15">
      <c r="A389" s="6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</row>
    <row r="390" spans="1:21" ht="13" x14ac:dyDescent="0.15">
      <c r="A390" s="6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</row>
    <row r="391" spans="1:21" ht="13" x14ac:dyDescent="0.15">
      <c r="A391" s="6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</row>
    <row r="392" spans="1:21" ht="13" x14ac:dyDescent="0.15">
      <c r="A392" s="6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</row>
    <row r="393" spans="1:21" ht="13" x14ac:dyDescent="0.15">
      <c r="A393" s="6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</row>
    <row r="394" spans="1:21" ht="13" x14ac:dyDescent="0.15">
      <c r="A394" s="6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</row>
    <row r="395" spans="1:21" ht="13" x14ac:dyDescent="0.15">
      <c r="A395" s="6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</row>
    <row r="396" spans="1:21" ht="13" x14ac:dyDescent="0.15">
      <c r="A396" s="6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</row>
    <row r="397" spans="1:21" ht="13" x14ac:dyDescent="0.15">
      <c r="A397" s="6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</row>
    <row r="398" spans="1:21" ht="13" x14ac:dyDescent="0.15">
      <c r="A398" s="6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</row>
    <row r="399" spans="1:21" ht="13" x14ac:dyDescent="0.15">
      <c r="A399" s="6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</row>
    <row r="400" spans="1:21" ht="13" x14ac:dyDescent="0.15">
      <c r="A400" s="6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</row>
    <row r="401" spans="1:21" ht="13" x14ac:dyDescent="0.15">
      <c r="A401" s="6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</row>
    <row r="402" spans="1:21" ht="13" x14ac:dyDescent="0.15">
      <c r="A402" s="6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</row>
    <row r="403" spans="1:21" ht="13" x14ac:dyDescent="0.15">
      <c r="A403" s="6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</row>
    <row r="404" spans="1:21" ht="13" x14ac:dyDescent="0.15">
      <c r="A404" s="6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</row>
    <row r="405" spans="1:21" ht="13" x14ac:dyDescent="0.15">
      <c r="A405" s="6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</row>
    <row r="406" spans="1:21" ht="13" x14ac:dyDescent="0.15">
      <c r="A406" s="6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</row>
    <row r="407" spans="1:21" ht="13" x14ac:dyDescent="0.15">
      <c r="A407" s="6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</row>
    <row r="408" spans="1:21" ht="13" x14ac:dyDescent="0.15">
      <c r="A408" s="6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</row>
    <row r="409" spans="1:21" ht="13" x14ac:dyDescent="0.15">
      <c r="A409" s="6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</row>
    <row r="410" spans="1:21" ht="13" x14ac:dyDescent="0.15">
      <c r="A410" s="6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</row>
    <row r="411" spans="1:21" ht="13" x14ac:dyDescent="0.15">
      <c r="A411" s="6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</row>
    <row r="412" spans="1:21" ht="13" x14ac:dyDescent="0.15">
      <c r="A412" s="6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</row>
    <row r="413" spans="1:21" ht="13" x14ac:dyDescent="0.15">
      <c r="A413" s="6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</row>
    <row r="414" spans="1:21" ht="13" x14ac:dyDescent="0.15">
      <c r="A414" s="6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</row>
    <row r="415" spans="1:21" ht="13" x14ac:dyDescent="0.15">
      <c r="A415" s="6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</row>
    <row r="416" spans="1:21" ht="13" x14ac:dyDescent="0.15">
      <c r="A416" s="6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</row>
    <row r="417" spans="1:21" ht="13" x14ac:dyDescent="0.15">
      <c r="A417" s="6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</row>
    <row r="418" spans="1:21" ht="13" x14ac:dyDescent="0.15">
      <c r="A418" s="6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</row>
    <row r="419" spans="1:21" ht="13" x14ac:dyDescent="0.15">
      <c r="A419" s="6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</row>
    <row r="420" spans="1:21" ht="13" x14ac:dyDescent="0.15">
      <c r="A420" s="6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</row>
    <row r="421" spans="1:21" ht="13" x14ac:dyDescent="0.15">
      <c r="A421" s="6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</row>
    <row r="422" spans="1:21" ht="13" x14ac:dyDescent="0.15">
      <c r="A422" s="6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</row>
    <row r="423" spans="1:21" ht="13" x14ac:dyDescent="0.15">
      <c r="A423" s="6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</row>
    <row r="424" spans="1:21" ht="13" x14ac:dyDescent="0.15">
      <c r="A424" s="6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</row>
    <row r="425" spans="1:21" ht="13" x14ac:dyDescent="0.15">
      <c r="A425" s="6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</row>
    <row r="426" spans="1:21" ht="13" x14ac:dyDescent="0.15">
      <c r="A426" s="6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</row>
    <row r="427" spans="1:21" ht="13" x14ac:dyDescent="0.15">
      <c r="A427" s="6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</row>
    <row r="428" spans="1:21" ht="13" x14ac:dyDescent="0.15">
      <c r="A428" s="6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</row>
    <row r="429" spans="1:21" ht="13" x14ac:dyDescent="0.15">
      <c r="A429" s="6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</row>
    <row r="430" spans="1:21" ht="13" x14ac:dyDescent="0.15">
      <c r="A430" s="6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</row>
    <row r="431" spans="1:21" ht="13" x14ac:dyDescent="0.15">
      <c r="A431" s="6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</row>
    <row r="432" spans="1:21" ht="13" x14ac:dyDescent="0.15">
      <c r="A432" s="6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</row>
    <row r="433" spans="1:21" ht="13" x14ac:dyDescent="0.15">
      <c r="A433" s="6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</row>
    <row r="434" spans="1:21" ht="13" x14ac:dyDescent="0.15">
      <c r="A434" s="6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</row>
    <row r="435" spans="1:21" ht="13" x14ac:dyDescent="0.15">
      <c r="A435" s="6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</row>
    <row r="436" spans="1:21" ht="13" x14ac:dyDescent="0.15">
      <c r="A436" s="6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</row>
    <row r="437" spans="1:21" ht="13" x14ac:dyDescent="0.15">
      <c r="A437" s="6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</row>
    <row r="438" spans="1:21" ht="13" x14ac:dyDescent="0.15">
      <c r="A438" s="6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</row>
    <row r="439" spans="1:21" ht="13" x14ac:dyDescent="0.15">
      <c r="A439" s="6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</row>
    <row r="440" spans="1:21" ht="13" x14ac:dyDescent="0.15">
      <c r="A440" s="6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</row>
    <row r="441" spans="1:21" ht="13" x14ac:dyDescent="0.15">
      <c r="A441" s="6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</row>
    <row r="442" spans="1:21" ht="13" x14ac:dyDescent="0.15">
      <c r="A442" s="6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</row>
    <row r="443" spans="1:21" ht="13" x14ac:dyDescent="0.15">
      <c r="A443" s="6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</row>
    <row r="444" spans="1:21" ht="13" x14ac:dyDescent="0.15">
      <c r="A444" s="6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</row>
    <row r="445" spans="1:21" ht="13" x14ac:dyDescent="0.15">
      <c r="A445" s="6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</row>
    <row r="446" spans="1:21" ht="13" x14ac:dyDescent="0.15">
      <c r="A446" s="6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</row>
    <row r="447" spans="1:21" ht="13" x14ac:dyDescent="0.15">
      <c r="A447" s="6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</row>
    <row r="448" spans="1:21" ht="13" x14ac:dyDescent="0.15">
      <c r="A448" s="6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</row>
    <row r="449" spans="1:21" ht="13" x14ac:dyDescent="0.15">
      <c r="A449" s="6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</row>
    <row r="450" spans="1:21" ht="13" x14ac:dyDescent="0.15">
      <c r="A450" s="6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</row>
    <row r="451" spans="1:21" ht="13" x14ac:dyDescent="0.15">
      <c r="A451" s="6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</row>
    <row r="452" spans="1:21" ht="13" x14ac:dyDescent="0.15">
      <c r="A452" s="6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</row>
    <row r="453" spans="1:21" ht="13" x14ac:dyDescent="0.15">
      <c r="A453" s="6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</row>
    <row r="454" spans="1:21" ht="13" x14ac:dyDescent="0.15">
      <c r="A454" s="6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</row>
    <row r="455" spans="1:21" ht="13" x14ac:dyDescent="0.15">
      <c r="A455" s="6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</row>
    <row r="456" spans="1:21" ht="13" x14ac:dyDescent="0.15">
      <c r="A456" s="6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</row>
    <row r="457" spans="1:21" ht="13" x14ac:dyDescent="0.15">
      <c r="A457" s="6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</row>
    <row r="458" spans="1:21" ht="13" x14ac:dyDescent="0.15">
      <c r="A458" s="6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</row>
    <row r="459" spans="1:21" ht="13" x14ac:dyDescent="0.15">
      <c r="A459" s="6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</row>
    <row r="460" spans="1:21" ht="13" x14ac:dyDescent="0.15">
      <c r="A460" s="6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</row>
    <row r="461" spans="1:21" ht="13" x14ac:dyDescent="0.15">
      <c r="A461" s="6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</row>
    <row r="462" spans="1:21" ht="13" x14ac:dyDescent="0.15">
      <c r="A462" s="6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</row>
    <row r="463" spans="1:21" ht="13" x14ac:dyDescent="0.15">
      <c r="A463" s="6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</row>
    <row r="464" spans="1:21" ht="13" x14ac:dyDescent="0.15">
      <c r="A464" s="6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</row>
    <row r="465" spans="1:21" ht="13" x14ac:dyDescent="0.15">
      <c r="A465" s="6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</row>
    <row r="466" spans="1:21" ht="13" x14ac:dyDescent="0.15">
      <c r="A466" s="6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</row>
    <row r="467" spans="1:21" ht="13" x14ac:dyDescent="0.15">
      <c r="A467" s="6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</row>
    <row r="468" spans="1:21" ht="13" x14ac:dyDescent="0.15">
      <c r="A468" s="6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</row>
    <row r="469" spans="1:21" ht="13" x14ac:dyDescent="0.15">
      <c r="A469" s="6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</row>
    <row r="470" spans="1:21" ht="13" x14ac:dyDescent="0.15">
      <c r="A470" s="6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</row>
    <row r="471" spans="1:21" ht="13" x14ac:dyDescent="0.15">
      <c r="A471" s="6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</row>
    <row r="472" spans="1:21" ht="13" x14ac:dyDescent="0.15">
      <c r="A472" s="6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</row>
    <row r="473" spans="1:21" ht="13" x14ac:dyDescent="0.15">
      <c r="A473" s="6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</row>
    <row r="474" spans="1:21" ht="13" x14ac:dyDescent="0.15">
      <c r="A474" s="6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</row>
    <row r="475" spans="1:21" ht="13" x14ac:dyDescent="0.15">
      <c r="A475" s="6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</row>
    <row r="476" spans="1:21" ht="13" x14ac:dyDescent="0.15">
      <c r="A476" s="6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</row>
    <row r="477" spans="1:21" ht="13" x14ac:dyDescent="0.15">
      <c r="A477" s="6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</row>
    <row r="478" spans="1:21" ht="13" x14ac:dyDescent="0.15">
      <c r="A478" s="6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</row>
    <row r="479" spans="1:21" ht="13" x14ac:dyDescent="0.15">
      <c r="A479" s="6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</row>
    <row r="480" spans="1:21" ht="13" x14ac:dyDescent="0.15">
      <c r="A480" s="6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</row>
    <row r="481" spans="1:21" ht="13" x14ac:dyDescent="0.15">
      <c r="A481" s="6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</row>
    <row r="482" spans="1:21" ht="13" x14ac:dyDescent="0.15">
      <c r="A482" s="6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</row>
    <row r="483" spans="1:21" ht="13" x14ac:dyDescent="0.15">
      <c r="A483" s="6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</row>
    <row r="484" spans="1:21" ht="13" x14ac:dyDescent="0.15">
      <c r="A484" s="6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</row>
    <row r="485" spans="1:21" ht="13" x14ac:dyDescent="0.15">
      <c r="A485" s="6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</row>
    <row r="486" spans="1:21" ht="13" x14ac:dyDescent="0.15">
      <c r="A486" s="6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</row>
    <row r="487" spans="1:21" ht="13" x14ac:dyDescent="0.15">
      <c r="A487" s="6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</row>
    <row r="488" spans="1:21" ht="13" x14ac:dyDescent="0.15">
      <c r="A488" s="6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</row>
    <row r="489" spans="1:21" ht="13" x14ac:dyDescent="0.15">
      <c r="A489" s="6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</row>
    <row r="490" spans="1:21" ht="13" x14ac:dyDescent="0.15">
      <c r="A490" s="6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</row>
    <row r="491" spans="1:21" ht="13" x14ac:dyDescent="0.15">
      <c r="A491" s="6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</row>
    <row r="492" spans="1:21" ht="13" x14ac:dyDescent="0.15">
      <c r="A492" s="6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</row>
    <row r="493" spans="1:21" ht="13" x14ac:dyDescent="0.15">
      <c r="A493" s="6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</row>
    <row r="494" spans="1:21" ht="13" x14ac:dyDescent="0.15">
      <c r="A494" s="6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</row>
    <row r="495" spans="1:21" ht="13" x14ac:dyDescent="0.15">
      <c r="A495" s="6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</row>
    <row r="496" spans="1:21" ht="13" x14ac:dyDescent="0.15">
      <c r="A496" s="6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</row>
    <row r="497" spans="1:21" ht="13" x14ac:dyDescent="0.15">
      <c r="A497" s="6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</row>
    <row r="498" spans="1:21" ht="13" x14ac:dyDescent="0.15">
      <c r="A498" s="6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</row>
    <row r="499" spans="1:21" ht="13" x14ac:dyDescent="0.15">
      <c r="A499" s="6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</row>
    <row r="500" spans="1:21" ht="13" x14ac:dyDescent="0.15">
      <c r="A500" s="6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</row>
    <row r="501" spans="1:21" ht="13" x14ac:dyDescent="0.15">
      <c r="A501" s="6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</row>
    <row r="502" spans="1:21" ht="13" x14ac:dyDescent="0.15">
      <c r="A502" s="6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</row>
    <row r="503" spans="1:21" ht="13" x14ac:dyDescent="0.15">
      <c r="A503" s="6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</row>
    <row r="504" spans="1:21" ht="13" x14ac:dyDescent="0.15">
      <c r="A504" s="6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</row>
    <row r="505" spans="1:21" ht="13" x14ac:dyDescent="0.15">
      <c r="A505" s="6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</row>
    <row r="506" spans="1:21" ht="13" x14ac:dyDescent="0.15">
      <c r="A506" s="6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</row>
    <row r="507" spans="1:21" ht="13" x14ac:dyDescent="0.15">
      <c r="A507" s="6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</row>
    <row r="508" spans="1:21" ht="13" x14ac:dyDescent="0.15">
      <c r="A508" s="6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</row>
    <row r="509" spans="1:21" ht="13" x14ac:dyDescent="0.15">
      <c r="A509" s="6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</row>
    <row r="510" spans="1:21" ht="13" x14ac:dyDescent="0.15">
      <c r="A510" s="6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</row>
    <row r="511" spans="1:21" ht="13" x14ac:dyDescent="0.15">
      <c r="A511" s="6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</row>
    <row r="512" spans="1:21" ht="13" x14ac:dyDescent="0.15">
      <c r="A512" s="6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</row>
    <row r="513" spans="1:21" ht="13" x14ac:dyDescent="0.15">
      <c r="A513" s="6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</row>
    <row r="514" spans="1:21" ht="13" x14ac:dyDescent="0.15">
      <c r="A514" s="6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</row>
    <row r="515" spans="1:21" ht="13" x14ac:dyDescent="0.15">
      <c r="A515" s="6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</row>
    <row r="516" spans="1:21" ht="13" x14ac:dyDescent="0.15">
      <c r="A516" s="6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</row>
    <row r="517" spans="1:21" ht="13" x14ac:dyDescent="0.15">
      <c r="A517" s="6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</row>
    <row r="518" spans="1:21" ht="13" x14ac:dyDescent="0.15">
      <c r="A518" s="6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</row>
    <row r="519" spans="1:21" ht="13" x14ac:dyDescent="0.15">
      <c r="A519" s="6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</row>
    <row r="520" spans="1:21" ht="13" x14ac:dyDescent="0.15">
      <c r="A520" s="6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</row>
    <row r="521" spans="1:21" ht="13" x14ac:dyDescent="0.15">
      <c r="A521" s="6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</row>
    <row r="522" spans="1:21" ht="13" x14ac:dyDescent="0.15">
      <c r="A522" s="6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</row>
    <row r="523" spans="1:21" ht="13" x14ac:dyDescent="0.15">
      <c r="A523" s="6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</row>
    <row r="524" spans="1:21" ht="13" x14ac:dyDescent="0.15">
      <c r="A524" s="6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</row>
    <row r="525" spans="1:21" ht="13" x14ac:dyDescent="0.15">
      <c r="A525" s="6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</row>
    <row r="526" spans="1:21" ht="13" x14ac:dyDescent="0.15">
      <c r="A526" s="6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</row>
    <row r="527" spans="1:21" ht="13" x14ac:dyDescent="0.15">
      <c r="A527" s="6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</row>
    <row r="528" spans="1:21" ht="13" x14ac:dyDescent="0.15">
      <c r="A528" s="6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</row>
    <row r="529" spans="1:21" ht="13" x14ac:dyDescent="0.15">
      <c r="A529" s="6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</row>
    <row r="530" spans="1:21" ht="13" x14ac:dyDescent="0.15">
      <c r="A530" s="6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</row>
    <row r="531" spans="1:21" ht="13" x14ac:dyDescent="0.15">
      <c r="A531" s="6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</row>
    <row r="532" spans="1:21" ht="13" x14ac:dyDescent="0.15">
      <c r="A532" s="6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</row>
    <row r="533" spans="1:21" ht="13" x14ac:dyDescent="0.15">
      <c r="A533" s="6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</row>
    <row r="534" spans="1:21" ht="13" x14ac:dyDescent="0.15">
      <c r="A534" s="6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</row>
    <row r="535" spans="1:21" ht="13" x14ac:dyDescent="0.15">
      <c r="A535" s="6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</row>
    <row r="536" spans="1:21" ht="13" x14ac:dyDescent="0.15">
      <c r="A536" s="6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</row>
    <row r="537" spans="1:21" ht="13" x14ac:dyDescent="0.15">
      <c r="A537" s="6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</row>
    <row r="538" spans="1:21" ht="13" x14ac:dyDescent="0.15">
      <c r="A538" s="6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</row>
    <row r="539" spans="1:21" ht="13" x14ac:dyDescent="0.15">
      <c r="A539" s="6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</row>
    <row r="540" spans="1:21" ht="13" x14ac:dyDescent="0.15">
      <c r="A540" s="6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</row>
    <row r="541" spans="1:21" ht="13" x14ac:dyDescent="0.15">
      <c r="A541" s="6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</row>
    <row r="542" spans="1:21" ht="13" x14ac:dyDescent="0.15">
      <c r="A542" s="6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</row>
    <row r="543" spans="1:21" ht="13" x14ac:dyDescent="0.15">
      <c r="A543" s="6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</row>
    <row r="544" spans="1:21" ht="13" x14ac:dyDescent="0.15">
      <c r="A544" s="6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</row>
    <row r="545" spans="1:21" ht="13" x14ac:dyDescent="0.15">
      <c r="A545" s="6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</row>
    <row r="546" spans="1:21" ht="13" x14ac:dyDescent="0.15">
      <c r="A546" s="6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</row>
    <row r="547" spans="1:21" ht="13" x14ac:dyDescent="0.15">
      <c r="A547" s="6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</row>
    <row r="548" spans="1:21" ht="13" x14ac:dyDescent="0.15">
      <c r="A548" s="6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</row>
    <row r="549" spans="1:21" ht="13" x14ac:dyDescent="0.15">
      <c r="A549" s="6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</row>
    <row r="550" spans="1:21" ht="13" x14ac:dyDescent="0.15">
      <c r="A550" s="6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</row>
    <row r="551" spans="1:21" ht="13" x14ac:dyDescent="0.15">
      <c r="A551" s="6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</row>
    <row r="552" spans="1:21" ht="13" x14ac:dyDescent="0.15">
      <c r="A552" s="6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</row>
    <row r="553" spans="1:21" ht="13" x14ac:dyDescent="0.15">
      <c r="A553" s="6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</row>
    <row r="554" spans="1:21" ht="13" x14ac:dyDescent="0.15">
      <c r="A554" s="6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</row>
    <row r="555" spans="1:21" ht="13" x14ac:dyDescent="0.15">
      <c r="A555" s="6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</row>
    <row r="556" spans="1:21" ht="13" x14ac:dyDescent="0.15">
      <c r="A556" s="6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</row>
    <row r="557" spans="1:21" ht="13" x14ac:dyDescent="0.15">
      <c r="A557" s="6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</row>
    <row r="558" spans="1:21" ht="13" x14ac:dyDescent="0.15">
      <c r="A558" s="6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</row>
    <row r="559" spans="1:21" ht="13" x14ac:dyDescent="0.15">
      <c r="A559" s="6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</row>
    <row r="560" spans="1:21" ht="13" x14ac:dyDescent="0.15">
      <c r="A560" s="6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</row>
    <row r="561" spans="1:21" ht="13" x14ac:dyDescent="0.15">
      <c r="A561" s="6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</row>
    <row r="562" spans="1:21" ht="13" x14ac:dyDescent="0.15">
      <c r="A562" s="6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</row>
    <row r="563" spans="1:21" ht="13" x14ac:dyDescent="0.15">
      <c r="A563" s="6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</row>
    <row r="564" spans="1:21" ht="13" x14ac:dyDescent="0.15">
      <c r="A564" s="6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</row>
    <row r="565" spans="1:21" ht="13" x14ac:dyDescent="0.15">
      <c r="A565" s="6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</row>
    <row r="566" spans="1:21" ht="13" x14ac:dyDescent="0.15">
      <c r="A566" s="6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</row>
    <row r="567" spans="1:21" ht="13" x14ac:dyDescent="0.15">
      <c r="A567" s="6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</row>
    <row r="568" spans="1:21" ht="13" x14ac:dyDescent="0.15">
      <c r="A568" s="6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</row>
    <row r="569" spans="1:21" ht="13" x14ac:dyDescent="0.15">
      <c r="A569" s="6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</row>
    <row r="570" spans="1:21" ht="13" x14ac:dyDescent="0.15">
      <c r="A570" s="6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</row>
    <row r="571" spans="1:21" ht="13" x14ac:dyDescent="0.15">
      <c r="A571" s="6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</row>
    <row r="572" spans="1:21" ht="13" x14ac:dyDescent="0.15">
      <c r="A572" s="6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</row>
    <row r="573" spans="1:21" ht="13" x14ac:dyDescent="0.15">
      <c r="A573" s="6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</row>
    <row r="574" spans="1:21" ht="13" x14ac:dyDescent="0.15">
      <c r="A574" s="6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</row>
    <row r="575" spans="1:21" ht="13" x14ac:dyDescent="0.15">
      <c r="A575" s="6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</row>
    <row r="576" spans="1:21" ht="13" x14ac:dyDescent="0.15">
      <c r="A576" s="6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</row>
    <row r="577" spans="1:21" ht="13" x14ac:dyDescent="0.15">
      <c r="A577" s="6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</row>
    <row r="578" spans="1:21" ht="13" x14ac:dyDescent="0.15">
      <c r="A578" s="6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</row>
    <row r="579" spans="1:21" ht="13" x14ac:dyDescent="0.15">
      <c r="A579" s="6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</row>
    <row r="580" spans="1:21" ht="13" x14ac:dyDescent="0.15">
      <c r="A580" s="6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</row>
    <row r="581" spans="1:21" ht="13" x14ac:dyDescent="0.15">
      <c r="A581" s="6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</row>
    <row r="582" spans="1:21" ht="13" x14ac:dyDescent="0.15">
      <c r="A582" s="6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</row>
    <row r="583" spans="1:21" ht="13" x14ac:dyDescent="0.15">
      <c r="A583" s="6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</row>
    <row r="584" spans="1:21" ht="13" x14ac:dyDescent="0.15">
      <c r="A584" s="6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</row>
    <row r="585" spans="1:21" ht="13" x14ac:dyDescent="0.15">
      <c r="A585" s="6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</row>
    <row r="586" spans="1:21" ht="13" x14ac:dyDescent="0.15">
      <c r="A586" s="6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</row>
    <row r="587" spans="1:21" ht="13" x14ac:dyDescent="0.15">
      <c r="A587" s="6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</row>
    <row r="588" spans="1:21" ht="13" x14ac:dyDescent="0.15">
      <c r="A588" s="6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</row>
    <row r="589" spans="1:21" ht="13" x14ac:dyDescent="0.15">
      <c r="A589" s="6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</row>
    <row r="590" spans="1:21" ht="13" x14ac:dyDescent="0.15">
      <c r="A590" s="6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</row>
    <row r="591" spans="1:21" ht="13" x14ac:dyDescent="0.15">
      <c r="A591" s="6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</row>
    <row r="592" spans="1:21" ht="13" x14ac:dyDescent="0.15">
      <c r="A592" s="6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</row>
    <row r="593" spans="1:21" ht="13" x14ac:dyDescent="0.15">
      <c r="A593" s="6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</row>
    <row r="594" spans="1:21" ht="13" x14ac:dyDescent="0.15">
      <c r="A594" s="6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</row>
    <row r="595" spans="1:21" ht="13" x14ac:dyDescent="0.15">
      <c r="A595" s="6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</row>
    <row r="596" spans="1:21" ht="13" x14ac:dyDescent="0.15">
      <c r="A596" s="6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</row>
    <row r="597" spans="1:21" ht="13" x14ac:dyDescent="0.15">
      <c r="A597" s="6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</row>
    <row r="598" spans="1:21" ht="13" x14ac:dyDescent="0.15">
      <c r="A598" s="6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</row>
    <row r="599" spans="1:21" ht="13" x14ac:dyDescent="0.15">
      <c r="A599" s="6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</row>
    <row r="600" spans="1:21" ht="13" x14ac:dyDescent="0.15">
      <c r="A600" s="6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</row>
    <row r="601" spans="1:21" ht="13" x14ac:dyDescent="0.15">
      <c r="A601" s="6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</row>
    <row r="602" spans="1:21" ht="13" x14ac:dyDescent="0.15">
      <c r="A602" s="6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</row>
    <row r="603" spans="1:21" ht="13" x14ac:dyDescent="0.15">
      <c r="A603" s="6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</row>
    <row r="604" spans="1:21" ht="13" x14ac:dyDescent="0.15">
      <c r="A604" s="6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</row>
    <row r="605" spans="1:21" ht="13" x14ac:dyDescent="0.15">
      <c r="A605" s="6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</row>
    <row r="606" spans="1:21" ht="13" x14ac:dyDescent="0.15">
      <c r="A606" s="6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</row>
    <row r="607" spans="1:21" ht="13" x14ac:dyDescent="0.15">
      <c r="A607" s="6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</row>
    <row r="608" spans="1:21" ht="13" x14ac:dyDescent="0.15">
      <c r="A608" s="6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</row>
    <row r="609" spans="1:21" ht="13" x14ac:dyDescent="0.15">
      <c r="A609" s="6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</row>
    <row r="610" spans="1:21" ht="13" x14ac:dyDescent="0.15">
      <c r="A610" s="6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</row>
    <row r="611" spans="1:21" ht="13" x14ac:dyDescent="0.15">
      <c r="A611" s="6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</row>
    <row r="612" spans="1:21" ht="13" x14ac:dyDescent="0.15">
      <c r="A612" s="6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</row>
    <row r="613" spans="1:21" ht="13" x14ac:dyDescent="0.15">
      <c r="A613" s="6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</row>
    <row r="614" spans="1:21" ht="13" x14ac:dyDescent="0.15">
      <c r="A614" s="6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</row>
    <row r="615" spans="1:21" ht="13" x14ac:dyDescent="0.15">
      <c r="A615" s="6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</row>
    <row r="616" spans="1:21" ht="13" x14ac:dyDescent="0.15">
      <c r="A616" s="6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</row>
    <row r="617" spans="1:21" ht="13" x14ac:dyDescent="0.15">
      <c r="A617" s="6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</row>
    <row r="618" spans="1:21" ht="13" x14ac:dyDescent="0.15">
      <c r="A618" s="6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</row>
    <row r="619" spans="1:21" ht="13" x14ac:dyDescent="0.15">
      <c r="A619" s="6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</row>
    <row r="620" spans="1:21" ht="13" x14ac:dyDescent="0.15">
      <c r="A620" s="6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</row>
    <row r="621" spans="1:21" ht="13" x14ac:dyDescent="0.15">
      <c r="A621" s="6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</row>
    <row r="622" spans="1:21" ht="13" x14ac:dyDescent="0.15">
      <c r="A622" s="6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</row>
    <row r="623" spans="1:21" ht="13" x14ac:dyDescent="0.15">
      <c r="A623" s="6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</row>
    <row r="624" spans="1:21" ht="13" x14ac:dyDescent="0.15">
      <c r="A624" s="6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</row>
    <row r="625" spans="1:21" ht="13" x14ac:dyDescent="0.15">
      <c r="A625" s="6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</row>
    <row r="626" spans="1:21" ht="13" x14ac:dyDescent="0.15">
      <c r="A626" s="6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</row>
    <row r="627" spans="1:21" ht="13" x14ac:dyDescent="0.15">
      <c r="A627" s="6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</row>
    <row r="628" spans="1:21" ht="13" x14ac:dyDescent="0.15">
      <c r="A628" s="6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</row>
    <row r="629" spans="1:21" ht="13" x14ac:dyDescent="0.15">
      <c r="A629" s="6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</row>
    <row r="630" spans="1:21" ht="13" x14ac:dyDescent="0.15">
      <c r="A630" s="6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</row>
    <row r="631" spans="1:21" ht="13" x14ac:dyDescent="0.15">
      <c r="A631" s="6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</row>
    <row r="632" spans="1:21" ht="13" x14ac:dyDescent="0.15">
      <c r="A632" s="6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</row>
    <row r="633" spans="1:21" ht="13" x14ac:dyDescent="0.15">
      <c r="A633" s="6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</row>
    <row r="634" spans="1:21" ht="13" x14ac:dyDescent="0.15">
      <c r="A634" s="6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</row>
    <row r="635" spans="1:21" ht="13" x14ac:dyDescent="0.15">
      <c r="A635" s="6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</row>
    <row r="636" spans="1:21" ht="13" x14ac:dyDescent="0.15">
      <c r="A636" s="6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</row>
    <row r="637" spans="1:21" ht="13" x14ac:dyDescent="0.15">
      <c r="A637" s="6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</row>
    <row r="638" spans="1:21" ht="13" x14ac:dyDescent="0.15">
      <c r="A638" s="6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</row>
    <row r="639" spans="1:21" ht="13" x14ac:dyDescent="0.15">
      <c r="A639" s="6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</row>
    <row r="640" spans="1:21" ht="13" x14ac:dyDescent="0.15">
      <c r="A640" s="6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</row>
    <row r="641" spans="1:21" ht="13" x14ac:dyDescent="0.15">
      <c r="A641" s="6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</row>
    <row r="642" spans="1:21" ht="13" x14ac:dyDescent="0.15">
      <c r="A642" s="6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</row>
    <row r="643" spans="1:21" ht="13" x14ac:dyDescent="0.15">
      <c r="A643" s="6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</row>
    <row r="644" spans="1:21" ht="13" x14ac:dyDescent="0.15">
      <c r="A644" s="6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</row>
    <row r="645" spans="1:21" ht="13" x14ac:dyDescent="0.15">
      <c r="A645" s="6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</row>
    <row r="646" spans="1:21" ht="13" x14ac:dyDescent="0.15">
      <c r="A646" s="6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</row>
    <row r="647" spans="1:21" ht="13" x14ac:dyDescent="0.15">
      <c r="A647" s="6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</row>
    <row r="648" spans="1:21" ht="13" x14ac:dyDescent="0.15">
      <c r="A648" s="6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</row>
    <row r="649" spans="1:21" ht="13" x14ac:dyDescent="0.15">
      <c r="A649" s="6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</row>
    <row r="650" spans="1:21" ht="13" x14ac:dyDescent="0.15">
      <c r="A650" s="6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</row>
    <row r="651" spans="1:21" ht="13" x14ac:dyDescent="0.15">
      <c r="A651" s="6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</row>
    <row r="652" spans="1:21" ht="13" x14ac:dyDescent="0.15">
      <c r="A652" s="6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</row>
    <row r="653" spans="1:21" ht="13" x14ac:dyDescent="0.15">
      <c r="A653" s="6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</row>
    <row r="654" spans="1:21" ht="13" x14ac:dyDescent="0.15">
      <c r="A654" s="6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</row>
    <row r="655" spans="1:21" ht="13" x14ac:dyDescent="0.15">
      <c r="A655" s="6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</row>
    <row r="656" spans="1:21" ht="13" x14ac:dyDescent="0.15">
      <c r="A656" s="6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</row>
    <row r="657" spans="1:21" ht="13" x14ac:dyDescent="0.15">
      <c r="A657" s="6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</row>
    <row r="658" spans="1:21" ht="13" x14ac:dyDescent="0.15">
      <c r="A658" s="6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</row>
    <row r="659" spans="1:21" ht="13" x14ac:dyDescent="0.15">
      <c r="A659" s="6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</row>
    <row r="660" spans="1:21" ht="13" x14ac:dyDescent="0.15">
      <c r="A660" s="6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</row>
    <row r="661" spans="1:21" ht="13" x14ac:dyDescent="0.15">
      <c r="A661" s="6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</row>
    <row r="662" spans="1:21" ht="13" x14ac:dyDescent="0.15">
      <c r="A662" s="6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</row>
    <row r="663" spans="1:21" ht="13" x14ac:dyDescent="0.15">
      <c r="A663" s="6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</row>
    <row r="664" spans="1:21" ht="13" x14ac:dyDescent="0.15">
      <c r="A664" s="6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</row>
    <row r="665" spans="1:21" ht="13" x14ac:dyDescent="0.15">
      <c r="A665" s="6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</row>
    <row r="666" spans="1:21" ht="13" x14ac:dyDescent="0.15">
      <c r="A666" s="6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</row>
    <row r="667" spans="1:21" ht="13" x14ac:dyDescent="0.15">
      <c r="A667" s="6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</row>
    <row r="668" spans="1:21" ht="13" x14ac:dyDescent="0.15">
      <c r="A668" s="6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</row>
    <row r="669" spans="1:21" ht="13" x14ac:dyDescent="0.15">
      <c r="A669" s="6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</row>
    <row r="670" spans="1:21" ht="13" x14ac:dyDescent="0.15">
      <c r="A670" s="6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</row>
    <row r="671" spans="1:21" ht="13" x14ac:dyDescent="0.15">
      <c r="A671" s="6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</row>
    <row r="672" spans="1:21" ht="13" x14ac:dyDescent="0.15">
      <c r="A672" s="6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</row>
    <row r="673" spans="1:21" ht="13" x14ac:dyDescent="0.15">
      <c r="A673" s="6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</row>
    <row r="674" spans="1:21" ht="13" x14ac:dyDescent="0.15">
      <c r="A674" s="6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</row>
    <row r="675" spans="1:21" ht="13" x14ac:dyDescent="0.15">
      <c r="A675" s="62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</row>
    <row r="676" spans="1:21" ht="13" x14ac:dyDescent="0.15">
      <c r="A676" s="62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</row>
    <row r="677" spans="1:21" ht="13" x14ac:dyDescent="0.15">
      <c r="A677" s="62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</row>
    <row r="678" spans="1:21" ht="13" x14ac:dyDescent="0.15">
      <c r="A678" s="62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</row>
    <row r="679" spans="1:21" ht="13" x14ac:dyDescent="0.15">
      <c r="A679" s="62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</row>
    <row r="680" spans="1:21" ht="13" x14ac:dyDescent="0.15">
      <c r="A680" s="62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</row>
    <row r="681" spans="1:21" ht="13" x14ac:dyDescent="0.15">
      <c r="A681" s="62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</row>
    <row r="682" spans="1:21" ht="13" x14ac:dyDescent="0.15">
      <c r="A682" s="62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</row>
    <row r="683" spans="1:21" ht="13" x14ac:dyDescent="0.15">
      <c r="A683" s="62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</row>
    <row r="684" spans="1:21" ht="13" x14ac:dyDescent="0.15">
      <c r="A684" s="62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</row>
    <row r="685" spans="1:21" ht="13" x14ac:dyDescent="0.15">
      <c r="A685" s="62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</row>
    <row r="686" spans="1:21" ht="13" x14ac:dyDescent="0.15">
      <c r="A686" s="62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</row>
    <row r="687" spans="1:21" ht="13" x14ac:dyDescent="0.15">
      <c r="A687" s="62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</row>
    <row r="688" spans="1:21" ht="13" x14ac:dyDescent="0.15">
      <c r="A688" s="62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</row>
    <row r="689" spans="1:21" ht="13" x14ac:dyDescent="0.15">
      <c r="A689" s="62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</row>
    <row r="690" spans="1:21" ht="13" x14ac:dyDescent="0.15">
      <c r="A690" s="62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</row>
    <row r="691" spans="1:21" ht="13" x14ac:dyDescent="0.15">
      <c r="A691" s="62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</row>
    <row r="692" spans="1:21" ht="13" x14ac:dyDescent="0.15">
      <c r="A692" s="62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</row>
    <row r="693" spans="1:21" ht="13" x14ac:dyDescent="0.15">
      <c r="A693" s="62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</row>
    <row r="694" spans="1:21" ht="13" x14ac:dyDescent="0.15">
      <c r="A694" s="62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</row>
    <row r="695" spans="1:21" ht="13" x14ac:dyDescent="0.15">
      <c r="A695" s="62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</row>
    <row r="696" spans="1:21" ht="13" x14ac:dyDescent="0.15">
      <c r="A696" s="62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</row>
    <row r="697" spans="1:21" ht="13" x14ac:dyDescent="0.15">
      <c r="A697" s="62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</row>
    <row r="698" spans="1:21" ht="13" x14ac:dyDescent="0.15">
      <c r="A698" s="62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</row>
    <row r="699" spans="1:21" ht="13" x14ac:dyDescent="0.15">
      <c r="A699" s="62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</row>
    <row r="700" spans="1:21" ht="13" x14ac:dyDescent="0.15">
      <c r="A700" s="62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</row>
    <row r="701" spans="1:21" ht="13" x14ac:dyDescent="0.15">
      <c r="A701" s="62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</row>
    <row r="702" spans="1:21" ht="13" x14ac:dyDescent="0.15">
      <c r="A702" s="62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</row>
    <row r="703" spans="1:21" ht="13" x14ac:dyDescent="0.15">
      <c r="A703" s="62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</row>
    <row r="704" spans="1:21" ht="13" x14ac:dyDescent="0.15">
      <c r="A704" s="62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</row>
    <row r="705" spans="1:21" ht="13" x14ac:dyDescent="0.15">
      <c r="A705" s="62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</row>
    <row r="706" spans="1:21" ht="13" x14ac:dyDescent="0.15">
      <c r="A706" s="62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</row>
    <row r="707" spans="1:21" ht="13" x14ac:dyDescent="0.15">
      <c r="A707" s="62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</row>
    <row r="708" spans="1:21" ht="13" x14ac:dyDescent="0.15">
      <c r="A708" s="62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</row>
    <row r="709" spans="1:21" ht="13" x14ac:dyDescent="0.15">
      <c r="A709" s="62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</row>
    <row r="710" spans="1:21" ht="13" x14ac:dyDescent="0.15">
      <c r="A710" s="62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</row>
    <row r="711" spans="1:21" ht="13" x14ac:dyDescent="0.15">
      <c r="A711" s="62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</row>
    <row r="712" spans="1:21" ht="13" x14ac:dyDescent="0.15">
      <c r="A712" s="62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</row>
    <row r="713" spans="1:21" ht="13" x14ac:dyDescent="0.15">
      <c r="A713" s="62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</row>
    <row r="714" spans="1:21" ht="13" x14ac:dyDescent="0.15">
      <c r="A714" s="62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</row>
    <row r="715" spans="1:21" ht="13" x14ac:dyDescent="0.15">
      <c r="A715" s="62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</row>
    <row r="716" spans="1:21" ht="13" x14ac:dyDescent="0.15">
      <c r="A716" s="62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</row>
    <row r="717" spans="1:21" ht="13" x14ac:dyDescent="0.15">
      <c r="A717" s="62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</row>
    <row r="718" spans="1:21" ht="13" x14ac:dyDescent="0.15">
      <c r="A718" s="62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</row>
    <row r="719" spans="1:21" ht="13" x14ac:dyDescent="0.15">
      <c r="A719" s="62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</row>
    <row r="720" spans="1:21" ht="13" x14ac:dyDescent="0.15">
      <c r="A720" s="62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</row>
    <row r="721" spans="1:21" ht="13" x14ac:dyDescent="0.15">
      <c r="A721" s="62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</row>
    <row r="722" spans="1:21" ht="13" x14ac:dyDescent="0.15">
      <c r="A722" s="62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</row>
    <row r="723" spans="1:21" ht="13" x14ac:dyDescent="0.15">
      <c r="A723" s="62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</row>
    <row r="724" spans="1:21" ht="13" x14ac:dyDescent="0.15">
      <c r="A724" s="62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</row>
    <row r="725" spans="1:21" ht="13" x14ac:dyDescent="0.15">
      <c r="A725" s="62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</row>
    <row r="726" spans="1:21" ht="13" x14ac:dyDescent="0.15">
      <c r="A726" s="62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</row>
    <row r="727" spans="1:21" ht="13" x14ac:dyDescent="0.15">
      <c r="A727" s="62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</row>
    <row r="728" spans="1:21" ht="13" x14ac:dyDescent="0.15">
      <c r="A728" s="62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</row>
    <row r="729" spans="1:21" ht="13" x14ac:dyDescent="0.15">
      <c r="A729" s="62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</row>
    <row r="730" spans="1:21" ht="13" x14ac:dyDescent="0.15">
      <c r="A730" s="62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</row>
    <row r="731" spans="1:21" ht="13" x14ac:dyDescent="0.15">
      <c r="A731" s="62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</row>
    <row r="732" spans="1:21" ht="13" x14ac:dyDescent="0.15">
      <c r="A732" s="62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</row>
    <row r="733" spans="1:21" ht="13" x14ac:dyDescent="0.15">
      <c r="A733" s="62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</row>
    <row r="734" spans="1:21" ht="13" x14ac:dyDescent="0.15">
      <c r="A734" s="62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</row>
    <row r="735" spans="1:21" ht="13" x14ac:dyDescent="0.15">
      <c r="A735" s="62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</row>
    <row r="736" spans="1:21" ht="13" x14ac:dyDescent="0.15">
      <c r="A736" s="62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</row>
    <row r="737" spans="1:21" ht="13" x14ac:dyDescent="0.15">
      <c r="A737" s="62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</row>
    <row r="738" spans="1:21" ht="13" x14ac:dyDescent="0.15">
      <c r="A738" s="62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</row>
    <row r="739" spans="1:21" ht="13" x14ac:dyDescent="0.15">
      <c r="A739" s="62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</row>
    <row r="740" spans="1:21" ht="13" x14ac:dyDescent="0.15">
      <c r="A740" s="62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</row>
    <row r="741" spans="1:21" ht="13" x14ac:dyDescent="0.15">
      <c r="A741" s="62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</row>
    <row r="742" spans="1:21" ht="13" x14ac:dyDescent="0.15">
      <c r="A742" s="62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</row>
    <row r="743" spans="1:21" ht="13" x14ac:dyDescent="0.15">
      <c r="A743" s="62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</row>
    <row r="744" spans="1:21" ht="13" x14ac:dyDescent="0.15">
      <c r="A744" s="62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</row>
    <row r="745" spans="1:21" ht="13" x14ac:dyDescent="0.15">
      <c r="A745" s="62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</row>
    <row r="746" spans="1:21" ht="13" x14ac:dyDescent="0.15">
      <c r="A746" s="62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</row>
    <row r="747" spans="1:21" ht="13" x14ac:dyDescent="0.15">
      <c r="A747" s="62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</row>
    <row r="748" spans="1:21" ht="13" x14ac:dyDescent="0.15">
      <c r="A748" s="62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</row>
    <row r="749" spans="1:21" ht="13" x14ac:dyDescent="0.15">
      <c r="A749" s="62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</row>
    <row r="750" spans="1:21" ht="13" x14ac:dyDescent="0.15">
      <c r="A750" s="62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</row>
    <row r="751" spans="1:21" ht="13" x14ac:dyDescent="0.15">
      <c r="A751" s="62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</row>
    <row r="752" spans="1:21" ht="13" x14ac:dyDescent="0.15">
      <c r="A752" s="62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</row>
    <row r="753" spans="1:21" ht="13" x14ac:dyDescent="0.15">
      <c r="A753" s="62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</row>
    <row r="754" spans="1:21" ht="13" x14ac:dyDescent="0.15">
      <c r="A754" s="62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</row>
    <row r="755" spans="1:21" ht="13" x14ac:dyDescent="0.15">
      <c r="A755" s="62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</row>
    <row r="756" spans="1:21" ht="13" x14ac:dyDescent="0.15">
      <c r="A756" s="62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</row>
    <row r="757" spans="1:21" ht="13" x14ac:dyDescent="0.15">
      <c r="A757" s="62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</row>
    <row r="758" spans="1:21" ht="13" x14ac:dyDescent="0.15">
      <c r="A758" s="62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</row>
    <row r="759" spans="1:21" ht="13" x14ac:dyDescent="0.15">
      <c r="A759" s="62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</row>
    <row r="760" spans="1:21" ht="13" x14ac:dyDescent="0.15">
      <c r="A760" s="62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</row>
    <row r="761" spans="1:21" ht="13" x14ac:dyDescent="0.15">
      <c r="A761" s="62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</row>
    <row r="762" spans="1:21" ht="13" x14ac:dyDescent="0.15">
      <c r="A762" s="62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</row>
    <row r="763" spans="1:21" ht="13" x14ac:dyDescent="0.15">
      <c r="A763" s="62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</row>
    <row r="764" spans="1:21" ht="13" x14ac:dyDescent="0.15">
      <c r="A764" s="62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</row>
    <row r="765" spans="1:21" ht="13" x14ac:dyDescent="0.15">
      <c r="A765" s="62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</row>
    <row r="766" spans="1:21" ht="13" x14ac:dyDescent="0.15">
      <c r="A766" s="62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</row>
    <row r="767" spans="1:21" ht="13" x14ac:dyDescent="0.15">
      <c r="A767" s="62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</row>
    <row r="768" spans="1:21" ht="13" x14ac:dyDescent="0.15">
      <c r="A768" s="62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</row>
    <row r="769" spans="1:21" ht="13" x14ac:dyDescent="0.15">
      <c r="A769" s="62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</row>
    <row r="770" spans="1:21" ht="13" x14ac:dyDescent="0.15">
      <c r="A770" s="62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</row>
    <row r="771" spans="1:21" ht="13" x14ac:dyDescent="0.15">
      <c r="A771" s="62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</row>
    <row r="772" spans="1:21" ht="13" x14ac:dyDescent="0.15">
      <c r="A772" s="62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</row>
    <row r="773" spans="1:21" ht="13" x14ac:dyDescent="0.15">
      <c r="A773" s="62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</row>
    <row r="774" spans="1:21" ht="13" x14ac:dyDescent="0.15">
      <c r="A774" s="62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</row>
    <row r="775" spans="1:21" ht="13" x14ac:dyDescent="0.15">
      <c r="A775" s="62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</row>
    <row r="776" spans="1:21" ht="13" x14ac:dyDescent="0.15">
      <c r="A776" s="62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</row>
    <row r="777" spans="1:21" ht="13" x14ac:dyDescent="0.15">
      <c r="A777" s="62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</row>
    <row r="778" spans="1:21" ht="13" x14ac:dyDescent="0.15">
      <c r="A778" s="62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</row>
    <row r="779" spans="1:21" ht="13" x14ac:dyDescent="0.15">
      <c r="A779" s="62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</row>
    <row r="780" spans="1:21" ht="13" x14ac:dyDescent="0.15">
      <c r="A780" s="62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</row>
    <row r="781" spans="1:21" ht="13" x14ac:dyDescent="0.15">
      <c r="A781" s="62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</row>
    <row r="782" spans="1:21" ht="13" x14ac:dyDescent="0.15">
      <c r="A782" s="62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</row>
    <row r="783" spans="1:21" ht="13" x14ac:dyDescent="0.15">
      <c r="A783" s="62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</row>
    <row r="784" spans="1:21" ht="13" x14ac:dyDescent="0.15">
      <c r="A784" s="62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</row>
    <row r="785" spans="1:21" ht="13" x14ac:dyDescent="0.15">
      <c r="A785" s="62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</row>
    <row r="786" spans="1:21" ht="13" x14ac:dyDescent="0.15">
      <c r="A786" s="62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</row>
    <row r="787" spans="1:21" ht="13" x14ac:dyDescent="0.15">
      <c r="A787" s="62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</row>
    <row r="788" spans="1:21" ht="13" x14ac:dyDescent="0.15">
      <c r="A788" s="62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</row>
    <row r="789" spans="1:21" ht="13" x14ac:dyDescent="0.15">
      <c r="A789" s="62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</row>
    <row r="790" spans="1:21" ht="13" x14ac:dyDescent="0.15">
      <c r="A790" s="62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</row>
    <row r="791" spans="1:21" ht="13" x14ac:dyDescent="0.15">
      <c r="A791" s="62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</row>
    <row r="792" spans="1:21" ht="13" x14ac:dyDescent="0.15">
      <c r="A792" s="62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</row>
    <row r="793" spans="1:21" ht="13" x14ac:dyDescent="0.15">
      <c r="A793" s="62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</row>
    <row r="794" spans="1:21" ht="13" x14ac:dyDescent="0.15">
      <c r="A794" s="62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</row>
    <row r="795" spans="1:21" ht="13" x14ac:dyDescent="0.15">
      <c r="A795" s="62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</row>
    <row r="796" spans="1:21" ht="13" x14ac:dyDescent="0.15">
      <c r="A796" s="62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</row>
    <row r="797" spans="1:21" ht="13" x14ac:dyDescent="0.15">
      <c r="A797" s="62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</row>
    <row r="798" spans="1:21" ht="13" x14ac:dyDescent="0.15">
      <c r="A798" s="62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</row>
    <row r="799" spans="1:21" ht="13" x14ac:dyDescent="0.15">
      <c r="A799" s="62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</row>
    <row r="800" spans="1:21" ht="13" x14ac:dyDescent="0.15">
      <c r="A800" s="62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</row>
    <row r="801" spans="1:21" ht="13" x14ac:dyDescent="0.15">
      <c r="A801" s="62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</row>
    <row r="802" spans="1:21" ht="13" x14ac:dyDescent="0.15">
      <c r="A802" s="62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</row>
    <row r="803" spans="1:21" ht="13" x14ac:dyDescent="0.15">
      <c r="A803" s="62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</row>
    <row r="804" spans="1:21" ht="13" x14ac:dyDescent="0.15">
      <c r="A804" s="62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</row>
    <row r="805" spans="1:21" ht="13" x14ac:dyDescent="0.15">
      <c r="A805" s="62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</row>
    <row r="806" spans="1:21" ht="13" x14ac:dyDescent="0.15">
      <c r="A806" s="62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</row>
    <row r="807" spans="1:21" ht="13" x14ac:dyDescent="0.15">
      <c r="A807" s="62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</row>
    <row r="808" spans="1:21" ht="13" x14ac:dyDescent="0.15">
      <c r="A808" s="62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</row>
    <row r="809" spans="1:21" ht="13" x14ac:dyDescent="0.15">
      <c r="A809" s="62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</row>
    <row r="810" spans="1:21" ht="13" x14ac:dyDescent="0.15">
      <c r="A810" s="62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</row>
    <row r="811" spans="1:21" ht="13" x14ac:dyDescent="0.15">
      <c r="A811" s="62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</row>
    <row r="812" spans="1:21" ht="13" x14ac:dyDescent="0.15">
      <c r="A812" s="62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</row>
    <row r="813" spans="1:21" ht="13" x14ac:dyDescent="0.15">
      <c r="A813" s="62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</row>
    <row r="814" spans="1:21" ht="13" x14ac:dyDescent="0.15">
      <c r="A814" s="62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</row>
    <row r="815" spans="1:21" ht="13" x14ac:dyDescent="0.15">
      <c r="A815" s="62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</row>
    <row r="816" spans="1:21" ht="13" x14ac:dyDescent="0.15">
      <c r="A816" s="62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</row>
    <row r="817" spans="1:21" ht="13" x14ac:dyDescent="0.15">
      <c r="A817" s="62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</row>
    <row r="818" spans="1:21" ht="13" x14ac:dyDescent="0.15">
      <c r="A818" s="62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</row>
    <row r="819" spans="1:21" ht="13" x14ac:dyDescent="0.15">
      <c r="A819" s="62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</row>
    <row r="820" spans="1:21" ht="13" x14ac:dyDescent="0.15">
      <c r="A820" s="62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</row>
    <row r="821" spans="1:21" ht="13" x14ac:dyDescent="0.15">
      <c r="A821" s="62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</row>
    <row r="822" spans="1:21" ht="13" x14ac:dyDescent="0.15">
      <c r="A822" s="62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</row>
    <row r="823" spans="1:21" ht="13" x14ac:dyDescent="0.15">
      <c r="A823" s="62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</row>
    <row r="824" spans="1:21" ht="13" x14ac:dyDescent="0.15">
      <c r="A824" s="62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</row>
    <row r="825" spans="1:21" ht="13" x14ac:dyDescent="0.15">
      <c r="A825" s="62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</row>
    <row r="826" spans="1:21" ht="13" x14ac:dyDescent="0.15">
      <c r="A826" s="62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</row>
    <row r="827" spans="1:21" ht="13" x14ac:dyDescent="0.15">
      <c r="A827" s="62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</row>
    <row r="828" spans="1:21" ht="13" x14ac:dyDescent="0.15">
      <c r="A828" s="62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</row>
    <row r="829" spans="1:21" ht="13" x14ac:dyDescent="0.15">
      <c r="A829" s="62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</row>
    <row r="830" spans="1:21" ht="13" x14ac:dyDescent="0.15">
      <c r="A830" s="62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</row>
    <row r="831" spans="1:21" ht="13" x14ac:dyDescent="0.15">
      <c r="A831" s="62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</row>
    <row r="832" spans="1:21" ht="13" x14ac:dyDescent="0.15">
      <c r="A832" s="62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</row>
    <row r="833" spans="1:21" ht="13" x14ac:dyDescent="0.15">
      <c r="A833" s="62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</row>
    <row r="834" spans="1:21" ht="13" x14ac:dyDescent="0.15">
      <c r="A834" s="62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</row>
    <row r="835" spans="1:21" ht="13" x14ac:dyDescent="0.15">
      <c r="A835" s="62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</row>
    <row r="836" spans="1:21" ht="13" x14ac:dyDescent="0.15">
      <c r="A836" s="62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</row>
    <row r="837" spans="1:21" ht="13" x14ac:dyDescent="0.15">
      <c r="A837" s="62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</row>
    <row r="838" spans="1:21" ht="13" x14ac:dyDescent="0.15">
      <c r="A838" s="62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</row>
    <row r="839" spans="1:21" ht="13" x14ac:dyDescent="0.15">
      <c r="A839" s="62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</row>
    <row r="840" spans="1:21" ht="13" x14ac:dyDescent="0.15">
      <c r="A840" s="62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</row>
    <row r="841" spans="1:21" ht="13" x14ac:dyDescent="0.15">
      <c r="A841" s="62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</row>
    <row r="842" spans="1:21" ht="13" x14ac:dyDescent="0.15">
      <c r="A842" s="62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</row>
    <row r="843" spans="1:21" ht="13" x14ac:dyDescent="0.15">
      <c r="A843" s="62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</row>
    <row r="844" spans="1:21" ht="13" x14ac:dyDescent="0.15">
      <c r="A844" s="62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</row>
    <row r="845" spans="1:21" ht="13" x14ac:dyDescent="0.15">
      <c r="A845" s="62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</row>
    <row r="846" spans="1:21" ht="13" x14ac:dyDescent="0.15">
      <c r="A846" s="62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</row>
    <row r="847" spans="1:21" ht="13" x14ac:dyDescent="0.15">
      <c r="A847" s="62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</row>
    <row r="848" spans="1:21" ht="13" x14ac:dyDescent="0.15">
      <c r="A848" s="62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</row>
    <row r="849" spans="1:21" ht="13" x14ac:dyDescent="0.15">
      <c r="A849" s="62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</row>
    <row r="850" spans="1:21" ht="13" x14ac:dyDescent="0.15">
      <c r="A850" s="62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</row>
    <row r="851" spans="1:21" ht="13" x14ac:dyDescent="0.15">
      <c r="A851" s="62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</row>
    <row r="852" spans="1:21" ht="13" x14ac:dyDescent="0.15">
      <c r="A852" s="62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</row>
    <row r="853" spans="1:21" ht="13" x14ac:dyDescent="0.15">
      <c r="A853" s="62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</row>
    <row r="854" spans="1:21" ht="13" x14ac:dyDescent="0.15">
      <c r="A854" s="62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</row>
    <row r="855" spans="1:21" ht="13" x14ac:dyDescent="0.15">
      <c r="A855" s="62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</row>
    <row r="856" spans="1:21" ht="13" x14ac:dyDescent="0.15">
      <c r="A856" s="62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</row>
    <row r="857" spans="1:21" ht="13" x14ac:dyDescent="0.15">
      <c r="A857" s="62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</row>
    <row r="858" spans="1:21" ht="13" x14ac:dyDescent="0.15">
      <c r="A858" s="62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</row>
    <row r="859" spans="1:21" ht="13" x14ac:dyDescent="0.15">
      <c r="A859" s="62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</row>
    <row r="860" spans="1:21" ht="13" x14ac:dyDescent="0.15">
      <c r="A860" s="62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</row>
    <row r="861" spans="1:21" ht="13" x14ac:dyDescent="0.15">
      <c r="A861" s="62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</row>
    <row r="862" spans="1:21" ht="13" x14ac:dyDescent="0.15">
      <c r="A862" s="62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</row>
    <row r="863" spans="1:21" ht="13" x14ac:dyDescent="0.15">
      <c r="A863" s="62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</row>
    <row r="864" spans="1:21" ht="13" x14ac:dyDescent="0.15">
      <c r="A864" s="62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</row>
    <row r="865" spans="1:21" ht="13" x14ac:dyDescent="0.15">
      <c r="A865" s="62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</row>
    <row r="866" spans="1:21" ht="13" x14ac:dyDescent="0.15">
      <c r="A866" s="62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</row>
    <row r="867" spans="1:21" ht="13" x14ac:dyDescent="0.15">
      <c r="A867" s="62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</row>
    <row r="868" spans="1:21" ht="13" x14ac:dyDescent="0.15">
      <c r="A868" s="62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</row>
    <row r="869" spans="1:21" ht="13" x14ac:dyDescent="0.15">
      <c r="A869" s="62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</row>
    <row r="870" spans="1:21" ht="13" x14ac:dyDescent="0.15">
      <c r="A870" s="62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</row>
    <row r="871" spans="1:21" ht="13" x14ac:dyDescent="0.15">
      <c r="A871" s="62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</row>
    <row r="872" spans="1:21" ht="13" x14ac:dyDescent="0.15">
      <c r="A872" s="62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</row>
    <row r="873" spans="1:21" ht="13" x14ac:dyDescent="0.15">
      <c r="A873" s="62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</row>
    <row r="874" spans="1:21" ht="13" x14ac:dyDescent="0.15">
      <c r="A874" s="62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</row>
    <row r="875" spans="1:21" ht="13" x14ac:dyDescent="0.15">
      <c r="A875" s="62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</row>
    <row r="876" spans="1:21" ht="13" x14ac:dyDescent="0.15">
      <c r="A876" s="62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</row>
    <row r="877" spans="1:21" ht="13" x14ac:dyDescent="0.15">
      <c r="A877" s="62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</row>
    <row r="878" spans="1:21" ht="13" x14ac:dyDescent="0.15">
      <c r="A878" s="62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</row>
    <row r="879" spans="1:21" ht="13" x14ac:dyDescent="0.15">
      <c r="A879" s="62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</row>
    <row r="880" spans="1:21" ht="13" x14ac:dyDescent="0.15">
      <c r="A880" s="62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</row>
    <row r="881" spans="1:21" ht="13" x14ac:dyDescent="0.15">
      <c r="A881" s="62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</row>
    <row r="882" spans="1:21" ht="13" x14ac:dyDescent="0.15">
      <c r="A882" s="62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</row>
    <row r="883" spans="1:21" ht="13" x14ac:dyDescent="0.15">
      <c r="A883" s="62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</row>
    <row r="884" spans="1:21" ht="13" x14ac:dyDescent="0.15">
      <c r="A884" s="62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</row>
    <row r="885" spans="1:21" ht="13" x14ac:dyDescent="0.15">
      <c r="A885" s="62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</row>
    <row r="886" spans="1:21" ht="13" x14ac:dyDescent="0.15">
      <c r="A886" s="62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</row>
    <row r="887" spans="1:21" ht="13" x14ac:dyDescent="0.15">
      <c r="A887" s="62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</row>
    <row r="888" spans="1:21" ht="13" x14ac:dyDescent="0.15">
      <c r="A888" s="62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</row>
    <row r="889" spans="1:21" ht="13" x14ac:dyDescent="0.15">
      <c r="A889" s="62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</row>
    <row r="890" spans="1:21" ht="13" x14ac:dyDescent="0.15">
      <c r="A890" s="62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</row>
    <row r="891" spans="1:21" ht="13" x14ac:dyDescent="0.15">
      <c r="A891" s="62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</row>
    <row r="892" spans="1:21" ht="13" x14ac:dyDescent="0.15">
      <c r="A892" s="62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</row>
    <row r="893" spans="1:21" ht="13" x14ac:dyDescent="0.15">
      <c r="A893" s="62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</row>
    <row r="894" spans="1:21" ht="13" x14ac:dyDescent="0.15">
      <c r="A894" s="62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</row>
    <row r="895" spans="1:21" ht="13" x14ac:dyDescent="0.15">
      <c r="A895" s="62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</row>
    <row r="896" spans="1:21" ht="13" x14ac:dyDescent="0.15">
      <c r="A896" s="62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</row>
    <row r="897" spans="1:21" ht="13" x14ac:dyDescent="0.15">
      <c r="A897" s="62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</row>
    <row r="898" spans="1:21" ht="13" x14ac:dyDescent="0.15">
      <c r="A898" s="62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</row>
    <row r="899" spans="1:21" ht="13" x14ac:dyDescent="0.15">
      <c r="A899" s="62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</row>
    <row r="900" spans="1:21" ht="13" x14ac:dyDescent="0.15">
      <c r="A900" s="62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</row>
    <row r="901" spans="1:21" ht="13" x14ac:dyDescent="0.15">
      <c r="A901" s="62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</row>
    <row r="902" spans="1:21" ht="13" x14ac:dyDescent="0.15">
      <c r="A902" s="62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</row>
    <row r="903" spans="1:21" ht="13" x14ac:dyDescent="0.15">
      <c r="A903" s="62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</row>
    <row r="904" spans="1:21" ht="13" x14ac:dyDescent="0.15">
      <c r="A904" s="62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</row>
    <row r="905" spans="1:21" ht="13" x14ac:dyDescent="0.15">
      <c r="A905" s="62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</row>
    <row r="906" spans="1:21" ht="13" x14ac:dyDescent="0.15">
      <c r="A906" s="62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</row>
    <row r="907" spans="1:21" ht="13" x14ac:dyDescent="0.15">
      <c r="A907" s="62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</row>
    <row r="908" spans="1:21" ht="13" x14ac:dyDescent="0.15">
      <c r="A908" s="62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</row>
    <row r="909" spans="1:21" ht="13" x14ac:dyDescent="0.15">
      <c r="A909" s="62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</row>
    <row r="910" spans="1:21" ht="13" x14ac:dyDescent="0.15">
      <c r="A910" s="62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</row>
    <row r="911" spans="1:21" ht="13" x14ac:dyDescent="0.15">
      <c r="A911" s="62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</row>
    <row r="912" spans="1:21" ht="13" x14ac:dyDescent="0.15">
      <c r="A912" s="62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</row>
    <row r="913" spans="1:21" ht="13" x14ac:dyDescent="0.15">
      <c r="A913" s="62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</row>
    <row r="914" spans="1:21" ht="13" x14ac:dyDescent="0.15">
      <c r="A914" s="62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</row>
    <row r="915" spans="1:21" ht="13" x14ac:dyDescent="0.15">
      <c r="A915" s="62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</row>
    <row r="916" spans="1:21" ht="13" x14ac:dyDescent="0.15">
      <c r="A916" s="62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</row>
    <row r="917" spans="1:21" ht="13" x14ac:dyDescent="0.15">
      <c r="A917" s="62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</row>
    <row r="918" spans="1:21" ht="13" x14ac:dyDescent="0.15">
      <c r="A918" s="62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</row>
    <row r="919" spans="1:21" ht="13" x14ac:dyDescent="0.15">
      <c r="A919" s="62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</row>
    <row r="920" spans="1:21" ht="13" x14ac:dyDescent="0.15">
      <c r="A920" s="62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</row>
    <row r="921" spans="1:21" ht="13" x14ac:dyDescent="0.15">
      <c r="A921" s="62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</row>
    <row r="922" spans="1:21" ht="13" x14ac:dyDescent="0.15">
      <c r="A922" s="62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</row>
    <row r="923" spans="1:21" ht="13" x14ac:dyDescent="0.15">
      <c r="A923" s="62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</row>
    <row r="924" spans="1:21" ht="13" x14ac:dyDescent="0.15">
      <c r="A924" s="62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</row>
    <row r="925" spans="1:21" ht="13" x14ac:dyDescent="0.15">
      <c r="A925" s="62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</row>
    <row r="926" spans="1:21" ht="13" x14ac:dyDescent="0.15">
      <c r="A926" s="62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</row>
    <row r="927" spans="1:21" ht="13" x14ac:dyDescent="0.15">
      <c r="A927" s="62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</row>
    <row r="928" spans="1:21" ht="13" x14ac:dyDescent="0.15">
      <c r="A928" s="62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</row>
    <row r="929" spans="1:21" ht="13" x14ac:dyDescent="0.15">
      <c r="A929" s="62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</row>
    <row r="930" spans="1:21" ht="13" x14ac:dyDescent="0.15">
      <c r="A930" s="62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</row>
    <row r="931" spans="1:21" ht="13" x14ac:dyDescent="0.15">
      <c r="A931" s="62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</row>
    <row r="932" spans="1:21" ht="13" x14ac:dyDescent="0.15">
      <c r="A932" s="62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</row>
    <row r="933" spans="1:21" ht="13" x14ac:dyDescent="0.15">
      <c r="A933" s="62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</row>
    <row r="934" spans="1:21" ht="13" x14ac:dyDescent="0.15">
      <c r="A934" s="62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</row>
    <row r="935" spans="1:21" ht="13" x14ac:dyDescent="0.15">
      <c r="A935" s="62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</row>
    <row r="936" spans="1:21" ht="13" x14ac:dyDescent="0.15">
      <c r="A936" s="62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</row>
    <row r="937" spans="1:21" ht="13" x14ac:dyDescent="0.15">
      <c r="A937" s="62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</row>
    <row r="938" spans="1:21" ht="13" x14ac:dyDescent="0.15">
      <c r="A938" s="62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</row>
    <row r="939" spans="1:21" ht="13" x14ac:dyDescent="0.15">
      <c r="A939" s="62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</row>
    <row r="940" spans="1:21" ht="13" x14ac:dyDescent="0.15">
      <c r="A940" s="62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</row>
    <row r="941" spans="1:21" ht="13" x14ac:dyDescent="0.15">
      <c r="A941" s="62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</row>
    <row r="942" spans="1:21" ht="13" x14ac:dyDescent="0.15">
      <c r="A942" s="62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</row>
    <row r="943" spans="1:21" ht="13" x14ac:dyDescent="0.15">
      <c r="A943" s="62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</row>
    <row r="944" spans="1:21" ht="13" x14ac:dyDescent="0.15">
      <c r="A944" s="62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</row>
    <row r="945" spans="1:21" ht="13" x14ac:dyDescent="0.15">
      <c r="A945" s="62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</row>
    <row r="946" spans="1:21" ht="13" x14ac:dyDescent="0.15">
      <c r="A946" s="62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</row>
    <row r="947" spans="1:21" ht="13" x14ac:dyDescent="0.15">
      <c r="A947" s="62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</row>
    <row r="948" spans="1:21" ht="13" x14ac:dyDescent="0.15">
      <c r="A948" s="62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</row>
    <row r="949" spans="1:21" ht="13" x14ac:dyDescent="0.15">
      <c r="A949" s="62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</row>
    <row r="950" spans="1:21" ht="13" x14ac:dyDescent="0.15">
      <c r="A950" s="62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</row>
    <row r="951" spans="1:21" ht="13" x14ac:dyDescent="0.15">
      <c r="A951" s="62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</row>
    <row r="952" spans="1:21" ht="13" x14ac:dyDescent="0.15">
      <c r="A952" s="62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</row>
    <row r="953" spans="1:21" ht="13" x14ac:dyDescent="0.15">
      <c r="A953" s="62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</row>
    <row r="954" spans="1:21" ht="13" x14ac:dyDescent="0.15">
      <c r="A954" s="62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</row>
    <row r="955" spans="1:21" ht="13" x14ac:dyDescent="0.15">
      <c r="A955" s="62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</row>
    <row r="956" spans="1:21" ht="13" x14ac:dyDescent="0.15">
      <c r="A956" s="62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</row>
    <row r="957" spans="1:21" ht="13" x14ac:dyDescent="0.15">
      <c r="A957" s="62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</row>
    <row r="958" spans="1:21" ht="13" x14ac:dyDescent="0.15">
      <c r="A958" s="62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</row>
    <row r="959" spans="1:21" ht="13" x14ac:dyDescent="0.15">
      <c r="A959" s="62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</row>
    <row r="960" spans="1:21" ht="13" x14ac:dyDescent="0.15">
      <c r="A960" s="62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</row>
    <row r="961" spans="1:21" ht="13" x14ac:dyDescent="0.15">
      <c r="A961" s="62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</row>
    <row r="962" spans="1:21" ht="13" x14ac:dyDescent="0.15">
      <c r="A962" s="62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</row>
    <row r="963" spans="1:21" ht="13" x14ac:dyDescent="0.15">
      <c r="A963" s="62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</row>
    <row r="964" spans="1:21" ht="13" x14ac:dyDescent="0.15">
      <c r="A964" s="62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</row>
    <row r="965" spans="1:21" ht="13" x14ac:dyDescent="0.15">
      <c r="A965" s="62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</row>
    <row r="966" spans="1:21" ht="13" x14ac:dyDescent="0.15">
      <c r="A966" s="62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</row>
    <row r="967" spans="1:21" ht="13" x14ac:dyDescent="0.15">
      <c r="A967" s="62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</row>
    <row r="968" spans="1:21" ht="13" x14ac:dyDescent="0.15">
      <c r="A968" s="62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</row>
    <row r="969" spans="1:21" ht="13" x14ac:dyDescent="0.15">
      <c r="A969" s="62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</row>
    <row r="970" spans="1:21" ht="13" x14ac:dyDescent="0.15">
      <c r="A970" s="62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</row>
    <row r="971" spans="1:21" ht="13" x14ac:dyDescent="0.15">
      <c r="A971" s="62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</row>
    <row r="972" spans="1:21" ht="13" x14ac:dyDescent="0.15">
      <c r="A972" s="62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</row>
    <row r="973" spans="1:21" ht="13" x14ac:dyDescent="0.15">
      <c r="A973" s="62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</row>
    <row r="974" spans="1:21" ht="13" x14ac:dyDescent="0.15">
      <c r="A974" s="62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</row>
    <row r="975" spans="1:21" ht="13" x14ac:dyDescent="0.15">
      <c r="A975" s="62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</row>
    <row r="976" spans="1:21" ht="13" x14ac:dyDescent="0.15">
      <c r="A976" s="62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</row>
    <row r="977" spans="1:21" ht="13" x14ac:dyDescent="0.15">
      <c r="A977" s="62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</row>
    <row r="978" spans="1:21" ht="13" x14ac:dyDescent="0.15">
      <c r="A978" s="62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</row>
    <row r="979" spans="1:21" ht="13" x14ac:dyDescent="0.15">
      <c r="A979" s="62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</row>
    <row r="980" spans="1:21" ht="13" x14ac:dyDescent="0.15">
      <c r="A980" s="62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</row>
    <row r="981" spans="1:21" ht="13" x14ac:dyDescent="0.15">
      <c r="A981" s="62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</row>
    <row r="982" spans="1:21" ht="13" x14ac:dyDescent="0.15">
      <c r="A982" s="62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</row>
    <row r="983" spans="1:21" ht="13" x14ac:dyDescent="0.15">
      <c r="A983" s="62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</row>
    <row r="984" spans="1:21" ht="13" x14ac:dyDescent="0.15">
      <c r="A984" s="62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</row>
    <row r="985" spans="1:21" ht="13" x14ac:dyDescent="0.15">
      <c r="A985" s="62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</row>
    <row r="986" spans="1:21" ht="13" x14ac:dyDescent="0.15">
      <c r="A986" s="62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</row>
    <row r="987" spans="1:21" ht="13" x14ac:dyDescent="0.15">
      <c r="A987" s="62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</row>
    <row r="988" spans="1:21" ht="13" x14ac:dyDescent="0.15">
      <c r="A988" s="62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</row>
    <row r="989" spans="1:21" ht="13" x14ac:dyDescent="0.15">
      <c r="A989" s="62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</row>
    <row r="990" spans="1:21" ht="13" x14ac:dyDescent="0.15">
      <c r="A990" s="62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</row>
    <row r="991" spans="1:21" ht="13" x14ac:dyDescent="0.15">
      <c r="A991" s="62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</row>
    <row r="992" spans="1:21" ht="13" x14ac:dyDescent="0.15">
      <c r="A992" s="62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</row>
    <row r="993" spans="1:21" ht="13" x14ac:dyDescent="0.15">
      <c r="A993" s="62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</row>
    <row r="994" spans="1:21" ht="13" x14ac:dyDescent="0.15">
      <c r="A994" s="62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</row>
    <row r="995" spans="1:21" ht="13" x14ac:dyDescent="0.15">
      <c r="A995" s="62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</row>
    <row r="996" spans="1:21" ht="13" x14ac:dyDescent="0.15">
      <c r="A996" s="62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</row>
    <row r="997" spans="1:21" ht="13" x14ac:dyDescent="0.15">
      <c r="A997" s="62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</row>
    <row r="998" spans="1:21" ht="13" x14ac:dyDescent="0.15">
      <c r="A998" s="62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</row>
  </sheetData>
  <mergeCells count="1">
    <mergeCell ref="F1:U1"/>
  </mergeCells>
  <conditionalFormatting sqref="D3:E3">
    <cfRule type="containsText" dxfId="5" priority="1" operator="containsText" text="hosteller">
      <formula>NOT(ISERROR(SEARCH(("hosteller"),(D3))))</formula>
    </cfRule>
  </conditionalFormatting>
  <printOptions horizontalCentered="1" gridLines="1"/>
  <pageMargins left="0.7" right="0.7" top="0.75" bottom="0.75" header="0" footer="0"/>
  <pageSetup paperSize="9" scale="120" pageOrder="overThenDown" orientation="landscape" cellComments="atEnd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F999"/>
  <sheetViews>
    <sheetView workbookViewId="0"/>
  </sheetViews>
  <sheetFormatPr baseColWidth="10" defaultColWidth="12.6640625" defaultRowHeight="15.75" customHeight="1" x14ac:dyDescent="0.15"/>
  <cols>
    <col min="1" max="1" width="14.33203125" customWidth="1"/>
    <col min="2" max="2" width="20.1640625" customWidth="1"/>
    <col min="3" max="3" width="19.1640625" customWidth="1"/>
    <col min="4" max="4" width="10.1640625" customWidth="1"/>
    <col min="5" max="5" width="15.1640625" customWidth="1"/>
    <col min="6" max="6" width="5.83203125" customWidth="1"/>
    <col min="7" max="7" width="6.1640625" customWidth="1"/>
    <col min="8" max="8" width="5.6640625" customWidth="1"/>
    <col min="9" max="10" width="4.6640625" customWidth="1"/>
    <col min="11" max="11" width="5" customWidth="1"/>
    <col min="12" max="12" width="4.6640625" customWidth="1"/>
    <col min="13" max="13" width="5.6640625" customWidth="1"/>
    <col min="14" max="14" width="5.5" customWidth="1"/>
    <col min="15" max="15" width="4.6640625" customWidth="1"/>
    <col min="16" max="16" width="4.83203125" customWidth="1"/>
    <col min="17" max="17" width="5.1640625" customWidth="1"/>
    <col min="18" max="18" width="4.5" customWidth="1"/>
    <col min="19" max="19" width="5.1640625" customWidth="1"/>
    <col min="20" max="20" width="3.5" customWidth="1"/>
    <col min="21" max="21" width="8.6640625" customWidth="1"/>
  </cols>
  <sheetData>
    <row r="1" spans="1:32" ht="15.75" customHeight="1" x14ac:dyDescent="0.15">
      <c r="A1" s="52" t="s">
        <v>548</v>
      </c>
      <c r="B1" s="52" t="s">
        <v>15</v>
      </c>
      <c r="C1" s="52" t="s">
        <v>22</v>
      </c>
      <c r="D1" s="63"/>
      <c r="E1" s="63" t="s">
        <v>567</v>
      </c>
      <c r="F1" s="100" t="s">
        <v>550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32" ht="15.75" customHeight="1" x14ac:dyDescent="0.15">
      <c r="A2" s="54">
        <f>COUNT(A5:A363)</f>
        <v>21</v>
      </c>
      <c r="B2" s="2">
        <f t="shared" ref="B2:C2" si="0">COUNTIF($E$5:$E$189,B1)</f>
        <v>14</v>
      </c>
      <c r="C2" s="2">
        <f t="shared" si="0"/>
        <v>7</v>
      </c>
      <c r="D2" s="64"/>
      <c r="E2" s="64">
        <f>SUM(F2:U2)</f>
        <v>614500</v>
      </c>
      <c r="F2" s="55">
        <f t="shared" ref="F2:H2" si="1">SUM(F$5:F$1002)</f>
        <v>34100</v>
      </c>
      <c r="G2" s="55">
        <f t="shared" si="1"/>
        <v>60550</v>
      </c>
      <c r="H2" s="55">
        <f t="shared" si="1"/>
        <v>60550</v>
      </c>
      <c r="I2" s="55">
        <f>SUM(I5:I49)</f>
        <v>4050</v>
      </c>
      <c r="J2" s="55">
        <f t="shared" ref="J2:U2" si="2">SUM(J$5:J$1002)</f>
        <v>60550</v>
      </c>
      <c r="K2" s="55">
        <f t="shared" si="2"/>
        <v>52150</v>
      </c>
      <c r="L2" s="55">
        <f t="shared" si="2"/>
        <v>52150</v>
      </c>
      <c r="M2" s="55">
        <f t="shared" si="2"/>
        <v>3200</v>
      </c>
      <c r="N2" s="55">
        <f t="shared" si="2"/>
        <v>52150</v>
      </c>
      <c r="O2" s="55">
        <f t="shared" si="2"/>
        <v>52150</v>
      </c>
      <c r="P2" s="55">
        <f t="shared" si="2"/>
        <v>45250</v>
      </c>
      <c r="Q2" s="55">
        <f t="shared" si="2"/>
        <v>2600</v>
      </c>
      <c r="R2" s="55">
        <f t="shared" si="2"/>
        <v>46250</v>
      </c>
      <c r="S2" s="55">
        <f t="shared" si="2"/>
        <v>46250</v>
      </c>
      <c r="T2" s="55">
        <f t="shared" si="2"/>
        <v>2200</v>
      </c>
      <c r="U2" s="55">
        <f t="shared" si="2"/>
        <v>40350</v>
      </c>
    </row>
    <row r="3" spans="1:32" ht="15.75" customHeight="1" x14ac:dyDescent="0.15">
      <c r="A3" s="56" t="s">
        <v>551</v>
      </c>
      <c r="B3" s="56" t="s">
        <v>3</v>
      </c>
      <c r="C3" s="56" t="s">
        <v>552</v>
      </c>
      <c r="D3" s="57" t="s">
        <v>581</v>
      </c>
      <c r="E3" s="56" t="s">
        <v>2</v>
      </c>
      <c r="F3" s="56" t="s">
        <v>557</v>
      </c>
      <c r="G3" s="56" t="s">
        <v>558</v>
      </c>
      <c r="H3" s="56" t="s">
        <v>559</v>
      </c>
      <c r="I3" s="57" t="s">
        <v>569</v>
      </c>
      <c r="J3" s="56" t="s">
        <v>560</v>
      </c>
      <c r="K3" s="56" t="s">
        <v>561</v>
      </c>
      <c r="L3" s="56" t="s">
        <v>562</v>
      </c>
      <c r="M3" s="57" t="s">
        <v>570</v>
      </c>
      <c r="N3" s="56" t="s">
        <v>563</v>
      </c>
      <c r="O3" s="56" t="s">
        <v>564</v>
      </c>
      <c r="P3" s="56" t="s">
        <v>565</v>
      </c>
      <c r="Q3" s="57" t="s">
        <v>570</v>
      </c>
      <c r="R3" s="56" t="s">
        <v>554</v>
      </c>
      <c r="S3" s="56" t="s">
        <v>555</v>
      </c>
      <c r="T3" s="57" t="s">
        <v>570</v>
      </c>
      <c r="U3" s="56" t="s">
        <v>556</v>
      </c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spans="1:32" ht="15.75" customHeight="1" x14ac:dyDescent="0.15">
      <c r="A4" s="58">
        <v>4</v>
      </c>
      <c r="B4" s="59" t="str">
        <f>IFERROR(VLOOKUP($A4,Admission!$1:$998,4,0),"")</f>
        <v>SAHIL SHEKH</v>
      </c>
      <c r="C4" s="59" t="str">
        <f>IFERROR(VLOOKUP($A4,Admission!$1:$998,5,0),"")</f>
        <v>KHALEK SEKH</v>
      </c>
      <c r="D4" s="59">
        <f>IFERROR(VLOOKUP($A4,Admission!$1:$998,10,0),"")</f>
        <v>9955896968</v>
      </c>
      <c r="E4" s="59" t="str">
        <f>IFERROR(VLOOKUP($A4,Admission!$1:$998,3,0),"")</f>
        <v>Hosteller</v>
      </c>
      <c r="F4" s="25">
        <v>4200</v>
      </c>
      <c r="G4" s="25">
        <v>4200</v>
      </c>
      <c r="H4" s="25">
        <v>4200</v>
      </c>
      <c r="I4" s="25">
        <v>200</v>
      </c>
      <c r="J4" s="25">
        <v>4200</v>
      </c>
      <c r="K4" s="25">
        <v>4200</v>
      </c>
      <c r="L4" s="25">
        <v>4200</v>
      </c>
      <c r="M4" s="25">
        <v>200</v>
      </c>
      <c r="N4" s="25">
        <v>4200</v>
      </c>
      <c r="O4" s="25">
        <v>4200</v>
      </c>
      <c r="P4" s="25">
        <v>4200</v>
      </c>
      <c r="Q4" s="25">
        <v>200</v>
      </c>
      <c r="R4" s="25">
        <v>4200</v>
      </c>
      <c r="S4" s="25">
        <v>4200</v>
      </c>
      <c r="T4" s="25">
        <v>200</v>
      </c>
      <c r="U4" s="25">
        <v>4200</v>
      </c>
    </row>
    <row r="5" spans="1:32" ht="15.75" customHeight="1" x14ac:dyDescent="0.15">
      <c r="A5" s="58">
        <v>1</v>
      </c>
      <c r="B5" s="59" t="str">
        <f>IFERROR(VLOOKUP($A5,Admission!$1:$998,4,0),"")</f>
        <v>REHAN SEKH</v>
      </c>
      <c r="C5" s="59" t="str">
        <f>IFERROR(VLOOKUP($A5,Admission!$1:$998,5,0),"")</f>
        <v>AZMAL SEKH</v>
      </c>
      <c r="D5" s="59">
        <f>IFERROR(VLOOKUP($A5,Admission!$1:$998,10,0),"")</f>
        <v>9065300299</v>
      </c>
      <c r="E5" s="59" t="str">
        <f>IFERROR(VLOOKUP($A5,Admission!$1:$998,3,0),"")</f>
        <v>Hosteller</v>
      </c>
      <c r="F5" s="25">
        <v>4200</v>
      </c>
      <c r="G5" s="25">
        <v>4200</v>
      </c>
      <c r="H5" s="25">
        <v>4200</v>
      </c>
      <c r="I5" s="25">
        <v>200</v>
      </c>
      <c r="J5" s="25">
        <v>4200</v>
      </c>
      <c r="K5" s="25">
        <v>4200</v>
      </c>
      <c r="L5" s="25">
        <v>4200</v>
      </c>
      <c r="M5" s="25">
        <v>200</v>
      </c>
      <c r="N5" s="25">
        <v>4200</v>
      </c>
      <c r="O5" s="25">
        <v>4200</v>
      </c>
      <c r="P5" s="25">
        <v>4200</v>
      </c>
      <c r="Q5" s="25">
        <v>200</v>
      </c>
      <c r="R5" s="25">
        <v>4200</v>
      </c>
      <c r="S5" s="25">
        <v>4200</v>
      </c>
      <c r="T5" s="25">
        <v>200</v>
      </c>
      <c r="U5" s="25">
        <v>4200</v>
      </c>
    </row>
    <row r="6" spans="1:32" ht="15.75" customHeight="1" x14ac:dyDescent="0.15">
      <c r="A6" s="58">
        <v>2</v>
      </c>
      <c r="B6" s="59" t="str">
        <f>IFERROR(VLOOKUP($A6,Admission!$1:$998,4,0),"")</f>
        <v>TAMIM HASAN</v>
      </c>
      <c r="C6" s="59" t="str">
        <f>IFERROR(VLOOKUP($A6,Admission!$1:$998,5,0),"")</f>
        <v>SAIFUL SEKH</v>
      </c>
      <c r="D6" s="59">
        <f>IFERROR(VLOOKUP($A6,Admission!$1:$998,10,0),"")</f>
        <v>9735411842</v>
      </c>
      <c r="E6" s="59" t="str">
        <f>IFERROR(VLOOKUP($A6,Admission!$1:$998,3,0),"")</f>
        <v>Day Scholar</v>
      </c>
      <c r="F6" s="25">
        <v>850</v>
      </c>
      <c r="G6" s="25">
        <v>850</v>
      </c>
      <c r="H6" s="25">
        <v>850</v>
      </c>
      <c r="I6" s="25">
        <v>200</v>
      </c>
      <c r="J6" s="25">
        <v>850</v>
      </c>
      <c r="K6" s="25">
        <v>850</v>
      </c>
      <c r="L6" s="25">
        <v>850</v>
      </c>
      <c r="M6" s="25">
        <v>200</v>
      </c>
      <c r="N6" s="25">
        <v>850</v>
      </c>
      <c r="O6" s="25">
        <v>850</v>
      </c>
      <c r="P6" s="25">
        <v>850</v>
      </c>
      <c r="Q6" s="25"/>
      <c r="R6" s="25">
        <v>850</v>
      </c>
      <c r="S6" s="25">
        <v>850</v>
      </c>
      <c r="T6" s="25"/>
      <c r="U6" s="25">
        <v>850</v>
      </c>
    </row>
    <row r="7" spans="1:32" ht="15.75" customHeight="1" x14ac:dyDescent="0.15">
      <c r="A7" s="58">
        <v>10</v>
      </c>
      <c r="B7" s="59" t="str">
        <f>IFERROR(VLOOKUP($A7,Admission!$1:$998,4,0),"")</f>
        <v>REHAN ALAM</v>
      </c>
      <c r="C7" s="59" t="str">
        <f>IFERROR(VLOOKUP($A7,Admission!$1:$998,5,0),"")</f>
        <v>RABIUL ISLAM</v>
      </c>
      <c r="D7" s="59">
        <f>IFERROR(VLOOKUP($A7,Admission!$1:$998,10,0),"")</f>
        <v>9693028244</v>
      </c>
      <c r="E7" s="59" t="str">
        <f>IFERROR(VLOOKUP($A7,Admission!$1:$998,3,0),"")</f>
        <v>Hosteller</v>
      </c>
      <c r="F7" s="25">
        <v>4200</v>
      </c>
      <c r="G7" s="25">
        <v>4200</v>
      </c>
      <c r="H7" s="25">
        <v>4200</v>
      </c>
      <c r="I7" s="25">
        <v>200</v>
      </c>
      <c r="J7" s="25">
        <v>4200</v>
      </c>
      <c r="K7" s="25">
        <v>4200</v>
      </c>
      <c r="L7" s="25">
        <v>4200</v>
      </c>
      <c r="M7" s="25">
        <v>200</v>
      </c>
      <c r="N7" s="25">
        <v>4200</v>
      </c>
      <c r="O7" s="25">
        <v>4200</v>
      </c>
      <c r="P7" s="25">
        <v>4200</v>
      </c>
      <c r="Q7" s="25">
        <v>200</v>
      </c>
      <c r="R7" s="25">
        <v>4200</v>
      </c>
      <c r="S7" s="25">
        <v>4200</v>
      </c>
      <c r="T7" s="25">
        <v>200</v>
      </c>
      <c r="U7" s="25">
        <v>4200</v>
      </c>
    </row>
    <row r="8" spans="1:32" ht="15.75" customHeight="1" x14ac:dyDescent="0.15">
      <c r="A8" s="58">
        <v>11</v>
      </c>
      <c r="B8" s="59" t="str">
        <f>IFERROR(VLOOKUP($A8,Admission!$1:$998,4,0),"")</f>
        <v>ABDUL QABEZ</v>
      </c>
      <c r="C8" s="59" t="str">
        <f>IFERROR(VLOOKUP($A8,Admission!$1:$998,5,0),"")</f>
        <v>ABDUL QAHAR</v>
      </c>
      <c r="D8" s="59">
        <f>IFERROR(VLOOKUP($A8,Admission!$1:$998,10,0),"")</f>
        <v>9973967538</v>
      </c>
      <c r="E8" s="59" t="str">
        <f>IFERROR(VLOOKUP($A8,Admission!$1:$998,3,0),"")</f>
        <v>Day Scholar</v>
      </c>
      <c r="F8" s="25">
        <v>850</v>
      </c>
      <c r="G8" s="25">
        <v>850</v>
      </c>
      <c r="H8" s="25">
        <v>850</v>
      </c>
      <c r="I8" s="25">
        <v>200</v>
      </c>
      <c r="J8" s="25">
        <v>850</v>
      </c>
      <c r="K8" s="25">
        <v>850</v>
      </c>
      <c r="L8" s="25">
        <v>850</v>
      </c>
      <c r="M8" s="25">
        <v>200</v>
      </c>
      <c r="N8" s="25">
        <v>850</v>
      </c>
      <c r="O8" s="25">
        <v>850</v>
      </c>
      <c r="P8" s="25">
        <v>850</v>
      </c>
      <c r="Q8" s="25">
        <v>200</v>
      </c>
      <c r="R8" s="25">
        <v>850</v>
      </c>
      <c r="S8" s="25">
        <v>850</v>
      </c>
      <c r="T8" s="25">
        <v>200</v>
      </c>
      <c r="U8" s="25">
        <v>850</v>
      </c>
    </row>
    <row r="9" spans="1:32" ht="15.75" customHeight="1" x14ac:dyDescent="0.15">
      <c r="A9" s="58">
        <v>12</v>
      </c>
      <c r="B9" s="59" t="str">
        <f>IFERROR(VLOOKUP($A9,Admission!$1:$998,4,0),"")</f>
        <v>FATEMA ROZI</v>
      </c>
      <c r="C9" s="59" t="str">
        <f>IFERROR(VLOOKUP($A9,Admission!$1:$998,5,0),"")</f>
        <v>MD UMED ALI ANSARI</v>
      </c>
      <c r="D9" s="59">
        <f>IFERROR(VLOOKUP($A9,Admission!$1:$998,10,0),"")</f>
        <v>9643292878</v>
      </c>
      <c r="E9" s="59" t="str">
        <f>IFERROR(VLOOKUP($A9,Admission!$1:$998,3,0),"")</f>
        <v>Hosteller</v>
      </c>
      <c r="F9" s="25">
        <v>4200</v>
      </c>
      <c r="G9" s="25">
        <v>4200</v>
      </c>
      <c r="H9" s="25">
        <v>4200</v>
      </c>
      <c r="I9" s="25">
        <v>200</v>
      </c>
      <c r="J9" s="25">
        <v>4200</v>
      </c>
      <c r="K9" s="25">
        <v>4200</v>
      </c>
      <c r="L9" s="25">
        <v>4200</v>
      </c>
      <c r="M9" s="25">
        <v>200</v>
      </c>
      <c r="N9" s="25">
        <v>4200</v>
      </c>
      <c r="O9" s="25">
        <v>4200</v>
      </c>
      <c r="P9" s="25">
        <v>4200</v>
      </c>
      <c r="Q9" s="25">
        <v>200</v>
      </c>
      <c r="R9" s="25">
        <v>4200</v>
      </c>
      <c r="S9" s="25">
        <v>4200</v>
      </c>
      <c r="T9" s="25">
        <v>200</v>
      </c>
      <c r="U9" s="25">
        <v>4200</v>
      </c>
    </row>
    <row r="10" spans="1:32" ht="15.75" customHeight="1" x14ac:dyDescent="0.15">
      <c r="A10" s="58">
        <v>14</v>
      </c>
      <c r="B10" s="59" t="str">
        <f>IFERROR(VLOOKUP($A10,Admission!$1:$998,4,0),"")</f>
        <v>MD KAISAR PARWEZ</v>
      </c>
      <c r="C10" s="59" t="str">
        <f>IFERROR(VLOOKUP($A10,Admission!$1:$998,5,0),"")</f>
        <v>MD UMED ALI ANSARI</v>
      </c>
      <c r="D10" s="59">
        <f>IFERROR(VLOOKUP($A10,Admission!$1:$998,10,0),"")</f>
        <v>9643292878</v>
      </c>
      <c r="E10" s="59" t="str">
        <f>IFERROR(VLOOKUP($A10,Admission!$1:$998,3,0),"")</f>
        <v>Hosteller</v>
      </c>
      <c r="F10" s="25">
        <v>4200</v>
      </c>
      <c r="G10" s="25">
        <v>4200</v>
      </c>
      <c r="H10" s="25">
        <v>4200</v>
      </c>
      <c r="I10" s="25">
        <v>200</v>
      </c>
      <c r="J10" s="25">
        <v>4200</v>
      </c>
      <c r="K10" s="25">
        <v>4200</v>
      </c>
      <c r="L10" s="25">
        <v>4200</v>
      </c>
      <c r="M10" s="25">
        <v>200</v>
      </c>
      <c r="N10" s="25">
        <v>4200</v>
      </c>
      <c r="O10" s="25">
        <v>4200</v>
      </c>
      <c r="P10" s="25">
        <v>4200</v>
      </c>
      <c r="Q10" s="25">
        <v>200</v>
      </c>
      <c r="R10" s="25">
        <v>4200</v>
      </c>
      <c r="S10" s="25">
        <v>4200</v>
      </c>
      <c r="T10" s="25">
        <v>200</v>
      </c>
      <c r="U10" s="25">
        <v>4200</v>
      </c>
    </row>
    <row r="11" spans="1:32" ht="15.75" customHeight="1" x14ac:dyDescent="0.15">
      <c r="A11" s="58">
        <v>23</v>
      </c>
      <c r="B11" s="59" t="str">
        <f>IFERROR(VLOOKUP($A11,Admission!$1:$998,4,0),"")</f>
        <v>MD.SAZID ANSARI</v>
      </c>
      <c r="C11" s="59" t="str">
        <f>IFERROR(VLOOKUP($A11,Admission!$1:$998,5,0),"")</f>
        <v>MD.SAMSUL HOQUE ANSARI</v>
      </c>
      <c r="D11" s="59">
        <f>IFERROR(VLOOKUP($A11,Admission!$1:$998,10,0),"")</f>
        <v>9955459861</v>
      </c>
      <c r="E11" s="59" t="str">
        <f>IFERROR(VLOOKUP($A11,Admission!$1:$998,3,0),"")</f>
        <v>Hosteller</v>
      </c>
      <c r="F11" s="25">
        <v>4200</v>
      </c>
      <c r="G11" s="25">
        <v>4200</v>
      </c>
      <c r="H11" s="25">
        <v>4200</v>
      </c>
      <c r="I11" s="25">
        <v>200</v>
      </c>
      <c r="J11" s="25">
        <v>4200</v>
      </c>
      <c r="K11" s="25">
        <v>4200</v>
      </c>
      <c r="L11" s="25">
        <v>4200</v>
      </c>
      <c r="M11" s="25">
        <v>200</v>
      </c>
      <c r="N11" s="25">
        <v>4200</v>
      </c>
      <c r="O11" s="25">
        <v>4200</v>
      </c>
      <c r="P11" s="25">
        <v>3200</v>
      </c>
      <c r="Q11" s="25">
        <v>200</v>
      </c>
      <c r="R11" s="25">
        <v>4200</v>
      </c>
      <c r="S11" s="25">
        <v>4200</v>
      </c>
      <c r="T11" s="25"/>
      <c r="U11" s="25">
        <v>4200</v>
      </c>
    </row>
    <row r="12" spans="1:32" ht="15.75" customHeight="1" x14ac:dyDescent="0.15">
      <c r="A12" s="58">
        <v>43</v>
      </c>
      <c r="B12" s="59" t="str">
        <f>IFERROR(VLOOKUP($A12,Admission!$1:$998,4,0),"")</f>
        <v>SADIYA PARVIN</v>
      </c>
      <c r="C12" s="59" t="str">
        <f>IFERROR(VLOOKUP($A12,Admission!$1:$998,5,0),"")</f>
        <v>SALAUDDIN SEKH</v>
      </c>
      <c r="D12" s="59">
        <f>IFERROR(VLOOKUP($A12,Admission!$1:$998,10,0),"")</f>
        <v>8802630534</v>
      </c>
      <c r="E12" s="59" t="str">
        <f>IFERROR(VLOOKUP($A12,Admission!$1:$998,3,0),"")</f>
        <v>Day Scholar</v>
      </c>
      <c r="F12" s="25">
        <v>850</v>
      </c>
      <c r="G12" s="25">
        <v>850</v>
      </c>
      <c r="H12" s="25">
        <v>850</v>
      </c>
      <c r="I12" s="25"/>
      <c r="J12" s="25">
        <v>850</v>
      </c>
      <c r="K12" s="25">
        <v>850</v>
      </c>
      <c r="L12" s="25">
        <v>850</v>
      </c>
      <c r="M12" s="25"/>
      <c r="N12" s="25">
        <v>850</v>
      </c>
      <c r="O12" s="25">
        <v>850</v>
      </c>
      <c r="P12" s="25">
        <v>850</v>
      </c>
      <c r="Q12" s="25"/>
      <c r="R12" s="25">
        <v>850</v>
      </c>
      <c r="S12" s="25">
        <v>850</v>
      </c>
      <c r="T12" s="25"/>
      <c r="U12" s="25">
        <v>850</v>
      </c>
    </row>
    <row r="13" spans="1:32" ht="15.75" customHeight="1" x14ac:dyDescent="0.15">
      <c r="A13" s="58">
        <v>72</v>
      </c>
      <c r="B13" s="59" t="str">
        <f>IFERROR(VLOOKUP($A13,Admission!$1:$998,4,0),"")</f>
        <v>KOYEL AKHTAR</v>
      </c>
      <c r="C13" s="59" t="str">
        <f>IFERROR(VLOOKUP($A13,Admission!$1:$998,5,0),"")</f>
        <v>AKHTARUL ISLAM</v>
      </c>
      <c r="D13" s="59">
        <v>9939125250</v>
      </c>
      <c r="E13" s="59" t="str">
        <f>IFERROR(VLOOKUP($A13,Admission!$1:$998,3,0),"")</f>
        <v>Hosteller</v>
      </c>
      <c r="F13" s="25">
        <v>3800</v>
      </c>
      <c r="G13" s="25">
        <v>4200</v>
      </c>
      <c r="H13" s="25">
        <v>4200</v>
      </c>
      <c r="I13" s="25">
        <v>200</v>
      </c>
      <c r="J13" s="25">
        <v>4200</v>
      </c>
      <c r="K13" s="25">
        <v>4200</v>
      </c>
      <c r="L13" s="25">
        <v>4200</v>
      </c>
      <c r="M13" s="25">
        <v>200</v>
      </c>
      <c r="N13" s="25">
        <v>4200</v>
      </c>
      <c r="O13" s="25">
        <v>4200</v>
      </c>
      <c r="P13" s="25">
        <v>4200</v>
      </c>
      <c r="Q13" s="25">
        <v>200</v>
      </c>
      <c r="R13" s="25">
        <v>4200</v>
      </c>
      <c r="S13" s="25">
        <v>4200</v>
      </c>
      <c r="T13" s="25">
        <v>200</v>
      </c>
      <c r="U13" s="25">
        <v>4200</v>
      </c>
    </row>
    <row r="14" spans="1:32" ht="15.75" customHeight="1" x14ac:dyDescent="0.15">
      <c r="A14" s="58">
        <v>97</v>
      </c>
      <c r="B14" s="59" t="str">
        <f>IFERROR(VLOOKUP($A14,Admission!$1:$998,4,0),"")</f>
        <v>TAUKIR ALAM</v>
      </c>
      <c r="C14" s="59" t="str">
        <f>IFERROR(VLOOKUP($A14,Admission!$1:$998,5,0),"")</f>
        <v>MD MAHBOOB ALAM</v>
      </c>
      <c r="D14" s="59">
        <f>IFERROR(VLOOKUP($A14,Admission!$1:$998,10,0),"")</f>
        <v>7766004567</v>
      </c>
      <c r="E14" s="59" t="str">
        <f>IFERROR(VLOOKUP($A14,Admission!$1:$998,3,0),"")</f>
        <v>Hosteller</v>
      </c>
      <c r="F14" s="25">
        <v>0</v>
      </c>
      <c r="G14" s="25">
        <v>4200</v>
      </c>
      <c r="H14" s="25">
        <v>4200</v>
      </c>
      <c r="I14" s="25">
        <v>200</v>
      </c>
      <c r="J14" s="25">
        <v>4200</v>
      </c>
      <c r="K14" s="25">
        <v>4200</v>
      </c>
      <c r="L14" s="25">
        <v>4200</v>
      </c>
      <c r="M14" s="25">
        <v>200</v>
      </c>
      <c r="N14" s="25">
        <v>4200</v>
      </c>
      <c r="O14" s="25">
        <v>4200</v>
      </c>
      <c r="P14" s="25">
        <v>4200</v>
      </c>
      <c r="Q14" s="25">
        <v>200</v>
      </c>
      <c r="R14" s="25">
        <v>4200</v>
      </c>
      <c r="S14" s="25">
        <v>4200</v>
      </c>
      <c r="T14" s="25">
        <v>200</v>
      </c>
      <c r="U14" s="25"/>
    </row>
    <row r="15" spans="1:32" ht="15.75" customHeight="1" x14ac:dyDescent="0.15">
      <c r="A15" s="58">
        <v>100</v>
      </c>
      <c r="B15" s="59" t="str">
        <f>IFERROR(VLOOKUP($A15,Admission!$1:$998,4,0),"")</f>
        <v>SAMIM ANSARI</v>
      </c>
      <c r="C15" s="59" t="str">
        <f>IFERROR(VLOOKUP($A15,Admission!$1:$998,5,0),"")</f>
        <v>SHIS MD ANSARI</v>
      </c>
      <c r="D15" s="59">
        <f>IFERROR(VLOOKUP($A15,Admission!$1:$998,10,0),"")</f>
        <v>9939407497</v>
      </c>
      <c r="E15" s="59" t="str">
        <f>IFERROR(VLOOKUP($A15,Admission!$1:$998,3,0),"")</f>
        <v>Hosteller</v>
      </c>
      <c r="F15" s="25">
        <v>0</v>
      </c>
      <c r="G15" s="25">
        <v>4200</v>
      </c>
      <c r="H15" s="25">
        <v>4200</v>
      </c>
      <c r="I15" s="25">
        <v>200</v>
      </c>
      <c r="J15" s="25">
        <v>4200</v>
      </c>
      <c r="K15" s="25">
        <v>4200</v>
      </c>
      <c r="L15" s="25">
        <v>4200</v>
      </c>
      <c r="M15" s="25">
        <v>200</v>
      </c>
      <c r="N15" s="25">
        <v>4200</v>
      </c>
      <c r="O15" s="25">
        <v>4200</v>
      </c>
      <c r="P15" s="25">
        <v>4200</v>
      </c>
      <c r="Q15" s="25">
        <v>200</v>
      </c>
      <c r="R15" s="25">
        <v>4200</v>
      </c>
      <c r="S15" s="25">
        <v>4200</v>
      </c>
      <c r="T15" s="25">
        <v>200</v>
      </c>
      <c r="U15" s="25">
        <v>4200</v>
      </c>
    </row>
    <row r="16" spans="1:32" ht="15.75" customHeight="1" x14ac:dyDescent="0.15">
      <c r="A16" s="58">
        <v>104</v>
      </c>
      <c r="B16" s="59" t="str">
        <f>IFERROR(VLOOKUP($A16,Admission!$1:$998,4,0),"")</f>
        <v>TAWHID ALAM</v>
      </c>
      <c r="C16" s="59" t="str">
        <f>IFERROR(VLOOKUP($A16,Admission!$1:$998,5,0),"")</f>
        <v>ALAMGIR ALAM</v>
      </c>
      <c r="D16" s="59">
        <f>IFERROR(VLOOKUP($A16,Admission!$1:$998,10,0),"")</f>
        <v>8825394934</v>
      </c>
      <c r="E16" s="59" t="str">
        <f>IFERROR(VLOOKUP($A16,Admission!$1:$998,3,0),"")</f>
        <v>Hosteller</v>
      </c>
      <c r="F16" s="25">
        <v>0</v>
      </c>
      <c r="G16" s="25">
        <v>4200</v>
      </c>
      <c r="H16" s="25">
        <v>4200</v>
      </c>
      <c r="I16" s="25"/>
      <c r="J16" s="25">
        <v>4200</v>
      </c>
      <c r="K16" s="25" t="s">
        <v>313</v>
      </c>
      <c r="L16" s="25" t="s">
        <v>313</v>
      </c>
      <c r="M16" s="25" t="s">
        <v>313</v>
      </c>
      <c r="N16" s="25" t="s">
        <v>313</v>
      </c>
      <c r="O16" s="25" t="s">
        <v>313</v>
      </c>
      <c r="P16" s="25" t="s">
        <v>313</v>
      </c>
      <c r="Q16" s="25" t="s">
        <v>313</v>
      </c>
      <c r="R16" s="25" t="s">
        <v>313</v>
      </c>
      <c r="S16" s="25" t="s">
        <v>313</v>
      </c>
      <c r="T16" s="25" t="s">
        <v>313</v>
      </c>
      <c r="U16" s="25" t="s">
        <v>313</v>
      </c>
    </row>
    <row r="17" spans="1:21" ht="15.75" customHeight="1" x14ac:dyDescent="0.15">
      <c r="A17" s="58">
        <v>106</v>
      </c>
      <c r="B17" s="59" t="str">
        <f>IFERROR(VLOOKUP($A17,Admission!$1:$998,4,0),"")</f>
        <v>AKMAL ANSARI</v>
      </c>
      <c r="C17" s="59" t="str">
        <f>IFERROR(VLOOKUP($A17,Admission!$1:$998,5,0),"")</f>
        <v>AMIR HAMZA ANSARI</v>
      </c>
      <c r="D17" s="59">
        <f>IFERROR(VLOOKUP($A17,Admission!$1:$998,10,0),"")</f>
        <v>7366929565</v>
      </c>
      <c r="E17" s="59" t="str">
        <f>IFERROR(VLOOKUP($A17,Admission!$1:$998,3,0),"")</f>
        <v>Hosteller</v>
      </c>
      <c r="F17" s="25">
        <v>0</v>
      </c>
      <c r="G17" s="25">
        <v>4200</v>
      </c>
      <c r="H17" s="25">
        <v>4200</v>
      </c>
      <c r="I17" s="25">
        <v>200</v>
      </c>
      <c r="J17" s="25">
        <v>4200</v>
      </c>
      <c r="K17" s="25">
        <v>4200</v>
      </c>
      <c r="L17" s="25">
        <v>4200</v>
      </c>
      <c r="M17" s="25">
        <v>200</v>
      </c>
      <c r="N17" s="25">
        <v>4200</v>
      </c>
      <c r="O17" s="25">
        <v>4200</v>
      </c>
      <c r="P17" s="25">
        <v>4200</v>
      </c>
      <c r="Q17" s="25">
        <v>200</v>
      </c>
      <c r="R17" s="25">
        <v>4200</v>
      </c>
      <c r="S17" s="25">
        <v>4200</v>
      </c>
      <c r="T17" s="25">
        <v>200</v>
      </c>
      <c r="U17" s="25">
        <v>4200</v>
      </c>
    </row>
    <row r="18" spans="1:21" ht="15.75" customHeight="1" x14ac:dyDescent="0.15">
      <c r="A18" s="58">
        <v>108</v>
      </c>
      <c r="B18" s="59" t="str">
        <f>IFERROR(VLOOKUP($A18,Admission!$1:$998,4,0),"")</f>
        <v xml:space="preserve">ARBAJ ANSARI </v>
      </c>
      <c r="C18" s="59" t="str">
        <f>IFERROR(VLOOKUP($A18,Admission!$1:$998,5,0),"")</f>
        <v>TABARAK ANSARI</v>
      </c>
      <c r="D18" s="59">
        <f>IFERROR(VLOOKUP($A18,Admission!$1:$998,10,0),"")</f>
        <v>8340636663</v>
      </c>
      <c r="E18" s="59" t="str">
        <f>IFERROR(VLOOKUP($A18,Admission!$1:$998,3,0),"")</f>
        <v>Hosteller</v>
      </c>
      <c r="F18" s="25">
        <v>4200</v>
      </c>
      <c r="G18" s="25">
        <v>4200</v>
      </c>
      <c r="H18" s="25">
        <v>4200</v>
      </c>
      <c r="I18" s="25">
        <v>200</v>
      </c>
      <c r="J18" s="25">
        <v>4200</v>
      </c>
      <c r="K18" s="25">
        <v>4200</v>
      </c>
      <c r="L18" s="25">
        <v>4200</v>
      </c>
      <c r="M18" s="25">
        <v>200</v>
      </c>
      <c r="N18" s="25">
        <v>4200</v>
      </c>
      <c r="O18" s="25">
        <v>4200</v>
      </c>
      <c r="P18" s="25"/>
      <c r="Q18" s="25"/>
      <c r="R18" s="25"/>
      <c r="S18" s="25"/>
      <c r="T18" s="25"/>
      <c r="U18" s="25"/>
    </row>
    <row r="19" spans="1:21" ht="15.75" customHeight="1" x14ac:dyDescent="0.15">
      <c r="A19" s="58">
        <v>117</v>
      </c>
      <c r="B19" s="59" t="str">
        <f>IFERROR(VLOOKUP($A19,Admission!$1:$998,4,0),"")</f>
        <v>SAKIR ANSARI</v>
      </c>
      <c r="C19" s="59" t="str">
        <f>IFERROR(VLOOKUP($A19,Admission!$1:$998,5,0),"")</f>
        <v>BAHARUDDIN ANSARI</v>
      </c>
      <c r="D19" s="59">
        <f>IFERROR(VLOOKUP($A19,Admission!$1:$998,10,0),"")</f>
        <v>7783066339</v>
      </c>
      <c r="E19" s="59" t="str">
        <f>IFERROR(VLOOKUP($A19,Admission!$1:$998,3,0),"")</f>
        <v>Hosteller</v>
      </c>
      <c r="F19" s="25">
        <v>0</v>
      </c>
      <c r="G19" s="25">
        <v>4200</v>
      </c>
      <c r="H19" s="25">
        <v>4200</v>
      </c>
      <c r="I19" s="25">
        <v>200</v>
      </c>
      <c r="J19" s="25">
        <v>4200</v>
      </c>
      <c r="K19" s="25">
        <v>4200</v>
      </c>
      <c r="L19" s="25">
        <v>4200</v>
      </c>
      <c r="M19" s="25">
        <v>200</v>
      </c>
      <c r="N19" s="25">
        <v>4200</v>
      </c>
      <c r="O19" s="25">
        <v>4200</v>
      </c>
      <c r="P19" s="25">
        <v>4200</v>
      </c>
      <c r="Q19" s="25">
        <v>200</v>
      </c>
      <c r="R19" s="25">
        <v>4200</v>
      </c>
      <c r="S19" s="25">
        <v>4200</v>
      </c>
      <c r="T19" s="25">
        <v>200</v>
      </c>
      <c r="U19" s="25">
        <v>4200</v>
      </c>
    </row>
    <row r="20" spans="1:21" ht="15.75" customHeight="1" x14ac:dyDescent="0.15">
      <c r="A20" s="58">
        <v>122</v>
      </c>
      <c r="B20" s="59" t="str">
        <f>IFERROR(VLOOKUP($A20,Admission!$1:$998,4,0),"")</f>
        <v>RIFFAT PARWEEN</v>
      </c>
      <c r="C20" s="59" t="str">
        <f>IFERROR(VLOOKUP($A20,Admission!$1:$998,5,0),"")</f>
        <v>MUNIRUZZAMAN</v>
      </c>
      <c r="D20" s="59">
        <f>IFERROR(VLOOKUP($A20,Admission!$1:$998,10,0),"")</f>
        <v>9631485208</v>
      </c>
      <c r="E20" s="59" t="str">
        <f>IFERROR(VLOOKUP($A20,Admission!$1:$998,3,0),"")</f>
        <v>Day Scholar</v>
      </c>
      <c r="F20" s="25">
        <v>0</v>
      </c>
      <c r="G20" s="25">
        <v>850</v>
      </c>
      <c r="H20" s="25">
        <v>850</v>
      </c>
      <c r="I20" s="25"/>
      <c r="J20" s="25">
        <v>850</v>
      </c>
      <c r="K20" s="25">
        <v>850</v>
      </c>
      <c r="L20" s="25">
        <v>850</v>
      </c>
      <c r="M20" s="25"/>
      <c r="N20" s="25">
        <v>850</v>
      </c>
      <c r="O20" s="25">
        <v>850</v>
      </c>
      <c r="P20" s="25">
        <v>850</v>
      </c>
      <c r="Q20" s="25">
        <v>200</v>
      </c>
      <c r="R20" s="25">
        <v>850</v>
      </c>
      <c r="S20" s="25">
        <v>850</v>
      </c>
      <c r="T20" s="25"/>
      <c r="U20" s="25"/>
    </row>
    <row r="21" spans="1:21" ht="15.75" customHeight="1" x14ac:dyDescent="0.15">
      <c r="A21" s="58">
        <v>144</v>
      </c>
      <c r="B21" s="59" t="str">
        <f>IFERROR(VLOOKUP($A21,Admission!$1:$998,4,0),"")</f>
        <v>MD ALTAMAS</v>
      </c>
      <c r="C21" s="59" t="str">
        <f>IFERROR(VLOOKUP($A21,Admission!$1:$998,5,0),"")</f>
        <v>MURSHID KHAN</v>
      </c>
      <c r="D21" s="59">
        <f>IFERROR(VLOOKUP($A21,Admission!$1:$998,10,0),"")</f>
        <v>7739555640</v>
      </c>
      <c r="E21" s="59" t="str">
        <f>IFERROR(VLOOKUP($A21,Admission!$1:$998,3,0),"")</f>
        <v>Hosteller</v>
      </c>
      <c r="F21" s="25">
        <v>0</v>
      </c>
      <c r="G21" s="25">
        <v>4200</v>
      </c>
      <c r="H21" s="25" t="s">
        <v>313</v>
      </c>
      <c r="I21" s="25" t="s">
        <v>313</v>
      </c>
      <c r="J21" s="25" t="s">
        <v>313</v>
      </c>
      <c r="K21" s="25" t="s">
        <v>313</v>
      </c>
      <c r="L21" s="25" t="s">
        <v>313</v>
      </c>
      <c r="M21" s="25" t="s">
        <v>313</v>
      </c>
      <c r="N21" s="25" t="s">
        <v>313</v>
      </c>
      <c r="O21" s="25" t="s">
        <v>313</v>
      </c>
      <c r="P21" s="25" t="s">
        <v>313</v>
      </c>
      <c r="Q21" s="25" t="s">
        <v>313</v>
      </c>
      <c r="R21" s="25" t="s">
        <v>313</v>
      </c>
      <c r="S21" s="25" t="s">
        <v>313</v>
      </c>
      <c r="T21" s="25" t="s">
        <v>313</v>
      </c>
      <c r="U21" s="25" t="s">
        <v>313</v>
      </c>
    </row>
    <row r="22" spans="1:21" ht="15.75" customHeight="1" x14ac:dyDescent="0.15">
      <c r="A22" s="58">
        <v>147</v>
      </c>
      <c r="B22" s="59" t="str">
        <f>IFERROR(VLOOKUP($A22,Admission!$1:$998,4,0),"")</f>
        <v>ABDUR RAHMAN</v>
      </c>
      <c r="C22" s="59" t="str">
        <f>IFERROR(VLOOKUP($A22,Admission!$1:$998,5,0),"")</f>
        <v>HASHRUDDIN</v>
      </c>
      <c r="D22" s="59">
        <f>IFERROR(VLOOKUP($A22,Admission!$1:$998,10,0),"")</f>
        <v>9304050268</v>
      </c>
      <c r="E22" s="59" t="str">
        <f>IFERROR(VLOOKUP($A22,Admission!$1:$998,3,0),"")</f>
        <v>Hosteller</v>
      </c>
      <c r="F22" s="25">
        <v>0</v>
      </c>
      <c r="G22" s="25">
        <v>0</v>
      </c>
      <c r="H22" s="25">
        <v>4200</v>
      </c>
      <c r="I22" s="25">
        <v>200</v>
      </c>
      <c r="J22" s="25">
        <v>4200</v>
      </c>
      <c r="K22" s="25" t="s">
        <v>313</v>
      </c>
      <c r="L22" s="25" t="s">
        <v>313</v>
      </c>
      <c r="M22" s="25" t="s">
        <v>313</v>
      </c>
      <c r="N22" s="25" t="s">
        <v>313</v>
      </c>
      <c r="O22" s="25" t="s">
        <v>313</v>
      </c>
      <c r="P22" s="25" t="s">
        <v>313</v>
      </c>
      <c r="Q22" s="25" t="s">
        <v>313</v>
      </c>
      <c r="R22" s="25" t="s">
        <v>313</v>
      </c>
      <c r="S22" s="25" t="s">
        <v>313</v>
      </c>
      <c r="T22" s="25" t="s">
        <v>313</v>
      </c>
      <c r="U22" s="25" t="s">
        <v>313</v>
      </c>
    </row>
    <row r="23" spans="1:21" ht="15.75" customHeight="1" x14ac:dyDescent="0.15">
      <c r="A23" s="58">
        <v>154</v>
      </c>
      <c r="B23" s="59" t="str">
        <f>IFERROR(VLOOKUP($A23,Admission!$1:$998,4,0),"")</f>
        <v>NISAR AHMAD</v>
      </c>
      <c r="C23" s="59" t="str">
        <f>IFERROR(VLOOKUP($A23,Admission!$1:$998,5,0),"")</f>
        <v xml:space="preserve">MD ITTEFAQUE </v>
      </c>
      <c r="D23" s="59">
        <f>IFERROR(VLOOKUP($A23,Admission!$1:$998,10,0),"")</f>
        <v>9546671826</v>
      </c>
      <c r="E23" s="59" t="str">
        <f>IFERROR(VLOOKUP($A23,Admission!$1:$998,3,0),"")</f>
        <v>Day Scholar</v>
      </c>
      <c r="F23" s="25">
        <v>850</v>
      </c>
      <c r="G23" s="25">
        <v>850</v>
      </c>
      <c r="H23" s="25">
        <v>850</v>
      </c>
      <c r="I23" s="25">
        <v>200</v>
      </c>
      <c r="J23" s="25">
        <v>850</v>
      </c>
      <c r="K23" s="25">
        <v>850</v>
      </c>
      <c r="L23" s="25">
        <v>850</v>
      </c>
      <c r="M23" s="25">
        <v>200</v>
      </c>
      <c r="N23" s="25">
        <v>850</v>
      </c>
      <c r="O23" s="25">
        <v>850</v>
      </c>
      <c r="P23" s="25">
        <v>850</v>
      </c>
      <c r="Q23" s="65">
        <v>200</v>
      </c>
      <c r="R23" s="25">
        <v>850</v>
      </c>
      <c r="S23" s="25">
        <v>850</v>
      </c>
      <c r="T23" s="25">
        <v>200</v>
      </c>
      <c r="U23" s="25"/>
    </row>
    <row r="24" spans="1:21" ht="15.75" customHeight="1" x14ac:dyDescent="0.15">
      <c r="A24" s="58">
        <v>35</v>
      </c>
      <c r="B24" s="59" t="str">
        <f>IFERROR(VLOOKUP($A24,Admission!$1:$998,4,0),"")</f>
        <v>ADIL JAMIL</v>
      </c>
      <c r="C24" s="59" t="str">
        <f>IFERROR(VLOOKUP($A24,Admission!$1:$998,5,0),"")</f>
        <v>MD.SAGIRUZZAMAN</v>
      </c>
      <c r="D24" s="59">
        <f>IFERROR(VLOOKUP($A24,Admission!$1:$998,10,0),"")</f>
        <v>8434026070</v>
      </c>
      <c r="E24" s="59" t="str">
        <f>IFERROR(VLOOKUP($A24,Admission!$1:$998,3,0),"")</f>
        <v>Day Scholar</v>
      </c>
      <c r="F24" s="25">
        <v>850</v>
      </c>
      <c r="G24" s="25">
        <v>850</v>
      </c>
      <c r="H24" s="25">
        <v>850</v>
      </c>
      <c r="I24" s="25">
        <v>200</v>
      </c>
      <c r="J24" s="25">
        <v>850</v>
      </c>
      <c r="K24" s="25">
        <v>850</v>
      </c>
      <c r="L24" s="25">
        <v>850</v>
      </c>
      <c r="M24" s="25">
        <v>200</v>
      </c>
      <c r="N24" s="25">
        <v>850</v>
      </c>
      <c r="O24" s="25">
        <v>850</v>
      </c>
      <c r="P24" s="25"/>
      <c r="Q24" s="25"/>
      <c r="R24" s="25"/>
      <c r="S24" s="25"/>
      <c r="T24" s="25"/>
      <c r="U24" s="25"/>
    </row>
    <row r="25" spans="1:21" ht="15.75" customHeight="1" x14ac:dyDescent="0.15">
      <c r="A25" s="58"/>
      <c r="B25" s="59" t="str">
        <f>IFERROR(VLOOKUP($A25,Admission!$1:$998,4,0),"")</f>
        <v/>
      </c>
      <c r="C25" s="59" t="str">
        <f>IFERROR(VLOOKUP($A25,Admission!$1:$998,5,0),"")</f>
        <v/>
      </c>
      <c r="D25" s="59" t="str">
        <f>IFERROR(VLOOKUP($A25,Admission!$1:$998,10,0),"")</f>
        <v/>
      </c>
      <c r="E25" s="59" t="str">
        <f>IFERROR(VLOOKUP($A25,Admission!$1:$998,3,0),"")</f>
        <v/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1:21" ht="15.75" customHeight="1" x14ac:dyDescent="0.15">
      <c r="A26" s="58"/>
      <c r="B26" s="59" t="str">
        <f>IFERROR(VLOOKUP($A26,Admission!$1:$998,4,0),"")</f>
        <v/>
      </c>
      <c r="C26" s="59" t="str">
        <f>IFERROR(VLOOKUP($A26,Admission!$1:$998,5,0),"")</f>
        <v/>
      </c>
      <c r="D26" s="59" t="str">
        <f>IFERROR(VLOOKUP($A26,Admission!$1:$998,10,0),"")</f>
        <v/>
      </c>
      <c r="E26" s="59" t="str">
        <f>IFERROR(VLOOKUP($A26,Admission!$1:$998,3,0),"")</f>
        <v/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ht="15.75" customHeight="1" x14ac:dyDescent="0.15">
      <c r="A27" s="58"/>
      <c r="B27" s="59" t="str">
        <f>IFERROR(VLOOKUP($A27,Admission!$1:$998,4,0),"")</f>
        <v/>
      </c>
      <c r="C27" s="59" t="str">
        <f>IFERROR(VLOOKUP($A27,Admission!$1:$998,5,0),"")</f>
        <v/>
      </c>
      <c r="D27" s="59" t="str">
        <f>IFERROR(VLOOKUP($A27,Admission!$1:$998,10,0),"")</f>
        <v/>
      </c>
      <c r="E27" s="59" t="str">
        <f>IFERROR(VLOOKUP($A27,Admission!$1:$998,3,0),"")</f>
        <v/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1" ht="15.75" customHeight="1" x14ac:dyDescent="0.15">
      <c r="A28" s="58"/>
      <c r="B28" s="59" t="str">
        <f>IFERROR(VLOOKUP($A28,Admission!$1:$998,4,0),"")</f>
        <v/>
      </c>
      <c r="C28" s="59" t="str">
        <f>IFERROR(VLOOKUP($A28,Admission!$1:$998,5,0),"")</f>
        <v/>
      </c>
      <c r="D28" s="59" t="str">
        <f>IFERROR(VLOOKUP($A28,Admission!$1:$998,10,0),"")</f>
        <v/>
      </c>
      <c r="E28" s="59" t="str">
        <f>IFERROR(VLOOKUP($A28,Admission!$1:$998,3,0),"")</f>
        <v/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ht="15.75" customHeight="1" x14ac:dyDescent="0.15">
      <c r="A29" s="58"/>
      <c r="B29" s="59" t="str">
        <f>IFERROR(VLOOKUP($A29,Admission!$1:$998,4,0),"")</f>
        <v/>
      </c>
      <c r="C29" s="59" t="str">
        <f>IFERROR(VLOOKUP($A29,Admission!$1:$998,5,0),"")</f>
        <v/>
      </c>
      <c r="D29" s="59" t="str">
        <f>IFERROR(VLOOKUP($A29,Admission!$1:$998,10,0),"")</f>
        <v/>
      </c>
      <c r="E29" s="59" t="str">
        <f>IFERROR(VLOOKUP($A29,Admission!$1:$998,3,0),"")</f>
        <v/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ht="15.75" customHeight="1" x14ac:dyDescent="0.15">
      <c r="A30" s="58"/>
      <c r="B30" s="59" t="str">
        <f>IFERROR(VLOOKUP($A30,Admission!$1:$998,4,0),"")</f>
        <v/>
      </c>
      <c r="C30" s="59" t="str">
        <f>IFERROR(VLOOKUP($A30,Admission!$1:$998,5,0),"")</f>
        <v/>
      </c>
      <c r="D30" s="59" t="str">
        <f>IFERROR(VLOOKUP($A30,Admission!$1:$998,10,0),"")</f>
        <v/>
      </c>
      <c r="E30" s="59" t="str">
        <f>IFERROR(VLOOKUP($A30,Admission!$1:$998,3,0),"")</f>
        <v/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 ht="15.75" customHeight="1" x14ac:dyDescent="0.15">
      <c r="A31" s="58"/>
      <c r="B31" s="59" t="str">
        <f>IFERROR(VLOOKUP($A31,Admission!$1:$998,4,0),"")</f>
        <v/>
      </c>
      <c r="C31" s="59" t="str">
        <f>IFERROR(VLOOKUP($A31,Admission!$1:$998,5,0),"")</f>
        <v/>
      </c>
      <c r="D31" s="59" t="str">
        <f>IFERROR(VLOOKUP($A31,Admission!$1:$998,10,0),"")</f>
        <v/>
      </c>
      <c r="E31" s="59" t="str">
        <f>IFERROR(VLOOKUP($A31,Admission!$1:$998,3,0),"")</f>
        <v/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1:21" ht="15.75" customHeight="1" x14ac:dyDescent="0.15">
      <c r="A32" s="58"/>
      <c r="B32" s="59" t="str">
        <f>IFERROR(VLOOKUP($A32,Admission!$1:$998,4,0),"")</f>
        <v/>
      </c>
      <c r="C32" s="59" t="str">
        <f>IFERROR(VLOOKUP($A32,Admission!$1:$998,5,0),"")</f>
        <v/>
      </c>
      <c r="D32" s="59" t="str">
        <f>IFERROR(VLOOKUP($A32,Admission!$1:$998,10,0),"")</f>
        <v/>
      </c>
      <c r="E32" s="59" t="str">
        <f>IFERROR(VLOOKUP($A32,Admission!$1:$998,3,0),"")</f>
        <v/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1:21" ht="15.75" customHeight="1" x14ac:dyDescent="0.15">
      <c r="A33" s="58"/>
      <c r="B33" s="59" t="str">
        <f>IFERROR(VLOOKUP($A33,Admission!$1:$998,4,0),"")</f>
        <v/>
      </c>
      <c r="C33" s="59" t="str">
        <f>IFERROR(VLOOKUP($A33,Admission!$1:$998,5,0),"")</f>
        <v/>
      </c>
      <c r="D33" s="59" t="str">
        <f>IFERROR(VLOOKUP($A33,Admission!$1:$998,10,0),"")</f>
        <v/>
      </c>
      <c r="E33" s="59" t="str">
        <f>IFERROR(VLOOKUP($A33,Admission!$1:$998,3,0),"")</f>
        <v/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1:21" ht="15.75" customHeight="1" x14ac:dyDescent="0.15">
      <c r="A34" s="58"/>
      <c r="B34" s="59" t="str">
        <f>IFERROR(VLOOKUP($A34,Admission!$1:$998,4,0),"")</f>
        <v/>
      </c>
      <c r="C34" s="59" t="str">
        <f>IFERROR(VLOOKUP($A34,Admission!$1:$998,5,0),"")</f>
        <v/>
      </c>
      <c r="D34" s="59" t="str">
        <f>IFERROR(VLOOKUP($A34,Admission!$1:$998,10,0),"")</f>
        <v/>
      </c>
      <c r="E34" s="59" t="str">
        <f>IFERROR(VLOOKUP($A34,Admission!$1:$998,3,0),"")</f>
        <v/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1:21" ht="15.75" customHeight="1" x14ac:dyDescent="0.15">
      <c r="A35" s="58"/>
      <c r="B35" s="59" t="str">
        <f>IFERROR(VLOOKUP($A35,Admission!$1:$998,4,0),"")</f>
        <v/>
      </c>
      <c r="C35" s="59" t="str">
        <f>IFERROR(VLOOKUP($A35,Admission!$1:$998,5,0),"")</f>
        <v/>
      </c>
      <c r="D35" s="59" t="str">
        <f>IFERROR(VLOOKUP($A35,Admission!$1:$998,10,0),"")</f>
        <v/>
      </c>
      <c r="E35" s="59" t="str">
        <f>IFERROR(VLOOKUP($A35,Admission!$1:$998,3,0),"")</f>
        <v/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1:21" ht="15.75" customHeight="1" x14ac:dyDescent="0.15">
      <c r="A36" s="58"/>
      <c r="B36" s="59" t="str">
        <f>IFERROR(VLOOKUP($A36,Admission!$1:$998,4,0),"")</f>
        <v/>
      </c>
      <c r="C36" s="59" t="str">
        <f>IFERROR(VLOOKUP($A36,Admission!$1:$998,5,0),"")</f>
        <v/>
      </c>
      <c r="D36" s="59" t="str">
        <f>IFERROR(VLOOKUP($A36,Admission!$1:$998,10,0),"")</f>
        <v/>
      </c>
      <c r="E36" s="59" t="str">
        <f>IFERROR(VLOOKUP($A36,Admission!$1:$998,3,0),"")</f>
        <v/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1:21" ht="15.75" customHeight="1" x14ac:dyDescent="0.15">
      <c r="B37" s="59" t="str">
        <f>IFERROR(VLOOKUP($A37,Admission!$1:$998,4,0),"")</f>
        <v/>
      </c>
      <c r="C37" s="59" t="str">
        <f>IFERROR(VLOOKUP($A37,Admission!$1:$998,5,0),"")</f>
        <v/>
      </c>
      <c r="D37" s="59" t="str">
        <f>IFERROR(VLOOKUP($A37,Admission!$1:$998,10,0),"")</f>
        <v/>
      </c>
      <c r="E37" s="59" t="str">
        <f>IFERROR(VLOOKUP($A37,Admission!$1:$998,3,0),"")</f>
        <v/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1:21" ht="15.75" customHeight="1" x14ac:dyDescent="0.15">
      <c r="A38" s="58"/>
      <c r="B38" s="59" t="str">
        <f>IFERROR(VLOOKUP($A38,Admission!$1:$998,4,0),"")</f>
        <v/>
      </c>
      <c r="C38" s="59" t="str">
        <f>IFERROR(VLOOKUP($A38,Admission!$1:$998,5,0),"")</f>
        <v/>
      </c>
      <c r="D38" s="59" t="str">
        <f>IFERROR(VLOOKUP($A38,Admission!$1:$998,10,0),"")</f>
        <v/>
      </c>
      <c r="E38" s="59" t="str">
        <f>IFERROR(VLOOKUP($A38,Admission!$1:$998,3,0),"")</f>
        <v/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1:21" ht="15.75" customHeight="1" x14ac:dyDescent="0.15">
      <c r="B39" s="59" t="str">
        <f>IFERROR(VLOOKUP($A39,Admission!$1:$998,4,0),"")</f>
        <v/>
      </c>
      <c r="C39" s="59" t="str">
        <f>IFERROR(VLOOKUP($A39,Admission!$1:$998,5,0),"")</f>
        <v/>
      </c>
      <c r="D39" s="59" t="str">
        <f>IFERROR(VLOOKUP($A39,Admission!$1:$998,10,0),"")</f>
        <v/>
      </c>
      <c r="E39" s="59" t="str">
        <f>IFERROR(VLOOKUP($A39,Admission!$1:$998,3,0),"")</f>
        <v/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ht="15.75" customHeight="1" x14ac:dyDescent="0.15">
      <c r="A40" s="58"/>
      <c r="B40" s="59" t="str">
        <f>IFERROR(VLOOKUP($A40,Admission!$1:$998,4,0),"")</f>
        <v/>
      </c>
      <c r="C40" s="59" t="str">
        <f>IFERROR(VLOOKUP($A40,Admission!$1:$998,5,0),"")</f>
        <v/>
      </c>
      <c r="D40" s="59" t="str">
        <f>IFERROR(VLOOKUP($A40,Admission!$1:$998,10,0),"")</f>
        <v/>
      </c>
      <c r="E40" s="59" t="str">
        <f>IFERROR(VLOOKUP($A40,Admission!$1:$998,3,0),"")</f>
        <v/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1:21" ht="15.75" customHeight="1" x14ac:dyDescent="0.15">
      <c r="A41" s="58"/>
      <c r="B41" s="59" t="str">
        <f>IFERROR(VLOOKUP($A41,Admission!$1:$998,4,0),"")</f>
        <v/>
      </c>
      <c r="C41" s="59" t="str">
        <f>IFERROR(VLOOKUP($A41,Admission!$1:$998,5,0),"")</f>
        <v/>
      </c>
      <c r="D41" s="59" t="str">
        <f>IFERROR(VLOOKUP($A41,Admission!$1:$998,10,0),"")</f>
        <v/>
      </c>
      <c r="E41" s="59" t="str">
        <f>IFERROR(VLOOKUP($A41,Admission!$1:$998,3,0),"")</f>
        <v/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1:21" ht="15.75" customHeight="1" x14ac:dyDescent="0.15">
      <c r="A42" s="58"/>
      <c r="B42" s="59" t="str">
        <f>IFERROR(VLOOKUP($A42,Admission!$1:$998,4,0),"")</f>
        <v/>
      </c>
      <c r="C42" s="59" t="str">
        <f>IFERROR(VLOOKUP($A42,Admission!$1:$998,5,0),"")</f>
        <v/>
      </c>
      <c r="D42" s="59" t="str">
        <f>IFERROR(VLOOKUP($A42,Admission!$1:$998,10,0),"")</f>
        <v/>
      </c>
      <c r="E42" s="59" t="str">
        <f>IFERROR(VLOOKUP($A42,Admission!$1:$998,3,0),"")</f>
        <v/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1:21" ht="15.75" customHeight="1" x14ac:dyDescent="0.15">
      <c r="A43" s="58"/>
      <c r="B43" s="59" t="str">
        <f>IFERROR(VLOOKUP($A43,Admission!$1:$998,4,0),"")</f>
        <v/>
      </c>
      <c r="C43" s="59" t="str">
        <f>IFERROR(VLOOKUP($A43,Admission!$1:$998,5,0),"")</f>
        <v/>
      </c>
      <c r="D43" s="59" t="str">
        <f>IFERROR(VLOOKUP($A43,Admission!$1:$998,10,0),"")</f>
        <v/>
      </c>
      <c r="E43" s="59" t="str">
        <f>IFERROR(VLOOKUP($A43,Admission!$1:$998,3,0),"")</f>
        <v/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21" ht="15.75" customHeight="1" x14ac:dyDescent="0.15">
      <c r="A44" s="58"/>
      <c r="B44" s="59" t="str">
        <f>IFERROR(VLOOKUP($A44,Admission!$1:$998,4,0),"")</f>
        <v/>
      </c>
      <c r="C44" s="59" t="str">
        <f>IFERROR(VLOOKUP($A44,Admission!$1:$998,5,0),"")</f>
        <v/>
      </c>
      <c r="D44" s="59"/>
      <c r="E44" s="59" t="str">
        <f>IFERROR(VLOOKUP($A44,Admission!$1:$998,3,0),"")</f>
        <v/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21" ht="15.75" customHeight="1" x14ac:dyDescent="0.15">
      <c r="A45" s="58">
        <v>35</v>
      </c>
      <c r="B45" s="59" t="str">
        <f>IFERROR(VLOOKUP($A45,Admission!$1:$998,4,0),"")</f>
        <v>ADIL JAMIL</v>
      </c>
      <c r="C45" s="59" t="str">
        <f>IFERROR(VLOOKUP($A45,Admission!$1:$998,5,0),"")</f>
        <v>MD.SAGIRUZZAMAN</v>
      </c>
      <c r="D45" s="59">
        <f>IFERROR(VLOOKUP($A45,Admission!$1:$998,10,0),"")</f>
        <v>8434026070</v>
      </c>
      <c r="E45" s="59" t="str">
        <f>IFERROR(VLOOKUP($A45,Admission!$1:$998,3,0),"")</f>
        <v>Day Scholar</v>
      </c>
      <c r="F45" s="25">
        <v>850</v>
      </c>
      <c r="G45" s="25">
        <v>850</v>
      </c>
      <c r="H45" s="25">
        <v>850</v>
      </c>
      <c r="I45" s="25">
        <v>850</v>
      </c>
      <c r="J45" s="25">
        <v>850</v>
      </c>
      <c r="K45" s="25">
        <v>850</v>
      </c>
      <c r="L45" s="25">
        <v>850</v>
      </c>
      <c r="M45" s="25">
        <v>200</v>
      </c>
      <c r="N45" s="25">
        <v>850</v>
      </c>
      <c r="O45" s="25">
        <v>850</v>
      </c>
      <c r="P45" s="25"/>
      <c r="Q45" s="25"/>
      <c r="R45" s="25"/>
      <c r="S45" s="25"/>
      <c r="T45" s="25"/>
      <c r="U45" s="25"/>
    </row>
    <row r="46" spans="1:21" ht="15.75" customHeight="1" x14ac:dyDescent="0.15">
      <c r="A46" s="58"/>
      <c r="B46" s="59" t="str">
        <f>IFERROR(VLOOKUP($A46,Admission!$1:$998,4,0),"")</f>
        <v/>
      </c>
      <c r="C46" s="59" t="str">
        <f>IFERROR(VLOOKUP($A46,Admission!$1:$998,5,0),"")</f>
        <v/>
      </c>
      <c r="D46" s="59"/>
      <c r="E46" s="59" t="str">
        <f>IFERROR(VLOOKUP($A46,Admission!$1:$998,3,0),"")</f>
        <v/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1:21" ht="15.75" customHeight="1" x14ac:dyDescent="0.15">
      <c r="A47" s="58"/>
      <c r="B47" s="59" t="str">
        <f>IFERROR(VLOOKUP($A47,Admission!$1:$998,4,0),"")</f>
        <v/>
      </c>
      <c r="C47" s="59" t="str">
        <f>IFERROR(VLOOKUP($A47,Admission!$1:$998,5,0),"")</f>
        <v/>
      </c>
      <c r="D47" s="59"/>
      <c r="E47" s="59" t="str">
        <f>IFERROR(VLOOKUP($A47,Admission!$1:$998,3,0),"")</f>
        <v/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1:21" ht="15.75" customHeight="1" x14ac:dyDescent="0.15">
      <c r="A48" s="58"/>
      <c r="B48" s="59" t="str">
        <f>IFERROR(VLOOKUP($A48,Admission!$1:$998,4,0),"")</f>
        <v/>
      </c>
      <c r="C48" s="59" t="str">
        <f>IFERROR(VLOOKUP($A48,Admission!$1:$998,5,0),"")</f>
        <v/>
      </c>
      <c r="D48" s="59"/>
      <c r="E48" s="59" t="str">
        <f>IFERROR(VLOOKUP($A48,Admission!$1:$998,3,0),"")</f>
        <v/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1:21" ht="15.75" customHeight="1" x14ac:dyDescent="0.15">
      <c r="A49" s="58"/>
      <c r="B49" s="59" t="str">
        <f>IFERROR(VLOOKUP($A49,Admission!$1:$998,4,0),"")</f>
        <v/>
      </c>
      <c r="C49" s="59" t="str">
        <f>IFERROR(VLOOKUP($A49,Admission!$1:$998,5,0),"")</f>
        <v/>
      </c>
      <c r="D49" s="59"/>
      <c r="E49" s="59" t="str">
        <f>IFERROR(VLOOKUP($A49,Admission!$1:$998,3,0),"")</f>
        <v/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1:21" ht="15.75" customHeight="1" x14ac:dyDescent="0.15">
      <c r="A50" s="58"/>
      <c r="B50" s="59" t="str">
        <f>IFERROR(VLOOKUP($A50,Admission!$1:$998,4,0),"")</f>
        <v/>
      </c>
      <c r="C50" s="59" t="str">
        <f>IFERROR(VLOOKUP($A50,Admission!$1:$998,5,0),"")</f>
        <v/>
      </c>
      <c r="D50" s="59"/>
      <c r="E50" s="59" t="str">
        <f>IFERROR(VLOOKUP($A50,Admission!$1:$998,3,0),"")</f>
        <v/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1:21" ht="15.75" customHeight="1" x14ac:dyDescent="0.15">
      <c r="A51" s="58"/>
      <c r="B51" s="59" t="str">
        <f>IFERROR(VLOOKUP($A51,Admission!$1:$998,4,0),"")</f>
        <v/>
      </c>
      <c r="C51" s="59" t="str">
        <f>IFERROR(VLOOKUP($A51,Admission!$1:$998,5,0),"")</f>
        <v/>
      </c>
      <c r="D51" s="59"/>
      <c r="E51" s="59" t="str">
        <f>IFERROR(VLOOKUP($A51,Admission!$1:$998,3,0),"")</f>
        <v/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</row>
    <row r="52" spans="1:21" ht="15.75" customHeight="1" x14ac:dyDescent="0.15">
      <c r="A52" s="58"/>
      <c r="B52" s="59" t="str">
        <f>IFERROR(VLOOKUP($A52,Admission!$1:$998,4,0),"")</f>
        <v/>
      </c>
      <c r="C52" s="59" t="str">
        <f>IFERROR(VLOOKUP($A52,Admission!$1:$998,5,0),"")</f>
        <v/>
      </c>
      <c r="D52" s="59"/>
      <c r="E52" s="59" t="str">
        <f>IFERROR(VLOOKUP($A52,Admission!$1:$998,3,0),"")</f>
        <v/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ht="15.75" customHeight="1" x14ac:dyDescent="0.15">
      <c r="A53" s="58"/>
      <c r="B53" s="59" t="str">
        <f>IFERROR(VLOOKUP($A53,Admission!$1:$998,4,0),"")</f>
        <v/>
      </c>
      <c r="C53" s="59" t="str">
        <f>IFERROR(VLOOKUP($A53,Admission!$1:$998,5,0),"")</f>
        <v/>
      </c>
      <c r="D53" s="59"/>
      <c r="E53" s="59" t="str">
        <f>IFERROR(VLOOKUP($A53,Admission!$1:$998,3,0),"")</f>
        <v/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1:21" ht="15.75" customHeight="1" x14ac:dyDescent="0.15">
      <c r="A54" s="58"/>
      <c r="B54" s="59" t="str">
        <f>IFERROR(VLOOKUP($A54,Admission!$1:$998,4,0),"")</f>
        <v/>
      </c>
      <c r="C54" s="59" t="str">
        <f>IFERROR(VLOOKUP($A54,Admission!$1:$998,5,0),"")</f>
        <v/>
      </c>
      <c r="D54" s="59"/>
      <c r="E54" s="59" t="str">
        <f>IFERROR(VLOOKUP($A54,Admission!$1:$998,3,0),"")</f>
        <v/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1:21" ht="15.75" customHeight="1" x14ac:dyDescent="0.15">
      <c r="A55" s="58"/>
      <c r="B55" s="59" t="str">
        <f>IFERROR(VLOOKUP($A55,Admission!$1:$998,4,0),"")</f>
        <v/>
      </c>
      <c r="C55" s="59" t="str">
        <f>IFERROR(VLOOKUP($A55,Admission!$1:$998,5,0),"")</f>
        <v/>
      </c>
      <c r="D55" s="59"/>
      <c r="E55" s="59" t="str">
        <f>IFERROR(VLOOKUP($A55,Admission!$1:$998,3,0),"")</f>
        <v/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 spans="1:21" ht="15.75" customHeight="1" x14ac:dyDescent="0.15">
      <c r="A56" s="58"/>
      <c r="B56" s="59" t="str">
        <f>IFERROR(VLOOKUP($A56,Admission!$1:$998,4,0),"")</f>
        <v/>
      </c>
      <c r="C56" s="59" t="str">
        <f>IFERROR(VLOOKUP($A56,Admission!$1:$998,5,0),"")</f>
        <v/>
      </c>
      <c r="D56" s="59"/>
      <c r="E56" s="59" t="str">
        <f>IFERROR(VLOOKUP($A56,Admission!$1:$998,3,0),"")</f>
        <v/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1:21" ht="15.75" customHeight="1" x14ac:dyDescent="0.15">
      <c r="A57" s="58"/>
      <c r="B57" s="59" t="str">
        <f>IFERROR(VLOOKUP($A57,Admission!$1:$998,4,0),"")</f>
        <v/>
      </c>
      <c r="C57" s="59" t="str">
        <f>IFERROR(VLOOKUP($A57,Admission!$1:$998,5,0),"")</f>
        <v/>
      </c>
      <c r="D57" s="59"/>
      <c r="E57" s="59" t="str">
        <f>IFERROR(VLOOKUP($A57,Admission!$1:$998,3,0),"")</f>
        <v/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1:21" ht="15.75" customHeight="1" x14ac:dyDescent="0.15">
      <c r="A58" s="58"/>
      <c r="B58" s="59" t="str">
        <f>IFERROR(VLOOKUP($A58,Admission!$1:$998,4,0),"")</f>
        <v/>
      </c>
      <c r="C58" s="59" t="str">
        <f>IFERROR(VLOOKUP($A58,Admission!$1:$998,5,0),"")</f>
        <v/>
      </c>
      <c r="D58" s="59"/>
      <c r="E58" s="59" t="str">
        <f>IFERROR(VLOOKUP($A58,Admission!$1:$998,3,0),"")</f>
        <v/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1:21" ht="15.75" customHeight="1" x14ac:dyDescent="0.15">
      <c r="A59" s="58"/>
      <c r="B59" s="59" t="str">
        <f>IFERROR(VLOOKUP($A59,Admission!$1:$998,4,0),"")</f>
        <v/>
      </c>
      <c r="C59" s="59" t="str">
        <f>IFERROR(VLOOKUP($A59,Admission!$1:$998,5,0),"")</f>
        <v/>
      </c>
      <c r="D59" s="59"/>
      <c r="E59" s="59" t="str">
        <f>IFERROR(VLOOKUP($A59,Admission!$1:$998,3,0),"")</f>
        <v/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1:21" ht="15.75" customHeight="1" x14ac:dyDescent="0.15">
      <c r="A60" s="58"/>
      <c r="B60" s="59" t="str">
        <f>IFERROR(VLOOKUP($A60,Admission!$1:$998,4,0),"")</f>
        <v/>
      </c>
      <c r="C60" s="59" t="str">
        <f>IFERROR(VLOOKUP($A60,Admission!$1:$998,5,0),"")</f>
        <v/>
      </c>
      <c r="D60" s="59"/>
      <c r="E60" s="59" t="str">
        <f>IFERROR(VLOOKUP($A60,Admission!$1:$998,3,0),"")</f>
        <v/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</row>
    <row r="61" spans="1:21" ht="15.75" customHeight="1" x14ac:dyDescent="0.15">
      <c r="A61" s="58"/>
      <c r="B61" s="59" t="str">
        <f>IFERROR(VLOOKUP($A61,Admission!$1:$998,4,0),"")</f>
        <v/>
      </c>
      <c r="C61" s="59" t="str">
        <f>IFERROR(VLOOKUP($A61,Admission!$1:$998,5,0),"")</f>
        <v/>
      </c>
      <c r="D61" s="59"/>
      <c r="E61" s="59" t="str">
        <f>IFERROR(VLOOKUP($A61,Admission!$1:$998,3,0),"")</f>
        <v/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1:21" ht="15.75" customHeight="1" x14ac:dyDescent="0.15">
      <c r="A62" s="58"/>
      <c r="B62" s="59" t="str">
        <f>IFERROR(VLOOKUP($A62,Admission!$1:$998,4,0),"")</f>
        <v/>
      </c>
      <c r="C62" s="59" t="str">
        <f>IFERROR(VLOOKUP($A62,Admission!$1:$998,5,0),"")</f>
        <v/>
      </c>
      <c r="D62" s="59"/>
      <c r="E62" s="59" t="str">
        <f>IFERROR(VLOOKUP($A62,Admission!$1:$998,3,0),"")</f>
        <v/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1:21" ht="15.75" customHeight="1" x14ac:dyDescent="0.15">
      <c r="A63" s="58"/>
      <c r="B63" s="59" t="str">
        <f>IFERROR(VLOOKUP($A63,Admission!$1:$998,4,0),"")</f>
        <v/>
      </c>
      <c r="C63" s="59" t="str">
        <f>IFERROR(VLOOKUP($A63,Admission!$1:$998,5,0),"")</f>
        <v/>
      </c>
      <c r="D63" s="59"/>
      <c r="E63" s="59" t="str">
        <f>IFERROR(VLOOKUP($A63,Admission!$1:$998,3,0),"")</f>
        <v/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1:21" ht="15.75" customHeight="1" x14ac:dyDescent="0.15">
      <c r="A64" s="58"/>
      <c r="B64" s="59" t="str">
        <f>IFERROR(VLOOKUP($A64,Admission!$1:$998,4,0),"")</f>
        <v/>
      </c>
      <c r="C64" s="59" t="str">
        <f>IFERROR(VLOOKUP($A64,Admission!$1:$998,5,0),"")</f>
        <v/>
      </c>
      <c r="D64" s="59"/>
      <c r="E64" s="59" t="str">
        <f>IFERROR(VLOOKUP($A64,Admission!$1:$998,3,0),"")</f>
        <v/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</row>
    <row r="65" spans="1:21" ht="15.75" customHeight="1" x14ac:dyDescent="0.15">
      <c r="A65" s="58"/>
      <c r="B65" s="59" t="str">
        <f>IFERROR(VLOOKUP($A65,Admission!$1:$998,4,0),"")</f>
        <v/>
      </c>
      <c r="C65" s="59" t="str">
        <f>IFERROR(VLOOKUP($A65,Admission!$1:$998,5,0),"")</f>
        <v/>
      </c>
      <c r="D65" s="59"/>
      <c r="E65" s="59" t="str">
        <f>IFERROR(VLOOKUP($A65,Admission!$1:$998,3,0),"")</f>
        <v/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1:21" ht="15.75" customHeight="1" x14ac:dyDescent="0.15">
      <c r="A66" s="58"/>
      <c r="B66" s="59" t="str">
        <f>IFERROR(VLOOKUP($A66,Admission!$1:$998,4,0),"")</f>
        <v/>
      </c>
      <c r="C66" s="59" t="str">
        <f>IFERROR(VLOOKUP($A66,Admission!$1:$998,5,0),"")</f>
        <v/>
      </c>
      <c r="D66" s="59"/>
      <c r="E66" s="59" t="str">
        <f>IFERROR(VLOOKUP($A66,Admission!$1:$998,3,0),"")</f>
        <v/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1:21" ht="15.75" customHeight="1" x14ac:dyDescent="0.15">
      <c r="A67" s="58"/>
      <c r="B67" s="59" t="str">
        <f>IFERROR(VLOOKUP($A67,Admission!$1:$998,4,0),"")</f>
        <v/>
      </c>
      <c r="C67" s="59" t="str">
        <f>IFERROR(VLOOKUP($A67,Admission!$1:$998,5,0),"")</f>
        <v/>
      </c>
      <c r="D67" s="59"/>
      <c r="E67" s="59" t="str">
        <f>IFERROR(VLOOKUP($A67,Admission!$1:$998,3,0),"")</f>
        <v/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1:21" ht="15.75" customHeight="1" x14ac:dyDescent="0.15">
      <c r="A68" s="58"/>
      <c r="B68" s="59" t="str">
        <f>IFERROR(VLOOKUP($A68,Admission!$1:$998,4,0),"")</f>
        <v/>
      </c>
      <c r="C68" s="59" t="str">
        <f>IFERROR(VLOOKUP($A68,Admission!$1:$998,5,0),"")</f>
        <v/>
      </c>
      <c r="D68" s="59"/>
      <c r="E68" s="59" t="str">
        <f>IFERROR(VLOOKUP($A68,Admission!$1:$998,3,0),"")</f>
        <v/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</row>
    <row r="69" spans="1:21" ht="15.75" customHeight="1" x14ac:dyDescent="0.15">
      <c r="A69" s="58"/>
      <c r="B69" s="59" t="str">
        <f>IFERROR(VLOOKUP($A69,Admission!$1:$998,4,0),"")</f>
        <v/>
      </c>
      <c r="C69" s="59" t="str">
        <f>IFERROR(VLOOKUP($A69,Admission!$1:$998,5,0),"")</f>
        <v/>
      </c>
      <c r="D69" s="59"/>
      <c r="E69" s="59" t="str">
        <f>IFERROR(VLOOKUP($A69,Admission!$1:$998,3,0),"")</f>
        <v/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1:21" ht="15.75" customHeight="1" x14ac:dyDescent="0.15">
      <c r="A70" s="58"/>
      <c r="B70" s="59" t="str">
        <f>IFERROR(VLOOKUP($A70,Admission!$1:$998,4,0),"")</f>
        <v/>
      </c>
      <c r="C70" s="59" t="str">
        <f>IFERROR(VLOOKUP($A70,Admission!$1:$998,5,0),"")</f>
        <v/>
      </c>
      <c r="D70" s="59"/>
      <c r="E70" s="59" t="str">
        <f>IFERROR(VLOOKUP($A70,Admission!$1:$998,3,0),"")</f>
        <v/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1:21" ht="15.75" customHeight="1" x14ac:dyDescent="0.15">
      <c r="A71" s="58"/>
      <c r="B71" s="59" t="str">
        <f>IFERROR(VLOOKUP($A71,Admission!$1:$998,4,0),"")</f>
        <v/>
      </c>
      <c r="C71" s="59" t="str">
        <f>IFERROR(VLOOKUP($A71,Admission!$1:$998,5,0),"")</f>
        <v/>
      </c>
      <c r="D71" s="59"/>
      <c r="E71" s="59" t="str">
        <f>IFERROR(VLOOKUP($A71,Admission!$1:$998,3,0),"")</f>
        <v/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1:21" ht="15.75" customHeight="1" x14ac:dyDescent="0.15">
      <c r="A72" s="58"/>
      <c r="B72" s="59" t="str">
        <f>IFERROR(VLOOKUP($A72,Admission!$1:$998,4,0),"")</f>
        <v/>
      </c>
      <c r="C72" s="59" t="str">
        <f>IFERROR(VLOOKUP($A72,Admission!$1:$998,5,0),"")</f>
        <v/>
      </c>
      <c r="D72" s="59"/>
      <c r="E72" s="59" t="str">
        <f>IFERROR(VLOOKUP($A72,Admission!$1:$998,3,0),"")</f>
        <v/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1:21" ht="15.75" customHeight="1" x14ac:dyDescent="0.15">
      <c r="A73" s="58"/>
      <c r="B73" s="59" t="str">
        <f>IFERROR(VLOOKUP($A73,Admission!$1:$998,4,0),"")</f>
        <v/>
      </c>
      <c r="C73" s="59" t="str">
        <f>IFERROR(VLOOKUP($A73,Admission!$1:$998,5,0),"")</f>
        <v/>
      </c>
      <c r="D73" s="59"/>
      <c r="E73" s="59" t="str">
        <f>IFERROR(VLOOKUP($A73,Admission!$1:$998,3,0),"")</f>
        <v/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</row>
    <row r="74" spans="1:21" ht="15.75" customHeight="1" x14ac:dyDescent="0.15">
      <c r="A74" s="58"/>
      <c r="B74" s="59" t="str">
        <f>IFERROR(VLOOKUP($A74,Admission!$1:$998,4,0),"")</f>
        <v/>
      </c>
      <c r="C74" s="59" t="str">
        <f>IFERROR(VLOOKUP($A74,Admission!$1:$998,5,0),"")</f>
        <v/>
      </c>
      <c r="D74" s="59"/>
      <c r="E74" s="59" t="str">
        <f>IFERROR(VLOOKUP($A74,Admission!$1:$998,3,0),"")</f>
        <v/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1:21" ht="15.75" customHeight="1" x14ac:dyDescent="0.15">
      <c r="A75" s="58"/>
      <c r="B75" s="59" t="str">
        <f>IFERROR(VLOOKUP($A75,Admission!$1:$998,4,0),"")</f>
        <v/>
      </c>
      <c r="C75" s="59" t="str">
        <f>IFERROR(VLOOKUP($A75,Admission!$1:$998,5,0),"")</f>
        <v/>
      </c>
      <c r="D75" s="59"/>
      <c r="E75" s="59" t="str">
        <f>IFERROR(VLOOKUP($A75,Admission!$1:$998,3,0),"")</f>
        <v/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1:21" ht="15.75" customHeight="1" x14ac:dyDescent="0.15">
      <c r="A76" s="58"/>
      <c r="B76" s="59" t="str">
        <f>IFERROR(VLOOKUP($A76,Admission!$1:$998,4,0),"")</f>
        <v/>
      </c>
      <c r="C76" s="59" t="str">
        <f>IFERROR(VLOOKUP($A76,Admission!$1:$998,5,0),"")</f>
        <v/>
      </c>
      <c r="D76" s="59"/>
      <c r="E76" s="59" t="str">
        <f>IFERROR(VLOOKUP($A76,Admission!$1:$998,3,0),"")</f>
        <v/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1:21" ht="15.75" customHeight="1" x14ac:dyDescent="0.15">
      <c r="A77" s="58"/>
      <c r="B77" s="59" t="str">
        <f>IFERROR(VLOOKUP($A77,Admission!$1:$998,4,0),"")</f>
        <v/>
      </c>
      <c r="C77" s="59" t="str">
        <f>IFERROR(VLOOKUP($A77,Admission!$1:$998,5,0),"")</f>
        <v/>
      </c>
      <c r="D77" s="59"/>
      <c r="E77" s="59" t="str">
        <f>IFERROR(VLOOKUP($A77,Admission!$1:$998,3,0),"")</f>
        <v/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1:21" ht="15.75" customHeight="1" x14ac:dyDescent="0.15">
      <c r="A78" s="58"/>
      <c r="B78" s="59" t="str">
        <f>IFERROR(VLOOKUP($A78,Admission!$1:$998,4,0),"")</f>
        <v/>
      </c>
      <c r="C78" s="59" t="str">
        <f>IFERROR(VLOOKUP($A78,Admission!$1:$998,5,0),"")</f>
        <v/>
      </c>
      <c r="D78" s="59"/>
      <c r="E78" s="59" t="str">
        <f>IFERROR(VLOOKUP($A78,Admission!$1:$998,3,0),"")</f>
        <v/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1:21" ht="15.75" customHeight="1" x14ac:dyDescent="0.15">
      <c r="A79" s="58"/>
      <c r="B79" s="59" t="str">
        <f>IFERROR(VLOOKUP($A79,Admission!$1:$998,4,0),"")</f>
        <v/>
      </c>
      <c r="C79" s="59" t="str">
        <f>IFERROR(VLOOKUP($A79,Admission!$1:$998,5,0),"")</f>
        <v/>
      </c>
      <c r="D79" s="59"/>
      <c r="E79" s="59" t="str">
        <f>IFERROR(VLOOKUP($A79,Admission!$1:$998,3,0),"")</f>
        <v/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1:21" ht="15.75" customHeight="1" x14ac:dyDescent="0.15">
      <c r="A80" s="58"/>
      <c r="B80" s="59" t="str">
        <f>IFERROR(VLOOKUP($A80,Admission!$1:$998,4,0),"")</f>
        <v/>
      </c>
      <c r="C80" s="59" t="str">
        <f>IFERROR(VLOOKUP($A80,Admission!$1:$998,5,0),"")</f>
        <v/>
      </c>
      <c r="D80" s="59"/>
      <c r="E80" s="59" t="str">
        <f>IFERROR(VLOOKUP($A80,Admission!$1:$998,3,0),"")</f>
        <v/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1:21" ht="15.75" customHeight="1" x14ac:dyDescent="0.15">
      <c r="A81" s="58"/>
      <c r="B81" s="59" t="str">
        <f>IFERROR(VLOOKUP($A81,Admission!$1:$998,4,0),"")</f>
        <v/>
      </c>
      <c r="C81" s="59" t="str">
        <f>IFERROR(VLOOKUP($A81,Admission!$1:$998,5,0),"")</f>
        <v/>
      </c>
      <c r="D81" s="59"/>
      <c r="E81" s="59" t="str">
        <f>IFERROR(VLOOKUP($A81,Admission!$1:$998,3,0),"")</f>
        <v/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1:21" ht="15.75" customHeight="1" x14ac:dyDescent="0.15">
      <c r="A82" s="58"/>
      <c r="B82" s="59" t="str">
        <f>IFERROR(VLOOKUP($A82,Admission!$1:$998,4,0),"")</f>
        <v/>
      </c>
      <c r="C82" s="59" t="str">
        <f>IFERROR(VLOOKUP($A82,Admission!$1:$998,5,0),"")</f>
        <v/>
      </c>
      <c r="D82" s="59"/>
      <c r="E82" s="59" t="str">
        <f>IFERROR(VLOOKUP($A82,Admission!$1:$998,3,0),"")</f>
        <v/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1:21" ht="15.75" customHeight="1" x14ac:dyDescent="0.15">
      <c r="A83" s="58"/>
      <c r="B83" s="59" t="str">
        <f>IFERROR(VLOOKUP($A83,Admission!$1:$998,4,0),"")</f>
        <v/>
      </c>
      <c r="C83" s="59" t="str">
        <f>IFERROR(VLOOKUP($A83,Admission!$1:$998,5,0),"")</f>
        <v/>
      </c>
      <c r="D83" s="59"/>
      <c r="E83" s="59" t="str">
        <f>IFERROR(VLOOKUP($A83,Admission!$1:$998,3,0),"")</f>
        <v/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1:21" ht="15.75" customHeight="1" x14ac:dyDescent="0.15">
      <c r="A84" s="58"/>
      <c r="B84" s="59" t="str">
        <f>IFERROR(VLOOKUP($A84,Admission!$1:$998,4,0),"")</f>
        <v/>
      </c>
      <c r="C84" s="59" t="str">
        <f>IFERROR(VLOOKUP($A84,Admission!$1:$998,5,0),"")</f>
        <v/>
      </c>
      <c r="D84" s="59"/>
      <c r="E84" s="59" t="str">
        <f>IFERROR(VLOOKUP($A84,Admission!$1:$998,3,0),"")</f>
        <v/>
      </c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1:21" ht="15.75" customHeight="1" x14ac:dyDescent="0.15">
      <c r="A85" s="58"/>
      <c r="B85" s="59" t="str">
        <f>IFERROR(VLOOKUP($A85,Admission!$1:$998,4,0),"")</f>
        <v/>
      </c>
      <c r="C85" s="59" t="str">
        <f>IFERROR(VLOOKUP($A85,Admission!$1:$998,5,0),"")</f>
        <v/>
      </c>
      <c r="D85" s="59"/>
      <c r="E85" s="59" t="str">
        <f>IFERROR(VLOOKUP($A85,Admission!$1:$998,3,0),"")</f>
        <v/>
      </c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1:21" ht="15.75" customHeight="1" x14ac:dyDescent="0.15">
      <c r="A86" s="58"/>
      <c r="B86" s="59" t="str">
        <f>IFERROR(VLOOKUP($A86,Admission!$1:$998,4,0),"")</f>
        <v/>
      </c>
      <c r="C86" s="59" t="str">
        <f>IFERROR(VLOOKUP($A86,Admission!$1:$998,5,0),"")</f>
        <v/>
      </c>
      <c r="D86" s="59"/>
      <c r="E86" s="59" t="str">
        <f>IFERROR(VLOOKUP($A86,Admission!$1:$998,3,0),"")</f>
        <v/>
      </c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1:21" ht="15.75" customHeight="1" x14ac:dyDescent="0.15">
      <c r="A87" s="58"/>
      <c r="B87" s="59" t="str">
        <f>IFERROR(VLOOKUP($A87,Admission!$1:$998,4,0),"")</f>
        <v/>
      </c>
      <c r="C87" s="59" t="str">
        <f>IFERROR(VLOOKUP($A87,Admission!$1:$998,5,0),"")</f>
        <v/>
      </c>
      <c r="D87" s="59"/>
      <c r="E87" s="59" t="str">
        <f>IFERROR(VLOOKUP($A87,Admission!$1:$998,3,0),"")</f>
        <v/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1:21" ht="15.75" customHeight="1" x14ac:dyDescent="0.15">
      <c r="A88" s="58"/>
      <c r="B88" s="59" t="str">
        <f>IFERROR(VLOOKUP($A88,Admission!$1:$998,4,0),"")</f>
        <v/>
      </c>
      <c r="C88" s="59" t="str">
        <f>IFERROR(VLOOKUP($A88,Admission!$1:$998,5,0),"")</f>
        <v/>
      </c>
      <c r="D88" s="59"/>
      <c r="E88" s="59" t="str">
        <f>IFERROR(VLOOKUP($A88,Admission!$1:$998,3,0),"")</f>
        <v/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1:21" ht="15.75" customHeight="1" x14ac:dyDescent="0.15">
      <c r="A89" s="58"/>
      <c r="B89" s="59" t="str">
        <f>IFERROR(VLOOKUP($A89,Admission!$1:$998,4,0),"")</f>
        <v/>
      </c>
      <c r="C89" s="59" t="str">
        <f>IFERROR(VLOOKUP($A89,Admission!$1:$998,5,0),"")</f>
        <v/>
      </c>
      <c r="D89" s="59"/>
      <c r="E89" s="59" t="str">
        <f>IFERROR(VLOOKUP($A89,Admission!$1:$998,3,0),"")</f>
        <v/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1:21" ht="15.75" customHeight="1" x14ac:dyDescent="0.15">
      <c r="A90" s="58"/>
      <c r="B90" s="59" t="str">
        <f>IFERROR(VLOOKUP($A90,Admission!$1:$998,4,0),"")</f>
        <v/>
      </c>
      <c r="C90" s="59" t="str">
        <f>IFERROR(VLOOKUP($A90,Admission!$1:$998,5,0),"")</f>
        <v/>
      </c>
      <c r="D90" s="59"/>
      <c r="E90" s="59" t="str">
        <f>IFERROR(VLOOKUP($A90,Admission!$1:$998,3,0),"")</f>
        <v/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1:21" ht="13" x14ac:dyDescent="0.15">
      <c r="A91" s="58"/>
      <c r="B91" s="59" t="str">
        <f>IFERROR(VLOOKUP($A91,Admission!$1:$998,4,0),"")</f>
        <v/>
      </c>
      <c r="C91" s="59" t="str">
        <f>IFERROR(VLOOKUP($A91,Admission!$1:$998,5,0),"")</f>
        <v/>
      </c>
      <c r="D91" s="59"/>
      <c r="E91" s="59" t="str">
        <f>IFERROR(VLOOKUP($A91,Admission!$1:$998,3,0),"")</f>
        <v/>
      </c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1:21" ht="13" x14ac:dyDescent="0.15">
      <c r="A92" s="58"/>
      <c r="B92" s="59" t="str">
        <f>IFERROR(VLOOKUP($A92,Admission!$1:$998,4,0),"")</f>
        <v/>
      </c>
      <c r="C92" s="59" t="str">
        <f>IFERROR(VLOOKUP($A92,Admission!$1:$998,5,0),"")</f>
        <v/>
      </c>
      <c r="D92" s="59"/>
      <c r="E92" s="59" t="str">
        <f>IFERROR(VLOOKUP($A92,Admission!$1:$998,3,0),"")</f>
        <v/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1:21" ht="13" x14ac:dyDescent="0.15">
      <c r="A93" s="58"/>
      <c r="B93" s="59" t="str">
        <f>IFERROR(VLOOKUP($A93,Admission!$1:$998,4,0),"")</f>
        <v/>
      </c>
      <c r="C93" s="59" t="str">
        <f>IFERROR(VLOOKUP($A93,Admission!$1:$998,5,0),"")</f>
        <v/>
      </c>
      <c r="D93" s="59"/>
      <c r="E93" s="59" t="str">
        <f>IFERROR(VLOOKUP($A93,Admission!$1:$998,3,0),"")</f>
        <v/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1:21" ht="13" x14ac:dyDescent="0.15">
      <c r="A94" s="58"/>
      <c r="B94" s="59" t="str">
        <f>IFERROR(VLOOKUP($A94,Admission!$1:$998,4,0),"")</f>
        <v/>
      </c>
      <c r="C94" s="59" t="str">
        <f>IFERROR(VLOOKUP($A94,Admission!$1:$998,5,0),"")</f>
        <v/>
      </c>
      <c r="D94" s="59"/>
      <c r="E94" s="59" t="str">
        <f>IFERROR(VLOOKUP($A94,Admission!$1:$998,3,0),"")</f>
        <v/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1:21" ht="13" x14ac:dyDescent="0.15">
      <c r="A95" s="58"/>
      <c r="B95" s="59" t="str">
        <f>IFERROR(VLOOKUP($A95,Admission!$1:$998,4,0),"")</f>
        <v/>
      </c>
      <c r="C95" s="59" t="str">
        <f>IFERROR(VLOOKUP($A95,Admission!$1:$998,5,0),"")</f>
        <v/>
      </c>
      <c r="D95" s="59"/>
      <c r="E95" s="59" t="str">
        <f>IFERROR(VLOOKUP($A95,Admission!$1:$998,3,0),"")</f>
        <v/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1:21" ht="13" x14ac:dyDescent="0.15">
      <c r="A96" s="58"/>
      <c r="B96" s="59" t="str">
        <f>IFERROR(VLOOKUP($A96,Admission!$1:$998,4,0),"")</f>
        <v/>
      </c>
      <c r="C96" s="59" t="str">
        <f>IFERROR(VLOOKUP($A96,Admission!$1:$998,5,0),"")</f>
        <v/>
      </c>
      <c r="D96" s="59"/>
      <c r="E96" s="59" t="str">
        <f>IFERROR(VLOOKUP($A96,Admission!$1:$998,3,0),"")</f>
        <v/>
      </c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1:21" ht="13" x14ac:dyDescent="0.15">
      <c r="A97" s="58"/>
      <c r="B97" s="59" t="str">
        <f>IFERROR(VLOOKUP($A97,Admission!$1:$998,4,0),"")</f>
        <v/>
      </c>
      <c r="C97" s="59" t="str">
        <f>IFERROR(VLOOKUP($A97,Admission!$1:$998,5,0),"")</f>
        <v/>
      </c>
      <c r="D97" s="59"/>
      <c r="E97" s="59" t="str">
        <f>IFERROR(VLOOKUP($A97,Admission!$1:$998,3,0),"")</f>
        <v/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1:21" ht="13" x14ac:dyDescent="0.15">
      <c r="A98" s="58"/>
      <c r="B98" s="59" t="str">
        <f>IFERROR(VLOOKUP($A98,Admission!$1:$998,4,0),"")</f>
        <v/>
      </c>
      <c r="C98" s="59" t="str">
        <f>IFERROR(VLOOKUP($A98,Admission!$1:$998,5,0),"")</f>
        <v/>
      </c>
      <c r="D98" s="59"/>
      <c r="E98" s="59" t="str">
        <f>IFERROR(VLOOKUP($A98,Admission!$1:$998,3,0),"")</f>
        <v/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1:21" ht="13" x14ac:dyDescent="0.15">
      <c r="A99" s="58"/>
      <c r="B99" s="59" t="str">
        <f>IFERROR(VLOOKUP($A99,Admission!$1:$998,4,0),"")</f>
        <v/>
      </c>
      <c r="C99" s="59" t="str">
        <f>IFERROR(VLOOKUP($A99,Admission!$1:$998,5,0),"")</f>
        <v/>
      </c>
      <c r="D99" s="59"/>
      <c r="E99" s="59" t="str">
        <f>IFERROR(VLOOKUP($A99,Admission!$1:$998,3,0),"")</f>
        <v/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1:21" ht="13" x14ac:dyDescent="0.15">
      <c r="A100" s="58"/>
      <c r="B100" s="59" t="str">
        <f>IFERROR(VLOOKUP($A100,Admission!$1:$998,4,0),"")</f>
        <v/>
      </c>
      <c r="C100" s="59" t="str">
        <f>IFERROR(VLOOKUP($A100,Admission!$1:$998,5,0),"")</f>
        <v/>
      </c>
      <c r="D100" s="59"/>
      <c r="E100" s="59" t="str">
        <f>IFERROR(VLOOKUP($A100,Admission!$1:$998,3,0),"")</f>
        <v/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1:21" ht="13" x14ac:dyDescent="0.15">
      <c r="A101" s="58"/>
      <c r="B101" s="59" t="str">
        <f>IFERROR(VLOOKUP($A101,Admission!$1:$998,4,0),"")</f>
        <v/>
      </c>
      <c r="C101" s="59" t="str">
        <f>IFERROR(VLOOKUP($A101,Admission!$1:$998,5,0),"")</f>
        <v/>
      </c>
      <c r="D101" s="59"/>
      <c r="E101" s="59" t="str">
        <f>IFERROR(VLOOKUP($A101,Admission!$1:$998,3,0),"")</f>
        <v/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1:21" ht="13" x14ac:dyDescent="0.15">
      <c r="A102" s="58"/>
      <c r="B102" s="59" t="str">
        <f>IFERROR(VLOOKUP($A102,Admission!$1:$998,4,0),"")</f>
        <v/>
      </c>
      <c r="C102" s="59" t="str">
        <f>IFERROR(VLOOKUP($A102,Admission!$1:$998,5,0),"")</f>
        <v/>
      </c>
      <c r="D102" s="59"/>
      <c r="E102" s="59" t="str">
        <f>IFERROR(VLOOKUP($A102,Admission!$1:$998,3,0),"")</f>
        <v/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1:21" ht="13" x14ac:dyDescent="0.15">
      <c r="A103" s="58"/>
      <c r="B103" s="59" t="str">
        <f>IFERROR(VLOOKUP($A103,Admission!$1:$998,4,0),"")</f>
        <v/>
      </c>
      <c r="C103" s="59" t="str">
        <f>IFERROR(VLOOKUP($A103,Admission!$1:$998,5,0),"")</f>
        <v/>
      </c>
      <c r="D103" s="59"/>
      <c r="E103" s="59" t="str">
        <f>IFERROR(VLOOKUP($A103,Admission!$1:$998,3,0),"")</f>
        <v/>
      </c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1:21" ht="13" x14ac:dyDescent="0.15">
      <c r="A104" s="58"/>
      <c r="B104" s="59" t="str">
        <f>IFERROR(VLOOKUP($A104,Admission!$1:$998,4,0),"")</f>
        <v/>
      </c>
      <c r="C104" s="59" t="str">
        <f>IFERROR(VLOOKUP($A104,Admission!$1:$998,5,0),"")</f>
        <v/>
      </c>
      <c r="D104" s="59"/>
      <c r="E104" s="59" t="str">
        <f>IFERROR(VLOOKUP($A104,Admission!$1:$998,3,0),"")</f>
        <v/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1:21" ht="13" x14ac:dyDescent="0.15">
      <c r="A105" s="58"/>
      <c r="B105" s="59" t="str">
        <f>IFERROR(VLOOKUP($A105,Admission!$1:$998,4,0),"")</f>
        <v/>
      </c>
      <c r="C105" s="59" t="str">
        <f>IFERROR(VLOOKUP($A105,Admission!$1:$998,5,0),"")</f>
        <v/>
      </c>
      <c r="D105" s="59"/>
      <c r="E105" s="59" t="str">
        <f>IFERROR(VLOOKUP($A105,Admission!$1:$998,3,0),"")</f>
        <v/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1:21" ht="13" x14ac:dyDescent="0.15">
      <c r="A106" s="58"/>
      <c r="B106" s="59" t="str">
        <f>IFERROR(VLOOKUP($A106,Admission!$1:$998,4,0),"")</f>
        <v/>
      </c>
      <c r="C106" s="59" t="str">
        <f>IFERROR(VLOOKUP($A106,Admission!$1:$998,5,0),"")</f>
        <v/>
      </c>
      <c r="D106" s="59"/>
      <c r="E106" s="59" t="str">
        <f>IFERROR(VLOOKUP($A106,Admission!$1:$998,3,0),"")</f>
        <v/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1:21" ht="13" x14ac:dyDescent="0.15">
      <c r="A107" s="58"/>
      <c r="B107" s="59" t="str">
        <f>IFERROR(VLOOKUP($A107,Admission!$1:$998,4,0),"")</f>
        <v/>
      </c>
      <c r="C107" s="59" t="str">
        <f>IFERROR(VLOOKUP($A107,Admission!$1:$998,5,0),"")</f>
        <v/>
      </c>
      <c r="D107" s="59"/>
      <c r="E107" s="59" t="str">
        <f>IFERROR(VLOOKUP($A107,Admission!$1:$998,3,0),"")</f>
        <v/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 ht="13" x14ac:dyDescent="0.15">
      <c r="A108" s="58"/>
      <c r="B108" s="59" t="str">
        <f>IFERROR(VLOOKUP($A108,Admission!$1:$998,4,0),"")</f>
        <v/>
      </c>
      <c r="C108" s="59" t="str">
        <f>IFERROR(VLOOKUP($A108,Admission!$1:$998,5,0),"")</f>
        <v/>
      </c>
      <c r="D108" s="59"/>
      <c r="E108" s="59" t="str">
        <f>IFERROR(VLOOKUP($A108,Admission!$1:$998,3,0),"")</f>
        <v/>
      </c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1:21" ht="13" x14ac:dyDescent="0.15">
      <c r="A109" s="58"/>
      <c r="B109" s="59" t="str">
        <f>IFERROR(VLOOKUP($A109,Admission!$1:$998,4,0),"")</f>
        <v/>
      </c>
      <c r="C109" s="59" t="str">
        <f>IFERROR(VLOOKUP($A109,Admission!$1:$998,5,0),"")</f>
        <v/>
      </c>
      <c r="D109" s="59"/>
      <c r="E109" s="59" t="str">
        <f>IFERROR(VLOOKUP($A109,Admission!$1:$998,3,0),"")</f>
        <v/>
      </c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1:21" ht="13" x14ac:dyDescent="0.15">
      <c r="A110" s="58"/>
      <c r="B110" s="59" t="str">
        <f>IFERROR(VLOOKUP($A110,Admission!$1:$998,4,0),"")</f>
        <v/>
      </c>
      <c r="C110" s="59" t="str">
        <f>IFERROR(VLOOKUP($A110,Admission!$1:$998,5,0),"")</f>
        <v/>
      </c>
      <c r="D110" s="59"/>
      <c r="E110" s="59" t="str">
        <f>IFERROR(VLOOKUP($A110,Admission!$1:$998,3,0),"")</f>
        <v/>
      </c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ht="13" x14ac:dyDescent="0.15">
      <c r="A111" s="58"/>
      <c r="B111" s="59" t="str">
        <f>IFERROR(VLOOKUP($A111,Admission!$1:$998,4,0),"")</f>
        <v/>
      </c>
      <c r="C111" s="59" t="str">
        <f>IFERROR(VLOOKUP($A111,Admission!$1:$998,5,0),"")</f>
        <v/>
      </c>
      <c r="D111" s="59"/>
      <c r="E111" s="59" t="str">
        <f>IFERROR(VLOOKUP($A111,Admission!$1:$998,3,0),"")</f>
        <v/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1:21" ht="13" x14ac:dyDescent="0.15">
      <c r="A112" s="58"/>
      <c r="B112" s="59" t="str">
        <f>IFERROR(VLOOKUP($A112,Admission!$1:$998,4,0),"")</f>
        <v/>
      </c>
      <c r="C112" s="59" t="str">
        <f>IFERROR(VLOOKUP($A112,Admission!$1:$998,5,0),"")</f>
        <v/>
      </c>
      <c r="D112" s="59"/>
      <c r="E112" s="59" t="str">
        <f>IFERROR(VLOOKUP($A112,Admission!$1:$998,3,0),"")</f>
        <v/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1:21" ht="13" x14ac:dyDescent="0.15">
      <c r="A113" s="58"/>
      <c r="B113" s="59" t="str">
        <f>IFERROR(VLOOKUP($A113,Admission!$1:$998,4,0),"")</f>
        <v/>
      </c>
      <c r="C113" s="59" t="str">
        <f>IFERROR(VLOOKUP($A113,Admission!$1:$998,5,0),"")</f>
        <v/>
      </c>
      <c r="D113" s="59"/>
      <c r="E113" s="59" t="str">
        <f>IFERROR(VLOOKUP($A113,Admission!$1:$998,3,0),"")</f>
        <v/>
      </c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1:21" ht="13" x14ac:dyDescent="0.15">
      <c r="A114" s="58"/>
      <c r="B114" s="59" t="str">
        <f>IFERROR(VLOOKUP($A114,Admission!$1:$998,4,0),"")</f>
        <v/>
      </c>
      <c r="C114" s="59" t="str">
        <f>IFERROR(VLOOKUP($A114,Admission!$1:$998,5,0),"")</f>
        <v/>
      </c>
      <c r="D114" s="59"/>
      <c r="E114" s="59" t="str">
        <f>IFERROR(VLOOKUP($A114,Admission!$1:$998,3,0),"")</f>
        <v/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1:21" ht="13" x14ac:dyDescent="0.15">
      <c r="A115" s="58"/>
      <c r="B115" s="59" t="str">
        <f>IFERROR(VLOOKUP($A115,Admission!$1:$998,4,0),"")</f>
        <v/>
      </c>
      <c r="C115" s="59" t="str">
        <f>IFERROR(VLOOKUP($A115,Admission!$1:$998,5,0),"")</f>
        <v/>
      </c>
      <c r="D115" s="59"/>
      <c r="E115" s="59" t="str">
        <f>IFERROR(VLOOKUP($A115,Admission!$1:$998,3,0),"")</f>
        <v/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1:21" ht="13" x14ac:dyDescent="0.15">
      <c r="A116" s="58"/>
      <c r="B116" s="59" t="str">
        <f>IFERROR(VLOOKUP($A116,Admission!$1:$998,4,0),"")</f>
        <v/>
      </c>
      <c r="C116" s="59" t="str">
        <f>IFERROR(VLOOKUP($A116,Admission!$1:$998,5,0),"")</f>
        <v/>
      </c>
      <c r="D116" s="59"/>
      <c r="E116" s="59" t="str">
        <f>IFERROR(VLOOKUP($A116,Admission!$1:$998,3,0),"")</f>
        <v/>
      </c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1:21" ht="13" x14ac:dyDescent="0.15">
      <c r="A117" s="58"/>
      <c r="B117" s="59" t="str">
        <f>IFERROR(VLOOKUP($A117,Admission!$1:$998,4,0),"")</f>
        <v/>
      </c>
      <c r="C117" s="59" t="str">
        <f>IFERROR(VLOOKUP($A117,Admission!$1:$998,5,0),"")</f>
        <v/>
      </c>
      <c r="D117" s="59"/>
      <c r="E117" s="59" t="str">
        <f>IFERROR(VLOOKUP($A117,Admission!$1:$998,3,0),"")</f>
        <v/>
      </c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1:21" ht="13" x14ac:dyDescent="0.15">
      <c r="A118" s="58"/>
      <c r="B118" s="59" t="str">
        <f>IFERROR(VLOOKUP($A118,Admission!$1:$998,4,0),"")</f>
        <v/>
      </c>
      <c r="C118" s="59" t="str">
        <f>IFERROR(VLOOKUP($A118,Admission!$1:$998,5,0),"")</f>
        <v/>
      </c>
      <c r="D118" s="59"/>
      <c r="E118" s="59" t="str">
        <f>IFERROR(VLOOKUP($A118,Admission!$1:$998,3,0),"")</f>
        <v/>
      </c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1:21" ht="13" x14ac:dyDescent="0.15">
      <c r="A119" s="58"/>
      <c r="B119" s="59" t="str">
        <f>IFERROR(VLOOKUP($A119,Admission!$1:$998,4,0),"")</f>
        <v/>
      </c>
      <c r="C119" s="59" t="str">
        <f>IFERROR(VLOOKUP($A119,Admission!$1:$998,5,0),"")</f>
        <v/>
      </c>
      <c r="D119" s="59"/>
      <c r="E119" s="59" t="str">
        <f>IFERROR(VLOOKUP($A119,Admission!$1:$998,3,0),"")</f>
        <v/>
      </c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1:21" ht="13" x14ac:dyDescent="0.15">
      <c r="A120" s="62"/>
      <c r="B120" s="59" t="str">
        <f>IFERROR(VLOOKUP($A120,Admission!$1:$998,4,0),"")</f>
        <v/>
      </c>
      <c r="C120" s="59" t="str">
        <f>IFERROR(VLOOKUP($A120,Admission!$1:$998,5,0),"")</f>
        <v/>
      </c>
      <c r="D120" s="59"/>
      <c r="E120" s="59" t="str">
        <f>IFERROR(VLOOKUP($A120,Admission!$1:$998,3,0),"")</f>
        <v/>
      </c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1:21" ht="13" x14ac:dyDescent="0.15">
      <c r="A121" s="62"/>
      <c r="B121" s="59" t="str">
        <f>IFERROR(VLOOKUP($A121,Admission!$1:$998,4,0),"")</f>
        <v/>
      </c>
      <c r="C121" s="59" t="str">
        <f>IFERROR(VLOOKUP($A121,Admission!$1:$998,5,0),"")</f>
        <v/>
      </c>
      <c r="D121" s="59"/>
      <c r="E121" s="59" t="str">
        <f>IFERROR(VLOOKUP($A121,Admission!$1:$998,3,0),"")</f>
        <v/>
      </c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1:21" ht="13" x14ac:dyDescent="0.15">
      <c r="A122" s="62"/>
      <c r="B122" s="59" t="str">
        <f>IFERROR(VLOOKUP($A122,Admission!$1:$998,4,0),"")</f>
        <v/>
      </c>
      <c r="C122" s="59" t="str">
        <f>IFERROR(VLOOKUP($A122,Admission!$1:$998,5,0),"")</f>
        <v/>
      </c>
      <c r="D122" s="59"/>
      <c r="E122" s="59" t="str">
        <f>IFERROR(VLOOKUP($A122,Admission!$1:$998,3,0),"")</f>
        <v/>
      </c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1:21" ht="13" x14ac:dyDescent="0.15">
      <c r="A123" s="62"/>
      <c r="B123" s="59" t="str">
        <f>IFERROR(VLOOKUP($A123,Admission!$1:$998,4,0),"")</f>
        <v/>
      </c>
      <c r="C123" s="59" t="str">
        <f>IFERROR(VLOOKUP($A123,Admission!$1:$998,5,0),"")</f>
        <v/>
      </c>
      <c r="D123" s="59"/>
      <c r="E123" s="59" t="str">
        <f>IFERROR(VLOOKUP($A123,Admission!$1:$998,3,0),"")</f>
        <v/>
      </c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1:21" ht="13" x14ac:dyDescent="0.15">
      <c r="A124" s="62"/>
      <c r="B124" s="59" t="str">
        <f>IFERROR(VLOOKUP($A124,Admission!$1:$998,4,0),"")</f>
        <v/>
      </c>
      <c r="C124" s="59" t="str">
        <f>IFERROR(VLOOKUP($A124,Admission!$1:$998,5,0),"")</f>
        <v/>
      </c>
      <c r="D124" s="59"/>
      <c r="E124" s="59" t="str">
        <f>IFERROR(VLOOKUP($A124,Admission!$1:$998,3,0),"")</f>
        <v/>
      </c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1:21" ht="13" x14ac:dyDescent="0.15">
      <c r="A125" s="62"/>
      <c r="B125" s="59" t="str">
        <f>IFERROR(VLOOKUP($A125,Admission!$1:$998,4,0),"")</f>
        <v/>
      </c>
      <c r="C125" s="59" t="str">
        <f>IFERROR(VLOOKUP($A125,Admission!$1:$998,5,0),"")</f>
        <v/>
      </c>
      <c r="D125" s="59"/>
      <c r="E125" s="59" t="str">
        <f>IFERROR(VLOOKUP($A125,Admission!$1:$998,3,0),"")</f>
        <v/>
      </c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1:21" ht="13" x14ac:dyDescent="0.15">
      <c r="A126" s="62"/>
      <c r="B126" s="59" t="str">
        <f>IFERROR(VLOOKUP($A126,Admission!$1:$998,4,0),"")</f>
        <v/>
      </c>
      <c r="C126" s="59" t="str">
        <f>IFERROR(VLOOKUP($A126,Admission!$1:$998,5,0),"")</f>
        <v/>
      </c>
      <c r="D126" s="59"/>
      <c r="E126" s="59" t="str">
        <f>IFERROR(VLOOKUP($A126,Admission!$1:$998,3,0),"")</f>
        <v/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1:21" ht="13" x14ac:dyDescent="0.15">
      <c r="A127" s="62"/>
      <c r="B127" s="59" t="str">
        <f>IFERROR(VLOOKUP($A127,Admission!$1:$998,4,0),"")</f>
        <v/>
      </c>
      <c r="C127" s="59" t="str">
        <f>IFERROR(VLOOKUP($A127,Admission!$1:$998,5,0),"")</f>
        <v/>
      </c>
      <c r="D127" s="59"/>
      <c r="E127" s="59" t="str">
        <f>IFERROR(VLOOKUP($A127,Admission!$1:$998,3,0),"")</f>
        <v/>
      </c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1:21" ht="13" x14ac:dyDescent="0.15">
      <c r="A128" s="62"/>
      <c r="B128" s="59" t="str">
        <f>IFERROR(VLOOKUP($A128,Admission!$1:$998,4,0),"")</f>
        <v/>
      </c>
      <c r="C128" s="59" t="str">
        <f>IFERROR(VLOOKUP($A128,Admission!$1:$998,5,0),"")</f>
        <v/>
      </c>
      <c r="D128" s="59"/>
      <c r="E128" s="59" t="str">
        <f>IFERROR(VLOOKUP($A128,Admission!$1:$998,3,0),"")</f>
        <v/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1:21" ht="13" x14ac:dyDescent="0.15">
      <c r="A129" s="62"/>
      <c r="B129" s="59" t="str">
        <f>IFERROR(VLOOKUP($A129,Admission!$1:$998,4,0),"")</f>
        <v/>
      </c>
      <c r="C129" s="59" t="str">
        <f>IFERROR(VLOOKUP($A129,Admission!$1:$998,5,0),"")</f>
        <v/>
      </c>
      <c r="D129" s="59"/>
      <c r="E129" s="59" t="str">
        <f>IFERROR(VLOOKUP($A129,Admission!$1:$998,3,0),"")</f>
        <v/>
      </c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1:21" ht="13" x14ac:dyDescent="0.15">
      <c r="A130" s="62"/>
      <c r="B130" s="59" t="str">
        <f>IFERROR(VLOOKUP($A130,Admission!$1:$998,4,0),"")</f>
        <v/>
      </c>
      <c r="C130" s="59" t="str">
        <f>IFERROR(VLOOKUP($A130,Admission!$1:$998,5,0),"")</f>
        <v/>
      </c>
      <c r="D130" s="59"/>
      <c r="E130" s="59" t="str">
        <f>IFERROR(VLOOKUP($A130,Admission!$1:$998,3,0),"")</f>
        <v/>
      </c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1:21" ht="13" x14ac:dyDescent="0.15">
      <c r="A131" s="62"/>
      <c r="B131" s="59" t="str">
        <f>IFERROR(VLOOKUP($A131,Admission!$1:$998,4,0),"")</f>
        <v/>
      </c>
      <c r="C131" s="59" t="str">
        <f>IFERROR(VLOOKUP($A131,Admission!$1:$998,5,0),"")</f>
        <v/>
      </c>
      <c r="D131" s="59"/>
      <c r="E131" s="59" t="str">
        <f>IFERROR(VLOOKUP($A131,Admission!$1:$998,3,0),"")</f>
        <v/>
      </c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1:21" ht="13" x14ac:dyDescent="0.15">
      <c r="A132" s="62"/>
      <c r="B132" s="59" t="str">
        <f>IFERROR(VLOOKUP($A132,Admission!$1:$998,4,0),"")</f>
        <v/>
      </c>
      <c r="C132" s="59" t="str">
        <f>IFERROR(VLOOKUP($A132,Admission!$1:$998,5,0),"")</f>
        <v/>
      </c>
      <c r="D132" s="59"/>
      <c r="E132" s="59" t="str">
        <f>IFERROR(VLOOKUP($A132,Admission!$1:$998,3,0),"")</f>
        <v/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1:21" ht="13" x14ac:dyDescent="0.15">
      <c r="A133" s="62"/>
      <c r="B133" s="59" t="str">
        <f>IFERROR(VLOOKUP($A133,Admission!$1:$998,4,0),"")</f>
        <v/>
      </c>
      <c r="C133" s="59" t="str">
        <f>IFERROR(VLOOKUP($A133,Admission!$1:$998,5,0),"")</f>
        <v/>
      </c>
      <c r="D133" s="59"/>
      <c r="E133" s="59" t="str">
        <f>IFERROR(VLOOKUP($A133,Admission!$1:$998,3,0),"")</f>
        <v/>
      </c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1:21" ht="13" x14ac:dyDescent="0.15">
      <c r="A134" s="62"/>
      <c r="B134" s="59" t="str">
        <f>IFERROR(VLOOKUP($A134,Admission!$1:$998,4,0),"")</f>
        <v/>
      </c>
      <c r="C134" s="59" t="str">
        <f>IFERROR(VLOOKUP($A134,Admission!$1:$998,5,0),"")</f>
        <v/>
      </c>
      <c r="D134" s="59"/>
      <c r="E134" s="59" t="str">
        <f>IFERROR(VLOOKUP($A134,Admission!$1:$998,3,0),"")</f>
        <v/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1:21" ht="13" x14ac:dyDescent="0.15">
      <c r="A135" s="62"/>
      <c r="B135" s="59" t="str">
        <f>IFERROR(VLOOKUP($A135,Admission!$1:$998,4,0),"")</f>
        <v/>
      </c>
      <c r="C135" s="59" t="str">
        <f>IFERROR(VLOOKUP($A135,Admission!$1:$998,5,0),"")</f>
        <v/>
      </c>
      <c r="D135" s="59"/>
      <c r="E135" s="59" t="str">
        <f>IFERROR(VLOOKUP($A135,Admission!$1:$998,3,0),"")</f>
        <v/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1:21" ht="13" x14ac:dyDescent="0.15">
      <c r="A136" s="62"/>
      <c r="B136" s="59" t="str">
        <f>IFERROR(VLOOKUP($A136,Admission!$1:$998,4,0),"")</f>
        <v/>
      </c>
      <c r="C136" s="59" t="str">
        <f>IFERROR(VLOOKUP($A136,Admission!$1:$998,5,0),"")</f>
        <v/>
      </c>
      <c r="D136" s="59"/>
      <c r="E136" s="59" t="str">
        <f>IFERROR(VLOOKUP($A136,Admission!$1:$998,3,0),"")</f>
        <v/>
      </c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1:21" ht="13" x14ac:dyDescent="0.15">
      <c r="A137" s="62"/>
      <c r="B137" s="59" t="str">
        <f>IFERROR(VLOOKUP($A137,Admission!$1:$998,4,0),"")</f>
        <v/>
      </c>
      <c r="C137" s="59" t="str">
        <f>IFERROR(VLOOKUP($A137,Admission!$1:$998,5,0),"")</f>
        <v/>
      </c>
      <c r="D137" s="59"/>
      <c r="E137" s="59" t="str">
        <f>IFERROR(VLOOKUP($A137,Admission!$1:$998,3,0),"")</f>
        <v/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1:21" ht="13" x14ac:dyDescent="0.15">
      <c r="A138" s="62"/>
      <c r="B138" s="59" t="str">
        <f>IFERROR(VLOOKUP($A138,Admission!$1:$998,4,0),"")</f>
        <v/>
      </c>
      <c r="C138" s="59" t="str">
        <f>IFERROR(VLOOKUP($A138,Admission!$1:$998,5,0),"")</f>
        <v/>
      </c>
      <c r="D138" s="59"/>
      <c r="E138" s="59" t="str">
        <f>IFERROR(VLOOKUP($A138,Admission!$1:$998,3,0),"")</f>
        <v/>
      </c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1:21" ht="13" x14ac:dyDescent="0.15">
      <c r="A139" s="62"/>
      <c r="B139" s="59" t="str">
        <f>IFERROR(VLOOKUP($A139,Admission!$1:$998,4,0),"")</f>
        <v/>
      </c>
      <c r="C139" s="59" t="str">
        <f>IFERROR(VLOOKUP($A139,Admission!$1:$998,5,0),"")</f>
        <v/>
      </c>
      <c r="D139" s="59"/>
      <c r="E139" s="59" t="str">
        <f>IFERROR(VLOOKUP($A139,Admission!$1:$998,3,0),"")</f>
        <v/>
      </c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1:21" ht="13" x14ac:dyDescent="0.15">
      <c r="A140" s="62"/>
      <c r="B140" s="59" t="str">
        <f>IFERROR(VLOOKUP($A140,Admission!$1:$998,4,0),"")</f>
        <v/>
      </c>
      <c r="C140" s="59" t="str">
        <f>IFERROR(VLOOKUP($A140,Admission!$1:$998,5,0),"")</f>
        <v/>
      </c>
      <c r="D140" s="59"/>
      <c r="E140" s="59" t="str">
        <f>IFERROR(VLOOKUP($A140,Admission!$1:$998,3,0),"")</f>
        <v/>
      </c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1:21" ht="13" x14ac:dyDescent="0.15">
      <c r="A141" s="62"/>
      <c r="B141" s="59" t="str">
        <f>IFERROR(VLOOKUP($A141,Admission!$1:$998,4,0),"")</f>
        <v/>
      </c>
      <c r="C141" s="59" t="str">
        <f>IFERROR(VLOOKUP($A141,Admission!$1:$998,5,0),"")</f>
        <v/>
      </c>
      <c r="D141" s="59"/>
      <c r="E141" s="59" t="str">
        <f>IFERROR(VLOOKUP($A141,Admission!$1:$998,3,0),"")</f>
        <v/>
      </c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1:21" ht="13" x14ac:dyDescent="0.15">
      <c r="A142" s="62"/>
      <c r="B142" s="59" t="str">
        <f>IFERROR(VLOOKUP($A142,Admission!$1:$998,4,0),"")</f>
        <v/>
      </c>
      <c r="C142" s="59" t="str">
        <f>IFERROR(VLOOKUP($A142,Admission!$1:$998,5,0),"")</f>
        <v/>
      </c>
      <c r="D142" s="59"/>
      <c r="E142" s="59" t="str">
        <f>IFERROR(VLOOKUP($A142,Admission!$1:$998,3,0),"")</f>
        <v/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1:21" ht="13" x14ac:dyDescent="0.15">
      <c r="A143" s="62"/>
      <c r="B143" s="59" t="str">
        <f>IFERROR(VLOOKUP($A143,Admission!$1:$998,4,0),"")</f>
        <v/>
      </c>
      <c r="C143" s="59" t="str">
        <f>IFERROR(VLOOKUP($A143,Admission!$1:$998,5,0),"")</f>
        <v/>
      </c>
      <c r="D143" s="59"/>
      <c r="E143" s="59" t="str">
        <f>IFERROR(VLOOKUP($A143,Admission!$1:$998,3,0),"")</f>
        <v/>
      </c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1:21" ht="13" x14ac:dyDescent="0.15">
      <c r="A144" s="62"/>
      <c r="B144" s="59" t="str">
        <f>IFERROR(VLOOKUP($A144,Admission!$1:$998,4,0),"")</f>
        <v/>
      </c>
      <c r="C144" s="59" t="str">
        <f>IFERROR(VLOOKUP($A144,Admission!$1:$998,5,0),"")</f>
        <v/>
      </c>
      <c r="D144" s="59"/>
      <c r="E144" s="59" t="str">
        <f>IFERROR(VLOOKUP($A144,Admission!$1:$998,3,0),"")</f>
        <v/>
      </c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1:21" ht="13" x14ac:dyDescent="0.15">
      <c r="A145" s="62"/>
      <c r="B145" s="59" t="str">
        <f>IFERROR(VLOOKUP($A145,Admission!$1:$998,4,0),"")</f>
        <v/>
      </c>
      <c r="C145" s="59" t="str">
        <f>IFERROR(VLOOKUP($A145,Admission!$1:$998,5,0),"")</f>
        <v/>
      </c>
      <c r="D145" s="59"/>
      <c r="E145" s="59" t="str">
        <f>IFERROR(VLOOKUP($A145,Admission!$1:$998,3,0),"")</f>
        <v/>
      </c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spans="1:21" ht="13" x14ac:dyDescent="0.15">
      <c r="A146" s="62"/>
      <c r="B146" s="59" t="str">
        <f>IFERROR(VLOOKUP($A146,Admission!$1:$998,4,0),"")</f>
        <v/>
      </c>
      <c r="C146" s="59" t="str">
        <f>IFERROR(VLOOKUP($A146,Admission!$1:$998,5,0),"")</f>
        <v/>
      </c>
      <c r="D146" s="59"/>
      <c r="E146" s="59" t="str">
        <f>IFERROR(VLOOKUP($A146,Admission!$1:$998,3,0),"")</f>
        <v/>
      </c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1:21" ht="13" x14ac:dyDescent="0.15">
      <c r="A147" s="62"/>
      <c r="B147" s="59" t="str">
        <f>IFERROR(VLOOKUP($A147,Admission!$1:$998,4,0),"")</f>
        <v/>
      </c>
      <c r="C147" s="59" t="str">
        <f>IFERROR(VLOOKUP($A147,Admission!$1:$998,5,0),"")</f>
        <v/>
      </c>
      <c r="D147" s="59"/>
      <c r="E147" s="59" t="str">
        <f>IFERROR(VLOOKUP($A147,Admission!$1:$998,3,0),"")</f>
        <v/>
      </c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spans="1:21" ht="13" x14ac:dyDescent="0.15">
      <c r="A148" s="62"/>
      <c r="E148" s="23" t="str">
        <f>IFERROR(VLOOKUP($A148,Admission!150:1145,3,0),"")</f>
        <v/>
      </c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1:21" ht="13" x14ac:dyDescent="0.15">
      <c r="A149" s="62"/>
      <c r="E149" s="23" t="str">
        <f>IFERROR(VLOOKUP($A149,Admission!151:1146,3,0),"")</f>
        <v/>
      </c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1:21" ht="13" x14ac:dyDescent="0.15">
      <c r="A150" s="62"/>
      <c r="E150" s="23" t="str">
        <f>IFERROR(VLOOKUP($A150,Admission!152:1147,3,0),"")</f>
        <v/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spans="1:21" ht="13" x14ac:dyDescent="0.15">
      <c r="A151" s="62"/>
      <c r="E151" s="23" t="str">
        <f>IFERROR(VLOOKUP($A151,Admission!153:1148,3,0),"")</f>
        <v/>
      </c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 spans="1:21" ht="13" x14ac:dyDescent="0.15">
      <c r="A152" s="62"/>
      <c r="E152" s="23" t="str">
        <f>IFERROR(VLOOKUP($A152,Admission!154:1149,3,0),"")</f>
        <v/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 spans="1:21" ht="13" x14ac:dyDescent="0.15">
      <c r="A153" s="62"/>
      <c r="E153" s="23" t="str">
        <f>IFERROR(VLOOKUP($A153,Admission!155:1150,3,0),"")</f>
        <v/>
      </c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 spans="1:21" ht="13" x14ac:dyDescent="0.15">
      <c r="A154" s="62"/>
      <c r="E154" s="23" t="str">
        <f>IFERROR(VLOOKUP($A154,Admission!156:1151,3,0),"")</f>
        <v/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 spans="1:21" ht="13" x14ac:dyDescent="0.15">
      <c r="A155" s="62"/>
      <c r="E155" s="23" t="str">
        <f>IFERROR(VLOOKUP($A155,Admission!157:1152,3,0),"")</f>
        <v/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 spans="1:21" ht="13" x14ac:dyDescent="0.15">
      <c r="A156" s="62"/>
      <c r="E156" s="23" t="str">
        <f>IFERROR(VLOOKUP($A156,Admission!158:1153,3,0),"")</f>
        <v/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 spans="1:21" ht="13" x14ac:dyDescent="0.15">
      <c r="A157" s="62"/>
      <c r="E157" s="23" t="str">
        <f>IFERROR(VLOOKUP($A157,Admission!159:1154,3,0),"")</f>
        <v/>
      </c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 spans="1:21" ht="13" x14ac:dyDescent="0.15">
      <c r="A158" s="62"/>
      <c r="E158" s="23" t="str">
        <f>IFERROR(VLOOKUP($A158,Admission!160:1155,3,0),"")</f>
        <v/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 spans="1:21" ht="13" x14ac:dyDescent="0.15">
      <c r="A159" s="62"/>
      <c r="E159" s="23" t="str">
        <f>IFERROR(VLOOKUP($A159,Admission!161:1156,3,0),"")</f>
        <v/>
      </c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 spans="1:21" ht="13" x14ac:dyDescent="0.15">
      <c r="A160" s="62"/>
      <c r="E160" s="23" t="str">
        <f>IFERROR(VLOOKUP($A160,Admission!162:1157,3,0),"")</f>
        <v/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</row>
    <row r="161" spans="1:21" ht="13" x14ac:dyDescent="0.15">
      <c r="A161" s="62"/>
      <c r="E161" s="23" t="str">
        <f>IFERROR(VLOOKUP($A161,Admission!163:1158,3,0),"")</f>
        <v/>
      </c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 spans="1:21" ht="13" x14ac:dyDescent="0.15">
      <c r="A162" s="62"/>
      <c r="E162" s="23" t="str">
        <f>IFERROR(VLOOKUP($A162,Admission!164:1159,3,0),"")</f>
        <v/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</row>
    <row r="163" spans="1:21" ht="13" x14ac:dyDescent="0.15">
      <c r="A163" s="62"/>
      <c r="E163" s="23" t="str">
        <f>IFERROR(VLOOKUP($A163,Admission!165:1160,3,0),"")</f>
        <v/>
      </c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 spans="1:21" ht="13" x14ac:dyDescent="0.15">
      <c r="A164" s="62"/>
      <c r="E164" s="23" t="str">
        <f>IFERROR(VLOOKUP($A164,Admission!166:1161,3,0),"")</f>
        <v/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 spans="1:21" ht="13" x14ac:dyDescent="0.15">
      <c r="A165" s="62"/>
      <c r="E165" s="23" t="str">
        <f>IFERROR(VLOOKUP($A165,Admission!167:1162,3,0),"")</f>
        <v/>
      </c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 spans="1:21" ht="13" x14ac:dyDescent="0.15">
      <c r="A166" s="62"/>
      <c r="E166" s="23" t="str">
        <f>IFERROR(VLOOKUP($A166,Admission!168:1163,3,0),"")</f>
        <v/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</row>
    <row r="167" spans="1:21" ht="13" x14ac:dyDescent="0.15">
      <c r="A167" s="62"/>
      <c r="E167" s="23" t="str">
        <f>IFERROR(VLOOKUP($A167,Admission!169:1164,3,0),"")</f>
        <v/>
      </c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</row>
    <row r="168" spans="1:21" ht="13" x14ac:dyDescent="0.15">
      <c r="A168" s="62"/>
      <c r="E168" s="23" t="str">
        <f>IFERROR(VLOOKUP($A168,Admission!170:1165,3,0),"")</f>
        <v/>
      </c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</row>
    <row r="169" spans="1:21" ht="13" x14ac:dyDescent="0.15">
      <c r="A169" s="62"/>
      <c r="E169" s="23" t="str">
        <f>IFERROR(VLOOKUP($A169,Admission!171:1166,3,0),"")</f>
        <v/>
      </c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</row>
    <row r="170" spans="1:21" ht="13" x14ac:dyDescent="0.15">
      <c r="A170" s="62"/>
      <c r="E170" s="23" t="str">
        <f>IFERROR(VLOOKUP($A170,Admission!172:1167,3,0),"")</f>
        <v/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 spans="1:21" ht="13" x14ac:dyDescent="0.15">
      <c r="A171" s="62"/>
      <c r="E171" s="23" t="str">
        <f>IFERROR(VLOOKUP($A171,Admission!173:1168,3,0),"")</f>
        <v/>
      </c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</row>
    <row r="172" spans="1:21" ht="13" x14ac:dyDescent="0.15">
      <c r="A172" s="62"/>
      <c r="E172" s="23" t="str">
        <f>IFERROR(VLOOKUP($A172,Admission!174:1169,3,0),"")</f>
        <v/>
      </c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</row>
    <row r="173" spans="1:21" ht="13" x14ac:dyDescent="0.15">
      <c r="A173" s="62"/>
      <c r="E173" s="23" t="str">
        <f>IFERROR(VLOOKUP($A173,Admission!175:1170,3,0),"")</f>
        <v/>
      </c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</row>
    <row r="174" spans="1:21" ht="13" x14ac:dyDescent="0.15">
      <c r="A174" s="62"/>
      <c r="E174" s="23" t="str">
        <f>IFERROR(VLOOKUP($A174,Admission!176:1171,3,0),"")</f>
        <v/>
      </c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 spans="1:21" ht="13" x14ac:dyDescent="0.15">
      <c r="A175" s="62"/>
      <c r="E175" s="23" t="str">
        <f>IFERROR(VLOOKUP($A175,Admission!177:1172,3,0),"")</f>
        <v/>
      </c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 spans="1:21" ht="13" x14ac:dyDescent="0.15">
      <c r="A176" s="62"/>
      <c r="E176" s="23" t="str">
        <f>IFERROR(VLOOKUP($A176,Admission!178:1173,3,0),"")</f>
        <v/>
      </c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spans="1:21" ht="13" x14ac:dyDescent="0.15">
      <c r="A177" s="62"/>
      <c r="E177" s="23" t="str">
        <f>IFERROR(VLOOKUP($A177,Admission!178:1174,3,0),"")</f>
        <v/>
      </c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spans="1:21" ht="13" x14ac:dyDescent="0.15">
      <c r="A178" s="62"/>
      <c r="E178" s="23" t="str">
        <f>IFERROR(VLOOKUP($A178,Admission!178:1175,3,0),"")</f>
        <v/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</row>
    <row r="179" spans="1:21" ht="13" x14ac:dyDescent="0.15">
      <c r="A179" s="62"/>
      <c r="E179" s="23" t="str">
        <f>IFERROR(VLOOKUP($A179,Admission!178:1176,3,0),"")</f>
        <v/>
      </c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</row>
    <row r="180" spans="1:21" ht="13" x14ac:dyDescent="0.15">
      <c r="A180" s="62"/>
      <c r="E180" s="23" t="str">
        <f>IFERROR(VLOOKUP($A180,Admission!178:1177,3,0),"")</f>
        <v/>
      </c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spans="1:21" ht="13" x14ac:dyDescent="0.15">
      <c r="A181" s="62"/>
      <c r="E181" s="23" t="str">
        <f>IFERROR(VLOOKUP($A181,Admission!179:1178,3,0),"")</f>
        <v/>
      </c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 spans="1:21" ht="13" x14ac:dyDescent="0.15">
      <c r="A182" s="62"/>
      <c r="E182" s="23" t="str">
        <f>IFERROR(VLOOKUP($A182,Admission!180:1179,3,0),"")</f>
        <v/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</row>
    <row r="183" spans="1:21" ht="13" x14ac:dyDescent="0.15">
      <c r="A183" s="62"/>
      <c r="E183" s="23" t="str">
        <f>IFERROR(VLOOKUP($A183,Admission!181:1180,3,0),"")</f>
        <v/>
      </c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</row>
    <row r="184" spans="1:21" ht="13" x14ac:dyDescent="0.15">
      <c r="A184" s="62"/>
      <c r="E184" s="23" t="str">
        <f>IFERROR(VLOOKUP($A184,Admission!182:1181,3,0),"")</f>
        <v/>
      </c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</row>
    <row r="185" spans="1:21" ht="13" x14ac:dyDescent="0.15">
      <c r="A185" s="62"/>
      <c r="E185" s="23" t="str">
        <f>IFERROR(VLOOKUP($A185,Admission!183:1182,3,0),"")</f>
        <v/>
      </c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</row>
    <row r="186" spans="1:21" ht="13" x14ac:dyDescent="0.15">
      <c r="A186" s="62"/>
      <c r="E186" s="23" t="str">
        <f>IFERROR(VLOOKUP($A186,Admission!184:1183,3,0),"")</f>
        <v/>
      </c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</row>
    <row r="187" spans="1:21" ht="13" x14ac:dyDescent="0.15">
      <c r="A187" s="62"/>
      <c r="E187" s="23" t="str">
        <f>IFERROR(VLOOKUP($A187,Admission!181:1184,3,0),"")</f>
        <v/>
      </c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</row>
    <row r="188" spans="1:21" ht="13" x14ac:dyDescent="0.15">
      <c r="A188" s="62"/>
      <c r="E188" s="23" t="str">
        <f>IFERROR(VLOOKUP($A188,Admission!178:1185,3,0),"")</f>
        <v/>
      </c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</row>
    <row r="189" spans="1:21" ht="13" x14ac:dyDescent="0.15">
      <c r="A189" s="62"/>
      <c r="E189" s="23" t="str">
        <f>IFERROR(VLOOKUP($A189,Admission!179:1186,3,0),"")</f>
        <v/>
      </c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</row>
    <row r="190" spans="1:21" ht="13" x14ac:dyDescent="0.15">
      <c r="A190" s="62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</row>
    <row r="191" spans="1:21" ht="13" x14ac:dyDescent="0.15">
      <c r="A191" s="62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</row>
    <row r="192" spans="1:21" ht="13" x14ac:dyDescent="0.15">
      <c r="A192" s="62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</row>
    <row r="193" spans="1:21" ht="13" x14ac:dyDescent="0.15">
      <c r="A193" s="6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</row>
    <row r="194" spans="1:21" ht="13" x14ac:dyDescent="0.15">
      <c r="A194" s="6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</row>
    <row r="195" spans="1:21" ht="13" x14ac:dyDescent="0.15">
      <c r="A195" s="6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</row>
    <row r="196" spans="1:21" ht="13" x14ac:dyDescent="0.15">
      <c r="A196" s="6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</row>
    <row r="197" spans="1:21" ht="13" x14ac:dyDescent="0.15">
      <c r="A197" s="6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</row>
    <row r="198" spans="1:21" ht="13" x14ac:dyDescent="0.15">
      <c r="A198" s="6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</row>
    <row r="199" spans="1:21" ht="13" x14ac:dyDescent="0.15">
      <c r="A199" s="6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</row>
    <row r="200" spans="1:21" ht="13" x14ac:dyDescent="0.15">
      <c r="A200" s="6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</row>
    <row r="201" spans="1:21" ht="13" x14ac:dyDescent="0.15">
      <c r="A201" s="6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</row>
    <row r="202" spans="1:21" ht="13" x14ac:dyDescent="0.15">
      <c r="A202" s="6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</row>
    <row r="203" spans="1:21" ht="13" x14ac:dyDescent="0.15">
      <c r="A203" s="6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</row>
    <row r="204" spans="1:21" ht="13" x14ac:dyDescent="0.15">
      <c r="A204" s="6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</row>
    <row r="205" spans="1:21" ht="13" x14ac:dyDescent="0.15">
      <c r="A205" s="6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</row>
    <row r="206" spans="1:21" ht="13" x14ac:dyDescent="0.15">
      <c r="A206" s="6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</row>
    <row r="207" spans="1:21" ht="13" x14ac:dyDescent="0.15">
      <c r="A207" s="6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</row>
    <row r="208" spans="1:21" ht="13" x14ac:dyDescent="0.15">
      <c r="A208" s="6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</row>
    <row r="209" spans="1:21" ht="13" x14ac:dyDescent="0.15">
      <c r="A209" s="6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</row>
    <row r="210" spans="1:21" ht="13" x14ac:dyDescent="0.15">
      <c r="A210" s="6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</row>
    <row r="211" spans="1:21" ht="13" x14ac:dyDescent="0.15">
      <c r="A211" s="6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</row>
    <row r="212" spans="1:21" ht="13" x14ac:dyDescent="0.15">
      <c r="A212" s="6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</row>
    <row r="213" spans="1:21" ht="13" x14ac:dyDescent="0.15">
      <c r="A213" s="6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</row>
    <row r="214" spans="1:21" ht="13" x14ac:dyDescent="0.15">
      <c r="A214" s="6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</row>
    <row r="215" spans="1:21" ht="13" x14ac:dyDescent="0.15">
      <c r="A215" s="6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</row>
    <row r="216" spans="1:21" ht="13" x14ac:dyDescent="0.15">
      <c r="A216" s="6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</row>
    <row r="217" spans="1:21" ht="13" x14ac:dyDescent="0.15">
      <c r="A217" s="6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</row>
    <row r="218" spans="1:21" ht="13" x14ac:dyDescent="0.15">
      <c r="A218" s="6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</row>
    <row r="219" spans="1:21" ht="13" x14ac:dyDescent="0.15">
      <c r="A219" s="6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</row>
    <row r="220" spans="1:21" ht="13" x14ac:dyDescent="0.15">
      <c r="A220" s="6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</row>
    <row r="221" spans="1:21" ht="13" x14ac:dyDescent="0.15">
      <c r="A221" s="6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</row>
    <row r="222" spans="1:21" ht="13" x14ac:dyDescent="0.15">
      <c r="A222" s="6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</row>
    <row r="223" spans="1:21" ht="13" x14ac:dyDescent="0.15">
      <c r="A223" s="6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</row>
    <row r="224" spans="1:21" ht="13" x14ac:dyDescent="0.15">
      <c r="A224" s="6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</row>
    <row r="225" spans="1:21" ht="13" x14ac:dyDescent="0.15">
      <c r="A225" s="6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</row>
    <row r="226" spans="1:21" ht="13" x14ac:dyDescent="0.15">
      <c r="A226" s="6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</row>
    <row r="227" spans="1:21" ht="13" x14ac:dyDescent="0.15">
      <c r="A227" s="6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</row>
    <row r="228" spans="1:21" ht="13" x14ac:dyDescent="0.15">
      <c r="A228" s="6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</row>
    <row r="229" spans="1:21" ht="13" x14ac:dyDescent="0.15">
      <c r="A229" s="6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</row>
    <row r="230" spans="1:21" ht="13" x14ac:dyDescent="0.15">
      <c r="A230" s="6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</row>
    <row r="231" spans="1:21" ht="13" x14ac:dyDescent="0.15">
      <c r="A231" s="6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</row>
    <row r="232" spans="1:21" ht="13" x14ac:dyDescent="0.15">
      <c r="A232" s="6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</row>
    <row r="233" spans="1:21" ht="13" x14ac:dyDescent="0.15">
      <c r="A233" s="6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</row>
    <row r="234" spans="1:21" ht="13" x14ac:dyDescent="0.15">
      <c r="A234" s="6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</row>
    <row r="235" spans="1:21" ht="13" x14ac:dyDescent="0.15">
      <c r="A235" s="6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</row>
    <row r="236" spans="1:21" ht="13" x14ac:dyDescent="0.15">
      <c r="A236" s="6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</row>
    <row r="237" spans="1:21" ht="13" x14ac:dyDescent="0.15">
      <c r="A237" s="6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</row>
    <row r="238" spans="1:21" ht="13" x14ac:dyDescent="0.15">
      <c r="A238" s="6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</row>
    <row r="239" spans="1:21" ht="13" x14ac:dyDescent="0.15">
      <c r="A239" s="6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</row>
    <row r="240" spans="1:21" ht="13" x14ac:dyDescent="0.15">
      <c r="A240" s="6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</row>
    <row r="241" spans="1:21" ht="13" x14ac:dyDescent="0.15">
      <c r="A241" s="6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</row>
    <row r="242" spans="1:21" ht="13" x14ac:dyDescent="0.15">
      <c r="A242" s="6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</row>
    <row r="243" spans="1:21" ht="13" x14ac:dyDescent="0.15">
      <c r="A243" s="6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</row>
    <row r="244" spans="1:21" ht="13" x14ac:dyDescent="0.15">
      <c r="A244" s="6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</row>
    <row r="245" spans="1:21" ht="13" x14ac:dyDescent="0.15">
      <c r="A245" s="6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</row>
    <row r="246" spans="1:21" ht="13" x14ac:dyDescent="0.15">
      <c r="A246" s="6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</row>
    <row r="247" spans="1:21" ht="13" x14ac:dyDescent="0.15">
      <c r="A247" s="6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</row>
    <row r="248" spans="1:21" ht="13" x14ac:dyDescent="0.15">
      <c r="A248" s="6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</row>
    <row r="249" spans="1:21" ht="13" x14ac:dyDescent="0.15">
      <c r="A249" s="6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</row>
    <row r="250" spans="1:21" ht="13" x14ac:dyDescent="0.15">
      <c r="A250" s="6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</row>
    <row r="251" spans="1:21" ht="13" x14ac:dyDescent="0.15">
      <c r="A251" s="6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</row>
    <row r="252" spans="1:21" ht="13" x14ac:dyDescent="0.15">
      <c r="A252" s="6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</row>
    <row r="253" spans="1:21" ht="13" x14ac:dyDescent="0.15">
      <c r="A253" s="6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</row>
    <row r="254" spans="1:21" ht="13" x14ac:dyDescent="0.15">
      <c r="A254" s="6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</row>
    <row r="255" spans="1:21" ht="13" x14ac:dyDescent="0.15">
      <c r="A255" s="6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</row>
    <row r="256" spans="1:21" ht="13" x14ac:dyDescent="0.15">
      <c r="A256" s="6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</row>
    <row r="257" spans="1:21" ht="13" x14ac:dyDescent="0.15">
      <c r="A257" s="6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</row>
    <row r="258" spans="1:21" ht="13" x14ac:dyDescent="0.15">
      <c r="A258" s="6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</row>
    <row r="259" spans="1:21" ht="13" x14ac:dyDescent="0.15">
      <c r="A259" s="6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</row>
    <row r="260" spans="1:21" ht="13" x14ac:dyDescent="0.15">
      <c r="A260" s="6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</row>
    <row r="261" spans="1:21" ht="13" x14ac:dyDescent="0.15">
      <c r="A261" s="6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</row>
    <row r="262" spans="1:21" ht="13" x14ac:dyDescent="0.15">
      <c r="A262" s="6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</row>
    <row r="263" spans="1:21" ht="13" x14ac:dyDescent="0.15">
      <c r="A263" s="6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</row>
    <row r="264" spans="1:21" ht="13" x14ac:dyDescent="0.15">
      <c r="A264" s="6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</row>
    <row r="265" spans="1:21" ht="13" x14ac:dyDescent="0.15">
      <c r="A265" s="6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</row>
    <row r="266" spans="1:21" ht="13" x14ac:dyDescent="0.15">
      <c r="A266" s="6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</row>
    <row r="267" spans="1:21" ht="13" x14ac:dyDescent="0.15">
      <c r="A267" s="6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</row>
    <row r="268" spans="1:21" ht="13" x14ac:dyDescent="0.15">
      <c r="A268" s="6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</row>
    <row r="269" spans="1:21" ht="13" x14ac:dyDescent="0.15">
      <c r="A269" s="6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</row>
    <row r="270" spans="1:21" ht="13" x14ac:dyDescent="0.15">
      <c r="A270" s="6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</row>
    <row r="271" spans="1:21" ht="13" x14ac:dyDescent="0.15">
      <c r="A271" s="6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</row>
    <row r="272" spans="1:21" ht="13" x14ac:dyDescent="0.15">
      <c r="A272" s="6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</row>
    <row r="273" spans="1:21" ht="13" x14ac:dyDescent="0.15">
      <c r="A273" s="6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</row>
    <row r="274" spans="1:21" ht="13" x14ac:dyDescent="0.15">
      <c r="A274" s="6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</row>
    <row r="275" spans="1:21" ht="13" x14ac:dyDescent="0.15">
      <c r="A275" s="6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</row>
    <row r="276" spans="1:21" ht="13" x14ac:dyDescent="0.15">
      <c r="A276" s="6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</row>
    <row r="277" spans="1:21" ht="13" x14ac:dyDescent="0.15">
      <c r="A277" s="6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</row>
    <row r="278" spans="1:21" ht="13" x14ac:dyDescent="0.15">
      <c r="A278" s="6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</row>
    <row r="279" spans="1:21" ht="13" x14ac:dyDescent="0.15">
      <c r="A279" s="6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</row>
    <row r="280" spans="1:21" ht="13" x14ac:dyDescent="0.15">
      <c r="A280" s="6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</row>
    <row r="281" spans="1:21" ht="13" x14ac:dyDescent="0.15">
      <c r="A281" s="6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</row>
    <row r="282" spans="1:21" ht="13" x14ac:dyDescent="0.15">
      <c r="A282" s="6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</row>
    <row r="283" spans="1:21" ht="13" x14ac:dyDescent="0.15">
      <c r="A283" s="6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</row>
    <row r="284" spans="1:21" ht="13" x14ac:dyDescent="0.15">
      <c r="A284" s="6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</row>
    <row r="285" spans="1:21" ht="13" x14ac:dyDescent="0.15">
      <c r="A285" s="6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</row>
    <row r="286" spans="1:21" ht="13" x14ac:dyDescent="0.15">
      <c r="A286" s="6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</row>
    <row r="287" spans="1:21" ht="13" x14ac:dyDescent="0.15">
      <c r="A287" s="6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</row>
    <row r="288" spans="1:21" ht="13" x14ac:dyDescent="0.15">
      <c r="A288" s="6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</row>
    <row r="289" spans="1:21" ht="13" x14ac:dyDescent="0.15">
      <c r="A289" s="6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</row>
    <row r="290" spans="1:21" ht="13" x14ac:dyDescent="0.15">
      <c r="A290" s="6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</row>
    <row r="291" spans="1:21" ht="13" x14ac:dyDescent="0.15">
      <c r="A291" s="6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</row>
    <row r="292" spans="1:21" ht="13" x14ac:dyDescent="0.15">
      <c r="A292" s="6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</row>
    <row r="293" spans="1:21" ht="13" x14ac:dyDescent="0.15">
      <c r="A293" s="6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</row>
    <row r="294" spans="1:21" ht="13" x14ac:dyDescent="0.15">
      <c r="A294" s="6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</row>
    <row r="295" spans="1:21" ht="13" x14ac:dyDescent="0.15">
      <c r="A295" s="6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</row>
    <row r="296" spans="1:21" ht="13" x14ac:dyDescent="0.15">
      <c r="A296" s="6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</row>
    <row r="297" spans="1:21" ht="13" x14ac:dyDescent="0.15">
      <c r="A297" s="6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</row>
    <row r="298" spans="1:21" ht="13" x14ac:dyDescent="0.15">
      <c r="A298" s="6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</row>
    <row r="299" spans="1:21" ht="13" x14ac:dyDescent="0.15">
      <c r="A299" s="6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</row>
    <row r="300" spans="1:21" ht="13" x14ac:dyDescent="0.15">
      <c r="A300" s="6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</row>
    <row r="301" spans="1:21" ht="13" x14ac:dyDescent="0.15">
      <c r="A301" s="6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</row>
    <row r="302" spans="1:21" ht="13" x14ac:dyDescent="0.15">
      <c r="A302" s="6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</row>
    <row r="303" spans="1:21" ht="13" x14ac:dyDescent="0.15">
      <c r="A303" s="6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</row>
    <row r="304" spans="1:21" ht="13" x14ac:dyDescent="0.15">
      <c r="A304" s="6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</row>
    <row r="305" spans="1:21" ht="13" x14ac:dyDescent="0.15">
      <c r="A305" s="6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</row>
    <row r="306" spans="1:21" ht="13" x14ac:dyDescent="0.15">
      <c r="A306" s="6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</row>
    <row r="307" spans="1:21" ht="13" x14ac:dyDescent="0.15">
      <c r="A307" s="6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</row>
    <row r="308" spans="1:21" ht="13" x14ac:dyDescent="0.15">
      <c r="A308" s="6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</row>
    <row r="309" spans="1:21" ht="13" x14ac:dyDescent="0.15">
      <c r="A309" s="6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</row>
    <row r="310" spans="1:21" ht="13" x14ac:dyDescent="0.15">
      <c r="A310" s="6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</row>
    <row r="311" spans="1:21" ht="13" x14ac:dyDescent="0.15">
      <c r="A311" s="6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</row>
    <row r="312" spans="1:21" ht="13" x14ac:dyDescent="0.15">
      <c r="A312" s="6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</row>
    <row r="313" spans="1:21" ht="13" x14ac:dyDescent="0.15">
      <c r="A313" s="6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</row>
    <row r="314" spans="1:21" ht="13" x14ac:dyDescent="0.15">
      <c r="A314" s="6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</row>
    <row r="315" spans="1:21" ht="13" x14ac:dyDescent="0.15">
      <c r="A315" s="6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</row>
    <row r="316" spans="1:21" ht="13" x14ac:dyDescent="0.15">
      <c r="A316" s="6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</row>
    <row r="317" spans="1:21" ht="13" x14ac:dyDescent="0.15">
      <c r="A317" s="6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</row>
    <row r="318" spans="1:21" ht="13" x14ac:dyDescent="0.15">
      <c r="A318" s="6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</row>
    <row r="319" spans="1:21" ht="13" x14ac:dyDescent="0.15">
      <c r="A319" s="6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</row>
    <row r="320" spans="1:21" ht="13" x14ac:dyDescent="0.15">
      <c r="A320" s="6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</row>
    <row r="321" spans="1:21" ht="13" x14ac:dyDescent="0.15">
      <c r="A321" s="6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</row>
    <row r="322" spans="1:21" ht="13" x14ac:dyDescent="0.15">
      <c r="A322" s="6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</row>
    <row r="323" spans="1:21" ht="13" x14ac:dyDescent="0.15">
      <c r="A323" s="6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</row>
    <row r="324" spans="1:21" ht="13" x14ac:dyDescent="0.15">
      <c r="A324" s="6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</row>
    <row r="325" spans="1:21" ht="13" x14ac:dyDescent="0.15">
      <c r="A325" s="6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</row>
    <row r="326" spans="1:21" ht="13" x14ac:dyDescent="0.15">
      <c r="A326" s="6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</row>
    <row r="327" spans="1:21" ht="13" x14ac:dyDescent="0.15">
      <c r="A327" s="6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</row>
    <row r="328" spans="1:21" ht="13" x14ac:dyDescent="0.15">
      <c r="A328" s="6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</row>
    <row r="329" spans="1:21" ht="13" x14ac:dyDescent="0.15">
      <c r="A329" s="6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</row>
    <row r="330" spans="1:21" ht="13" x14ac:dyDescent="0.15">
      <c r="A330" s="6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</row>
    <row r="331" spans="1:21" ht="13" x14ac:dyDescent="0.15">
      <c r="A331" s="6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</row>
    <row r="332" spans="1:21" ht="13" x14ac:dyDescent="0.15">
      <c r="A332" s="6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</row>
    <row r="333" spans="1:21" ht="13" x14ac:dyDescent="0.15">
      <c r="A333" s="6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</row>
    <row r="334" spans="1:21" ht="13" x14ac:dyDescent="0.15">
      <c r="A334" s="6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</row>
    <row r="335" spans="1:21" ht="13" x14ac:dyDescent="0.15">
      <c r="A335" s="6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</row>
    <row r="336" spans="1:21" ht="13" x14ac:dyDescent="0.15">
      <c r="A336" s="6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</row>
    <row r="337" spans="1:21" ht="13" x14ac:dyDescent="0.15">
      <c r="A337" s="6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</row>
    <row r="338" spans="1:21" ht="13" x14ac:dyDescent="0.15">
      <c r="A338" s="6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</row>
    <row r="339" spans="1:21" ht="13" x14ac:dyDescent="0.15">
      <c r="A339" s="6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</row>
    <row r="340" spans="1:21" ht="13" x14ac:dyDescent="0.15">
      <c r="A340" s="6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</row>
    <row r="341" spans="1:21" ht="13" x14ac:dyDescent="0.15">
      <c r="A341" s="6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</row>
    <row r="342" spans="1:21" ht="13" x14ac:dyDescent="0.15">
      <c r="A342" s="6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</row>
    <row r="343" spans="1:21" ht="13" x14ac:dyDescent="0.15">
      <c r="A343" s="6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</row>
    <row r="344" spans="1:21" ht="13" x14ac:dyDescent="0.15">
      <c r="A344" s="6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</row>
    <row r="345" spans="1:21" ht="13" x14ac:dyDescent="0.15">
      <c r="A345" s="6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</row>
    <row r="346" spans="1:21" ht="13" x14ac:dyDescent="0.15">
      <c r="A346" s="6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</row>
    <row r="347" spans="1:21" ht="13" x14ac:dyDescent="0.15">
      <c r="A347" s="6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</row>
    <row r="348" spans="1:21" ht="13" x14ac:dyDescent="0.15">
      <c r="A348" s="6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</row>
    <row r="349" spans="1:21" ht="13" x14ac:dyDescent="0.15">
      <c r="A349" s="6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</row>
    <row r="350" spans="1:21" ht="13" x14ac:dyDescent="0.15">
      <c r="A350" s="6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</row>
    <row r="351" spans="1:21" ht="13" x14ac:dyDescent="0.15">
      <c r="A351" s="6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</row>
    <row r="352" spans="1:21" ht="13" x14ac:dyDescent="0.15">
      <c r="A352" s="6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</row>
    <row r="353" spans="1:21" ht="13" x14ac:dyDescent="0.15">
      <c r="A353" s="6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</row>
    <row r="354" spans="1:21" ht="13" x14ac:dyDescent="0.15">
      <c r="A354" s="6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</row>
    <row r="355" spans="1:21" ht="13" x14ac:dyDescent="0.15">
      <c r="A355" s="6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</row>
    <row r="356" spans="1:21" ht="13" x14ac:dyDescent="0.15">
      <c r="A356" s="6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</row>
    <row r="357" spans="1:21" ht="13" x14ac:dyDescent="0.15">
      <c r="A357" s="6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</row>
    <row r="358" spans="1:21" ht="13" x14ac:dyDescent="0.15">
      <c r="A358" s="6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</row>
    <row r="359" spans="1:21" ht="13" x14ac:dyDescent="0.15">
      <c r="A359" s="6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</row>
    <row r="360" spans="1:21" ht="13" x14ac:dyDescent="0.15">
      <c r="A360" s="6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</row>
    <row r="361" spans="1:21" ht="13" x14ac:dyDescent="0.15">
      <c r="A361" s="6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</row>
    <row r="362" spans="1:21" ht="13" x14ac:dyDescent="0.15">
      <c r="A362" s="6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</row>
    <row r="363" spans="1:21" ht="13" x14ac:dyDescent="0.15">
      <c r="A363" s="6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</row>
    <row r="364" spans="1:21" ht="13" x14ac:dyDescent="0.15">
      <c r="A364" s="6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</row>
    <row r="365" spans="1:21" ht="13" x14ac:dyDescent="0.15">
      <c r="A365" s="6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</row>
    <row r="366" spans="1:21" ht="13" x14ac:dyDescent="0.15">
      <c r="A366" s="6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</row>
    <row r="367" spans="1:21" ht="13" x14ac:dyDescent="0.15">
      <c r="A367" s="6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</row>
    <row r="368" spans="1:21" ht="13" x14ac:dyDescent="0.15">
      <c r="A368" s="6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</row>
    <row r="369" spans="1:21" ht="13" x14ac:dyDescent="0.15">
      <c r="A369" s="6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</row>
    <row r="370" spans="1:21" ht="13" x14ac:dyDescent="0.15">
      <c r="A370" s="6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</row>
    <row r="371" spans="1:21" ht="13" x14ac:dyDescent="0.15">
      <c r="A371" s="6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</row>
    <row r="372" spans="1:21" ht="13" x14ac:dyDescent="0.15">
      <c r="A372" s="6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</row>
    <row r="373" spans="1:21" ht="13" x14ac:dyDescent="0.15">
      <c r="A373" s="6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</row>
    <row r="374" spans="1:21" ht="13" x14ac:dyDescent="0.15">
      <c r="A374" s="6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</row>
    <row r="375" spans="1:21" ht="13" x14ac:dyDescent="0.15">
      <c r="A375" s="6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</row>
    <row r="376" spans="1:21" ht="13" x14ac:dyDescent="0.15">
      <c r="A376" s="6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</row>
    <row r="377" spans="1:21" ht="13" x14ac:dyDescent="0.15">
      <c r="A377" s="6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</row>
    <row r="378" spans="1:21" ht="13" x14ac:dyDescent="0.15">
      <c r="A378" s="6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</row>
    <row r="379" spans="1:21" ht="13" x14ac:dyDescent="0.15">
      <c r="A379" s="6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</row>
    <row r="380" spans="1:21" ht="13" x14ac:dyDescent="0.15">
      <c r="A380" s="6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</row>
    <row r="381" spans="1:21" ht="13" x14ac:dyDescent="0.15">
      <c r="A381" s="6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</row>
    <row r="382" spans="1:21" ht="13" x14ac:dyDescent="0.15">
      <c r="A382" s="6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</row>
    <row r="383" spans="1:21" ht="13" x14ac:dyDescent="0.15">
      <c r="A383" s="6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</row>
    <row r="384" spans="1:21" ht="13" x14ac:dyDescent="0.15">
      <c r="A384" s="6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</row>
    <row r="385" spans="1:21" ht="13" x14ac:dyDescent="0.15">
      <c r="A385" s="6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</row>
    <row r="386" spans="1:21" ht="13" x14ac:dyDescent="0.15">
      <c r="A386" s="6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</row>
    <row r="387" spans="1:21" ht="13" x14ac:dyDescent="0.15">
      <c r="A387" s="6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</row>
    <row r="388" spans="1:21" ht="13" x14ac:dyDescent="0.15">
      <c r="A388" s="6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</row>
    <row r="389" spans="1:21" ht="13" x14ac:dyDescent="0.15">
      <c r="A389" s="6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</row>
    <row r="390" spans="1:21" ht="13" x14ac:dyDescent="0.15">
      <c r="A390" s="6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</row>
    <row r="391" spans="1:21" ht="13" x14ac:dyDescent="0.15">
      <c r="A391" s="6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</row>
    <row r="392" spans="1:21" ht="13" x14ac:dyDescent="0.15">
      <c r="A392" s="6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</row>
    <row r="393" spans="1:21" ht="13" x14ac:dyDescent="0.15">
      <c r="A393" s="6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</row>
    <row r="394" spans="1:21" ht="13" x14ac:dyDescent="0.15">
      <c r="A394" s="6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</row>
    <row r="395" spans="1:21" ht="13" x14ac:dyDescent="0.15">
      <c r="A395" s="6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</row>
    <row r="396" spans="1:21" ht="13" x14ac:dyDescent="0.15">
      <c r="A396" s="6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</row>
    <row r="397" spans="1:21" ht="13" x14ac:dyDescent="0.15">
      <c r="A397" s="6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</row>
    <row r="398" spans="1:21" ht="13" x14ac:dyDescent="0.15">
      <c r="A398" s="6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</row>
    <row r="399" spans="1:21" ht="13" x14ac:dyDescent="0.15">
      <c r="A399" s="6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</row>
    <row r="400" spans="1:21" ht="13" x14ac:dyDescent="0.15">
      <c r="A400" s="6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</row>
    <row r="401" spans="1:21" ht="13" x14ac:dyDescent="0.15">
      <c r="A401" s="6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</row>
    <row r="402" spans="1:21" ht="13" x14ac:dyDescent="0.15">
      <c r="A402" s="6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</row>
    <row r="403" spans="1:21" ht="13" x14ac:dyDescent="0.15">
      <c r="A403" s="6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</row>
    <row r="404" spans="1:21" ht="13" x14ac:dyDescent="0.15">
      <c r="A404" s="6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</row>
    <row r="405" spans="1:21" ht="13" x14ac:dyDescent="0.15">
      <c r="A405" s="6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</row>
    <row r="406" spans="1:21" ht="13" x14ac:dyDescent="0.15">
      <c r="A406" s="6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</row>
    <row r="407" spans="1:21" ht="13" x14ac:dyDescent="0.15">
      <c r="A407" s="6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</row>
    <row r="408" spans="1:21" ht="13" x14ac:dyDescent="0.15">
      <c r="A408" s="6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</row>
    <row r="409" spans="1:21" ht="13" x14ac:dyDescent="0.15">
      <c r="A409" s="6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</row>
    <row r="410" spans="1:21" ht="13" x14ac:dyDescent="0.15">
      <c r="A410" s="6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</row>
    <row r="411" spans="1:21" ht="13" x14ac:dyDescent="0.15">
      <c r="A411" s="6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</row>
    <row r="412" spans="1:21" ht="13" x14ac:dyDescent="0.15">
      <c r="A412" s="6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</row>
    <row r="413" spans="1:21" ht="13" x14ac:dyDescent="0.15">
      <c r="A413" s="6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</row>
    <row r="414" spans="1:21" ht="13" x14ac:dyDescent="0.15">
      <c r="A414" s="6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</row>
    <row r="415" spans="1:21" ht="13" x14ac:dyDescent="0.15">
      <c r="A415" s="6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</row>
    <row r="416" spans="1:21" ht="13" x14ac:dyDescent="0.15">
      <c r="A416" s="6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</row>
    <row r="417" spans="1:21" ht="13" x14ac:dyDescent="0.15">
      <c r="A417" s="6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</row>
    <row r="418" spans="1:21" ht="13" x14ac:dyDescent="0.15">
      <c r="A418" s="6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</row>
    <row r="419" spans="1:21" ht="13" x14ac:dyDescent="0.15">
      <c r="A419" s="6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</row>
    <row r="420" spans="1:21" ht="13" x14ac:dyDescent="0.15">
      <c r="A420" s="6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</row>
    <row r="421" spans="1:21" ht="13" x14ac:dyDescent="0.15">
      <c r="A421" s="6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</row>
    <row r="422" spans="1:21" ht="13" x14ac:dyDescent="0.15">
      <c r="A422" s="6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</row>
    <row r="423" spans="1:21" ht="13" x14ac:dyDescent="0.15">
      <c r="A423" s="6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</row>
    <row r="424" spans="1:21" ht="13" x14ac:dyDescent="0.15">
      <c r="A424" s="6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</row>
    <row r="425" spans="1:21" ht="13" x14ac:dyDescent="0.15">
      <c r="A425" s="6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</row>
    <row r="426" spans="1:21" ht="13" x14ac:dyDescent="0.15">
      <c r="A426" s="6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</row>
    <row r="427" spans="1:21" ht="13" x14ac:dyDescent="0.15">
      <c r="A427" s="6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</row>
    <row r="428" spans="1:21" ht="13" x14ac:dyDescent="0.15">
      <c r="A428" s="6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</row>
    <row r="429" spans="1:21" ht="13" x14ac:dyDescent="0.15">
      <c r="A429" s="6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</row>
    <row r="430" spans="1:21" ht="13" x14ac:dyDescent="0.15">
      <c r="A430" s="6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</row>
    <row r="431" spans="1:21" ht="13" x14ac:dyDescent="0.15">
      <c r="A431" s="6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</row>
    <row r="432" spans="1:21" ht="13" x14ac:dyDescent="0.15">
      <c r="A432" s="6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</row>
    <row r="433" spans="1:21" ht="13" x14ac:dyDescent="0.15">
      <c r="A433" s="6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</row>
    <row r="434" spans="1:21" ht="13" x14ac:dyDescent="0.15">
      <c r="A434" s="6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</row>
    <row r="435" spans="1:21" ht="13" x14ac:dyDescent="0.15">
      <c r="A435" s="6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</row>
    <row r="436" spans="1:21" ht="13" x14ac:dyDescent="0.15">
      <c r="A436" s="6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</row>
    <row r="437" spans="1:21" ht="13" x14ac:dyDescent="0.15">
      <c r="A437" s="6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</row>
    <row r="438" spans="1:21" ht="13" x14ac:dyDescent="0.15">
      <c r="A438" s="6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</row>
    <row r="439" spans="1:21" ht="13" x14ac:dyDescent="0.15">
      <c r="A439" s="6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</row>
    <row r="440" spans="1:21" ht="13" x14ac:dyDescent="0.15">
      <c r="A440" s="6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</row>
    <row r="441" spans="1:21" ht="13" x14ac:dyDescent="0.15">
      <c r="A441" s="6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</row>
    <row r="442" spans="1:21" ht="13" x14ac:dyDescent="0.15">
      <c r="A442" s="6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</row>
    <row r="443" spans="1:21" ht="13" x14ac:dyDescent="0.15">
      <c r="A443" s="6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</row>
    <row r="444" spans="1:21" ht="13" x14ac:dyDescent="0.15">
      <c r="A444" s="6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</row>
    <row r="445" spans="1:21" ht="13" x14ac:dyDescent="0.15">
      <c r="A445" s="6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</row>
    <row r="446" spans="1:21" ht="13" x14ac:dyDescent="0.15">
      <c r="A446" s="6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</row>
    <row r="447" spans="1:21" ht="13" x14ac:dyDescent="0.15">
      <c r="A447" s="6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</row>
    <row r="448" spans="1:21" ht="13" x14ac:dyDescent="0.15">
      <c r="A448" s="6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</row>
    <row r="449" spans="1:21" ht="13" x14ac:dyDescent="0.15">
      <c r="A449" s="6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</row>
    <row r="450" spans="1:21" ht="13" x14ac:dyDescent="0.15">
      <c r="A450" s="6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</row>
    <row r="451" spans="1:21" ht="13" x14ac:dyDescent="0.15">
      <c r="A451" s="6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</row>
    <row r="452" spans="1:21" ht="13" x14ac:dyDescent="0.15">
      <c r="A452" s="6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</row>
    <row r="453" spans="1:21" ht="13" x14ac:dyDescent="0.15">
      <c r="A453" s="6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</row>
    <row r="454" spans="1:21" ht="13" x14ac:dyDescent="0.15">
      <c r="A454" s="6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</row>
    <row r="455" spans="1:21" ht="13" x14ac:dyDescent="0.15">
      <c r="A455" s="6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</row>
    <row r="456" spans="1:21" ht="13" x14ac:dyDescent="0.15">
      <c r="A456" s="6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</row>
    <row r="457" spans="1:21" ht="13" x14ac:dyDescent="0.15">
      <c r="A457" s="6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</row>
    <row r="458" spans="1:21" ht="13" x14ac:dyDescent="0.15">
      <c r="A458" s="6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</row>
    <row r="459" spans="1:21" ht="13" x14ac:dyDescent="0.15">
      <c r="A459" s="6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</row>
    <row r="460" spans="1:21" ht="13" x14ac:dyDescent="0.15">
      <c r="A460" s="6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</row>
    <row r="461" spans="1:21" ht="13" x14ac:dyDescent="0.15">
      <c r="A461" s="6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</row>
    <row r="462" spans="1:21" ht="13" x14ac:dyDescent="0.15">
      <c r="A462" s="6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</row>
    <row r="463" spans="1:21" ht="13" x14ac:dyDescent="0.15">
      <c r="A463" s="6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</row>
    <row r="464" spans="1:21" ht="13" x14ac:dyDescent="0.15">
      <c r="A464" s="6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</row>
    <row r="465" spans="1:21" ht="13" x14ac:dyDescent="0.15">
      <c r="A465" s="6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</row>
    <row r="466" spans="1:21" ht="13" x14ac:dyDescent="0.15">
      <c r="A466" s="6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</row>
    <row r="467" spans="1:21" ht="13" x14ac:dyDescent="0.15">
      <c r="A467" s="6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</row>
    <row r="468" spans="1:21" ht="13" x14ac:dyDescent="0.15">
      <c r="A468" s="6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</row>
    <row r="469" spans="1:21" ht="13" x14ac:dyDescent="0.15">
      <c r="A469" s="6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</row>
    <row r="470" spans="1:21" ht="13" x14ac:dyDescent="0.15">
      <c r="A470" s="6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</row>
    <row r="471" spans="1:21" ht="13" x14ac:dyDescent="0.15">
      <c r="A471" s="6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</row>
    <row r="472" spans="1:21" ht="13" x14ac:dyDescent="0.15">
      <c r="A472" s="6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</row>
    <row r="473" spans="1:21" ht="13" x14ac:dyDescent="0.15">
      <c r="A473" s="6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</row>
    <row r="474" spans="1:21" ht="13" x14ac:dyDescent="0.15">
      <c r="A474" s="6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</row>
    <row r="475" spans="1:21" ht="13" x14ac:dyDescent="0.15">
      <c r="A475" s="6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</row>
    <row r="476" spans="1:21" ht="13" x14ac:dyDescent="0.15">
      <c r="A476" s="6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</row>
    <row r="477" spans="1:21" ht="13" x14ac:dyDescent="0.15">
      <c r="A477" s="6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</row>
    <row r="478" spans="1:21" ht="13" x14ac:dyDescent="0.15">
      <c r="A478" s="6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</row>
    <row r="479" spans="1:21" ht="13" x14ac:dyDescent="0.15">
      <c r="A479" s="6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</row>
    <row r="480" spans="1:21" ht="13" x14ac:dyDescent="0.15">
      <c r="A480" s="6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</row>
    <row r="481" spans="1:21" ht="13" x14ac:dyDescent="0.15">
      <c r="A481" s="6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</row>
    <row r="482" spans="1:21" ht="13" x14ac:dyDescent="0.15">
      <c r="A482" s="6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</row>
    <row r="483" spans="1:21" ht="13" x14ac:dyDescent="0.15">
      <c r="A483" s="6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</row>
    <row r="484" spans="1:21" ht="13" x14ac:dyDescent="0.15">
      <c r="A484" s="6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</row>
    <row r="485" spans="1:21" ht="13" x14ac:dyDescent="0.15">
      <c r="A485" s="6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</row>
    <row r="486" spans="1:21" ht="13" x14ac:dyDescent="0.15">
      <c r="A486" s="6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</row>
    <row r="487" spans="1:21" ht="13" x14ac:dyDescent="0.15">
      <c r="A487" s="6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</row>
    <row r="488" spans="1:21" ht="13" x14ac:dyDescent="0.15">
      <c r="A488" s="6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</row>
    <row r="489" spans="1:21" ht="13" x14ac:dyDescent="0.15">
      <c r="A489" s="6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</row>
    <row r="490" spans="1:21" ht="13" x14ac:dyDescent="0.15">
      <c r="A490" s="6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</row>
    <row r="491" spans="1:21" ht="13" x14ac:dyDescent="0.15">
      <c r="A491" s="6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</row>
    <row r="492" spans="1:21" ht="13" x14ac:dyDescent="0.15">
      <c r="A492" s="6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</row>
    <row r="493" spans="1:21" ht="13" x14ac:dyDescent="0.15">
      <c r="A493" s="6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</row>
    <row r="494" spans="1:21" ht="13" x14ac:dyDescent="0.15">
      <c r="A494" s="6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</row>
    <row r="495" spans="1:21" ht="13" x14ac:dyDescent="0.15">
      <c r="A495" s="6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</row>
    <row r="496" spans="1:21" ht="13" x14ac:dyDescent="0.15">
      <c r="A496" s="6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</row>
    <row r="497" spans="1:21" ht="13" x14ac:dyDescent="0.15">
      <c r="A497" s="6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</row>
    <row r="498" spans="1:21" ht="13" x14ac:dyDescent="0.15">
      <c r="A498" s="6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</row>
    <row r="499" spans="1:21" ht="13" x14ac:dyDescent="0.15">
      <c r="A499" s="6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</row>
    <row r="500" spans="1:21" ht="13" x14ac:dyDescent="0.15">
      <c r="A500" s="6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</row>
    <row r="501" spans="1:21" ht="13" x14ac:dyDescent="0.15">
      <c r="A501" s="6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</row>
    <row r="502" spans="1:21" ht="13" x14ac:dyDescent="0.15">
      <c r="A502" s="6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</row>
    <row r="503" spans="1:21" ht="13" x14ac:dyDescent="0.15">
      <c r="A503" s="6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</row>
    <row r="504" spans="1:21" ht="13" x14ac:dyDescent="0.15">
      <c r="A504" s="6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</row>
    <row r="505" spans="1:21" ht="13" x14ac:dyDescent="0.15">
      <c r="A505" s="6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</row>
    <row r="506" spans="1:21" ht="13" x14ac:dyDescent="0.15">
      <c r="A506" s="6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</row>
    <row r="507" spans="1:21" ht="13" x14ac:dyDescent="0.15">
      <c r="A507" s="6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</row>
    <row r="508" spans="1:21" ht="13" x14ac:dyDescent="0.15">
      <c r="A508" s="6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</row>
    <row r="509" spans="1:21" ht="13" x14ac:dyDescent="0.15">
      <c r="A509" s="6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</row>
    <row r="510" spans="1:21" ht="13" x14ac:dyDescent="0.15">
      <c r="A510" s="6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</row>
    <row r="511" spans="1:21" ht="13" x14ac:dyDescent="0.15">
      <c r="A511" s="6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</row>
    <row r="512" spans="1:21" ht="13" x14ac:dyDescent="0.15">
      <c r="A512" s="6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</row>
    <row r="513" spans="1:21" ht="13" x14ac:dyDescent="0.15">
      <c r="A513" s="6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</row>
    <row r="514" spans="1:21" ht="13" x14ac:dyDescent="0.15">
      <c r="A514" s="6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</row>
    <row r="515" spans="1:21" ht="13" x14ac:dyDescent="0.15">
      <c r="A515" s="6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</row>
    <row r="516" spans="1:21" ht="13" x14ac:dyDescent="0.15">
      <c r="A516" s="6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</row>
    <row r="517" spans="1:21" ht="13" x14ac:dyDescent="0.15">
      <c r="A517" s="6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</row>
    <row r="518" spans="1:21" ht="13" x14ac:dyDescent="0.15">
      <c r="A518" s="6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</row>
    <row r="519" spans="1:21" ht="13" x14ac:dyDescent="0.15">
      <c r="A519" s="6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</row>
    <row r="520" spans="1:21" ht="13" x14ac:dyDescent="0.15">
      <c r="A520" s="6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</row>
    <row r="521" spans="1:21" ht="13" x14ac:dyDescent="0.15">
      <c r="A521" s="6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</row>
    <row r="522" spans="1:21" ht="13" x14ac:dyDescent="0.15">
      <c r="A522" s="6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</row>
    <row r="523" spans="1:21" ht="13" x14ac:dyDescent="0.15">
      <c r="A523" s="6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</row>
    <row r="524" spans="1:21" ht="13" x14ac:dyDescent="0.15">
      <c r="A524" s="6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</row>
    <row r="525" spans="1:21" ht="13" x14ac:dyDescent="0.15">
      <c r="A525" s="6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</row>
    <row r="526" spans="1:21" ht="13" x14ac:dyDescent="0.15">
      <c r="A526" s="6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</row>
    <row r="527" spans="1:21" ht="13" x14ac:dyDescent="0.15">
      <c r="A527" s="6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</row>
    <row r="528" spans="1:21" ht="13" x14ac:dyDescent="0.15">
      <c r="A528" s="6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</row>
    <row r="529" spans="1:21" ht="13" x14ac:dyDescent="0.15">
      <c r="A529" s="6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</row>
    <row r="530" spans="1:21" ht="13" x14ac:dyDescent="0.15">
      <c r="A530" s="6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</row>
    <row r="531" spans="1:21" ht="13" x14ac:dyDescent="0.15">
      <c r="A531" s="6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</row>
    <row r="532" spans="1:21" ht="13" x14ac:dyDescent="0.15">
      <c r="A532" s="6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</row>
    <row r="533" spans="1:21" ht="13" x14ac:dyDescent="0.15">
      <c r="A533" s="6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</row>
    <row r="534" spans="1:21" ht="13" x14ac:dyDescent="0.15">
      <c r="A534" s="6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</row>
    <row r="535" spans="1:21" ht="13" x14ac:dyDescent="0.15">
      <c r="A535" s="6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</row>
    <row r="536" spans="1:21" ht="13" x14ac:dyDescent="0.15">
      <c r="A536" s="6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</row>
    <row r="537" spans="1:21" ht="13" x14ac:dyDescent="0.15">
      <c r="A537" s="6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</row>
    <row r="538" spans="1:21" ht="13" x14ac:dyDescent="0.15">
      <c r="A538" s="6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</row>
    <row r="539" spans="1:21" ht="13" x14ac:dyDescent="0.15">
      <c r="A539" s="6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</row>
    <row r="540" spans="1:21" ht="13" x14ac:dyDescent="0.15">
      <c r="A540" s="6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</row>
    <row r="541" spans="1:21" ht="13" x14ac:dyDescent="0.15">
      <c r="A541" s="6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</row>
    <row r="542" spans="1:21" ht="13" x14ac:dyDescent="0.15">
      <c r="A542" s="6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</row>
    <row r="543" spans="1:21" ht="13" x14ac:dyDescent="0.15">
      <c r="A543" s="6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</row>
    <row r="544" spans="1:21" ht="13" x14ac:dyDescent="0.15">
      <c r="A544" s="6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</row>
    <row r="545" spans="1:21" ht="13" x14ac:dyDescent="0.15">
      <c r="A545" s="6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</row>
    <row r="546" spans="1:21" ht="13" x14ac:dyDescent="0.15">
      <c r="A546" s="6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</row>
    <row r="547" spans="1:21" ht="13" x14ac:dyDescent="0.15">
      <c r="A547" s="6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</row>
    <row r="548" spans="1:21" ht="13" x14ac:dyDescent="0.15">
      <c r="A548" s="6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</row>
    <row r="549" spans="1:21" ht="13" x14ac:dyDescent="0.15">
      <c r="A549" s="6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</row>
    <row r="550" spans="1:21" ht="13" x14ac:dyDescent="0.15">
      <c r="A550" s="6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</row>
    <row r="551" spans="1:21" ht="13" x14ac:dyDescent="0.15">
      <c r="A551" s="6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</row>
    <row r="552" spans="1:21" ht="13" x14ac:dyDescent="0.15">
      <c r="A552" s="6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</row>
    <row r="553" spans="1:21" ht="13" x14ac:dyDescent="0.15">
      <c r="A553" s="6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</row>
    <row r="554" spans="1:21" ht="13" x14ac:dyDescent="0.15">
      <c r="A554" s="6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</row>
    <row r="555" spans="1:21" ht="13" x14ac:dyDescent="0.15">
      <c r="A555" s="6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</row>
    <row r="556" spans="1:21" ht="13" x14ac:dyDescent="0.15">
      <c r="A556" s="6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</row>
    <row r="557" spans="1:21" ht="13" x14ac:dyDescent="0.15">
      <c r="A557" s="6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</row>
    <row r="558" spans="1:21" ht="13" x14ac:dyDescent="0.15">
      <c r="A558" s="6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</row>
    <row r="559" spans="1:21" ht="13" x14ac:dyDescent="0.15">
      <c r="A559" s="6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</row>
    <row r="560" spans="1:21" ht="13" x14ac:dyDescent="0.15">
      <c r="A560" s="6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</row>
    <row r="561" spans="1:21" ht="13" x14ac:dyDescent="0.15">
      <c r="A561" s="6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</row>
    <row r="562" spans="1:21" ht="13" x14ac:dyDescent="0.15">
      <c r="A562" s="6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</row>
    <row r="563" spans="1:21" ht="13" x14ac:dyDescent="0.15">
      <c r="A563" s="6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</row>
    <row r="564" spans="1:21" ht="13" x14ac:dyDescent="0.15">
      <c r="A564" s="6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</row>
    <row r="565" spans="1:21" ht="13" x14ac:dyDescent="0.15">
      <c r="A565" s="6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</row>
    <row r="566" spans="1:21" ht="13" x14ac:dyDescent="0.15">
      <c r="A566" s="6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</row>
    <row r="567" spans="1:21" ht="13" x14ac:dyDescent="0.15">
      <c r="A567" s="6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</row>
    <row r="568" spans="1:21" ht="13" x14ac:dyDescent="0.15">
      <c r="A568" s="6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</row>
    <row r="569" spans="1:21" ht="13" x14ac:dyDescent="0.15">
      <c r="A569" s="6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</row>
    <row r="570" spans="1:21" ht="13" x14ac:dyDescent="0.15">
      <c r="A570" s="6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</row>
    <row r="571" spans="1:21" ht="13" x14ac:dyDescent="0.15">
      <c r="A571" s="6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</row>
    <row r="572" spans="1:21" ht="13" x14ac:dyDescent="0.15">
      <c r="A572" s="6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</row>
    <row r="573" spans="1:21" ht="13" x14ac:dyDescent="0.15">
      <c r="A573" s="6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</row>
    <row r="574" spans="1:21" ht="13" x14ac:dyDescent="0.15">
      <c r="A574" s="6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</row>
    <row r="575" spans="1:21" ht="13" x14ac:dyDescent="0.15">
      <c r="A575" s="6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</row>
    <row r="576" spans="1:21" ht="13" x14ac:dyDescent="0.15">
      <c r="A576" s="6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</row>
    <row r="577" spans="1:21" ht="13" x14ac:dyDescent="0.15">
      <c r="A577" s="6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</row>
    <row r="578" spans="1:21" ht="13" x14ac:dyDescent="0.15">
      <c r="A578" s="6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</row>
    <row r="579" spans="1:21" ht="13" x14ac:dyDescent="0.15">
      <c r="A579" s="6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</row>
    <row r="580" spans="1:21" ht="13" x14ac:dyDescent="0.15">
      <c r="A580" s="6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</row>
    <row r="581" spans="1:21" ht="13" x14ac:dyDescent="0.15">
      <c r="A581" s="6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</row>
    <row r="582" spans="1:21" ht="13" x14ac:dyDescent="0.15">
      <c r="A582" s="6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</row>
    <row r="583" spans="1:21" ht="13" x14ac:dyDescent="0.15">
      <c r="A583" s="6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</row>
    <row r="584" spans="1:21" ht="13" x14ac:dyDescent="0.15">
      <c r="A584" s="6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</row>
    <row r="585" spans="1:21" ht="13" x14ac:dyDescent="0.15">
      <c r="A585" s="6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</row>
    <row r="586" spans="1:21" ht="13" x14ac:dyDescent="0.15">
      <c r="A586" s="6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</row>
    <row r="587" spans="1:21" ht="13" x14ac:dyDescent="0.15">
      <c r="A587" s="6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</row>
    <row r="588" spans="1:21" ht="13" x14ac:dyDescent="0.15">
      <c r="A588" s="6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</row>
    <row r="589" spans="1:21" ht="13" x14ac:dyDescent="0.15">
      <c r="A589" s="6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</row>
    <row r="590" spans="1:21" ht="13" x14ac:dyDescent="0.15">
      <c r="A590" s="6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</row>
    <row r="591" spans="1:21" ht="13" x14ac:dyDescent="0.15">
      <c r="A591" s="6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</row>
    <row r="592" spans="1:21" ht="13" x14ac:dyDescent="0.15">
      <c r="A592" s="6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</row>
    <row r="593" spans="1:21" ht="13" x14ac:dyDescent="0.15">
      <c r="A593" s="6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</row>
    <row r="594" spans="1:21" ht="13" x14ac:dyDescent="0.15">
      <c r="A594" s="6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</row>
    <row r="595" spans="1:21" ht="13" x14ac:dyDescent="0.15">
      <c r="A595" s="6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</row>
    <row r="596" spans="1:21" ht="13" x14ac:dyDescent="0.15">
      <c r="A596" s="6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</row>
    <row r="597" spans="1:21" ht="13" x14ac:dyDescent="0.15">
      <c r="A597" s="6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</row>
    <row r="598" spans="1:21" ht="13" x14ac:dyDescent="0.15">
      <c r="A598" s="6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</row>
    <row r="599" spans="1:21" ht="13" x14ac:dyDescent="0.15">
      <c r="A599" s="6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</row>
    <row r="600" spans="1:21" ht="13" x14ac:dyDescent="0.15">
      <c r="A600" s="6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</row>
    <row r="601" spans="1:21" ht="13" x14ac:dyDescent="0.15">
      <c r="A601" s="6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</row>
    <row r="602" spans="1:21" ht="13" x14ac:dyDescent="0.15">
      <c r="A602" s="6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</row>
    <row r="603" spans="1:21" ht="13" x14ac:dyDescent="0.15">
      <c r="A603" s="6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</row>
    <row r="604" spans="1:21" ht="13" x14ac:dyDescent="0.15">
      <c r="A604" s="6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</row>
    <row r="605" spans="1:21" ht="13" x14ac:dyDescent="0.15">
      <c r="A605" s="6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</row>
    <row r="606" spans="1:21" ht="13" x14ac:dyDescent="0.15">
      <c r="A606" s="6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</row>
    <row r="607" spans="1:21" ht="13" x14ac:dyDescent="0.15">
      <c r="A607" s="6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</row>
    <row r="608" spans="1:21" ht="13" x14ac:dyDescent="0.15">
      <c r="A608" s="6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</row>
    <row r="609" spans="1:21" ht="13" x14ac:dyDescent="0.15">
      <c r="A609" s="6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</row>
    <row r="610" spans="1:21" ht="13" x14ac:dyDescent="0.15">
      <c r="A610" s="6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</row>
    <row r="611" spans="1:21" ht="13" x14ac:dyDescent="0.15">
      <c r="A611" s="6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</row>
    <row r="612" spans="1:21" ht="13" x14ac:dyDescent="0.15">
      <c r="A612" s="6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</row>
    <row r="613" spans="1:21" ht="13" x14ac:dyDescent="0.15">
      <c r="A613" s="6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</row>
    <row r="614" spans="1:21" ht="13" x14ac:dyDescent="0.15">
      <c r="A614" s="6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</row>
    <row r="615" spans="1:21" ht="13" x14ac:dyDescent="0.15">
      <c r="A615" s="6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</row>
    <row r="616" spans="1:21" ht="13" x14ac:dyDescent="0.15">
      <c r="A616" s="6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</row>
    <row r="617" spans="1:21" ht="13" x14ac:dyDescent="0.15">
      <c r="A617" s="6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</row>
    <row r="618" spans="1:21" ht="13" x14ac:dyDescent="0.15">
      <c r="A618" s="6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</row>
    <row r="619" spans="1:21" ht="13" x14ac:dyDescent="0.15">
      <c r="A619" s="6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</row>
    <row r="620" spans="1:21" ht="13" x14ac:dyDescent="0.15">
      <c r="A620" s="6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</row>
    <row r="621" spans="1:21" ht="13" x14ac:dyDescent="0.15">
      <c r="A621" s="6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</row>
    <row r="622" spans="1:21" ht="13" x14ac:dyDescent="0.15">
      <c r="A622" s="6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</row>
    <row r="623" spans="1:21" ht="13" x14ac:dyDescent="0.15">
      <c r="A623" s="6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</row>
    <row r="624" spans="1:21" ht="13" x14ac:dyDescent="0.15">
      <c r="A624" s="6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</row>
    <row r="625" spans="1:21" ht="13" x14ac:dyDescent="0.15">
      <c r="A625" s="6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</row>
    <row r="626" spans="1:21" ht="13" x14ac:dyDescent="0.15">
      <c r="A626" s="6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</row>
    <row r="627" spans="1:21" ht="13" x14ac:dyDescent="0.15">
      <c r="A627" s="6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</row>
    <row r="628" spans="1:21" ht="13" x14ac:dyDescent="0.15">
      <c r="A628" s="6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</row>
    <row r="629" spans="1:21" ht="13" x14ac:dyDescent="0.15">
      <c r="A629" s="6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</row>
    <row r="630" spans="1:21" ht="13" x14ac:dyDescent="0.15">
      <c r="A630" s="6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</row>
    <row r="631" spans="1:21" ht="13" x14ac:dyDescent="0.15">
      <c r="A631" s="6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</row>
    <row r="632" spans="1:21" ht="13" x14ac:dyDescent="0.15">
      <c r="A632" s="6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</row>
    <row r="633" spans="1:21" ht="13" x14ac:dyDescent="0.15">
      <c r="A633" s="6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</row>
    <row r="634" spans="1:21" ht="13" x14ac:dyDescent="0.15">
      <c r="A634" s="6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</row>
    <row r="635" spans="1:21" ht="13" x14ac:dyDescent="0.15">
      <c r="A635" s="6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</row>
    <row r="636" spans="1:21" ht="13" x14ac:dyDescent="0.15">
      <c r="A636" s="6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</row>
    <row r="637" spans="1:21" ht="13" x14ac:dyDescent="0.15">
      <c r="A637" s="6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</row>
    <row r="638" spans="1:21" ht="13" x14ac:dyDescent="0.15">
      <c r="A638" s="6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</row>
    <row r="639" spans="1:21" ht="13" x14ac:dyDescent="0.15">
      <c r="A639" s="6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</row>
    <row r="640" spans="1:21" ht="13" x14ac:dyDescent="0.15">
      <c r="A640" s="6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</row>
    <row r="641" spans="1:21" ht="13" x14ac:dyDescent="0.15">
      <c r="A641" s="6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</row>
    <row r="642" spans="1:21" ht="13" x14ac:dyDescent="0.15">
      <c r="A642" s="6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</row>
    <row r="643" spans="1:21" ht="13" x14ac:dyDescent="0.15">
      <c r="A643" s="6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</row>
    <row r="644" spans="1:21" ht="13" x14ac:dyDescent="0.15">
      <c r="A644" s="6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</row>
    <row r="645" spans="1:21" ht="13" x14ac:dyDescent="0.15">
      <c r="A645" s="6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</row>
    <row r="646" spans="1:21" ht="13" x14ac:dyDescent="0.15">
      <c r="A646" s="6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</row>
    <row r="647" spans="1:21" ht="13" x14ac:dyDescent="0.15">
      <c r="A647" s="6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</row>
    <row r="648" spans="1:21" ht="13" x14ac:dyDescent="0.15">
      <c r="A648" s="6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</row>
    <row r="649" spans="1:21" ht="13" x14ac:dyDescent="0.15">
      <c r="A649" s="6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</row>
    <row r="650" spans="1:21" ht="13" x14ac:dyDescent="0.15">
      <c r="A650" s="6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</row>
    <row r="651" spans="1:21" ht="13" x14ac:dyDescent="0.15">
      <c r="A651" s="6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</row>
    <row r="652" spans="1:21" ht="13" x14ac:dyDescent="0.15">
      <c r="A652" s="6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</row>
    <row r="653" spans="1:21" ht="13" x14ac:dyDescent="0.15">
      <c r="A653" s="6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</row>
    <row r="654" spans="1:21" ht="13" x14ac:dyDescent="0.15">
      <c r="A654" s="6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</row>
    <row r="655" spans="1:21" ht="13" x14ac:dyDescent="0.15">
      <c r="A655" s="6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</row>
    <row r="656" spans="1:21" ht="13" x14ac:dyDescent="0.15">
      <c r="A656" s="6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</row>
    <row r="657" spans="1:21" ht="13" x14ac:dyDescent="0.15">
      <c r="A657" s="6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</row>
    <row r="658" spans="1:21" ht="13" x14ac:dyDescent="0.15">
      <c r="A658" s="6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</row>
    <row r="659" spans="1:21" ht="13" x14ac:dyDescent="0.15">
      <c r="A659" s="6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</row>
    <row r="660" spans="1:21" ht="13" x14ac:dyDescent="0.15">
      <c r="A660" s="6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</row>
    <row r="661" spans="1:21" ht="13" x14ac:dyDescent="0.15">
      <c r="A661" s="6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</row>
    <row r="662" spans="1:21" ht="13" x14ac:dyDescent="0.15">
      <c r="A662" s="6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</row>
    <row r="663" spans="1:21" ht="13" x14ac:dyDescent="0.15">
      <c r="A663" s="6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</row>
    <row r="664" spans="1:21" ht="13" x14ac:dyDescent="0.15">
      <c r="A664" s="6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</row>
    <row r="665" spans="1:21" ht="13" x14ac:dyDescent="0.15">
      <c r="A665" s="6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</row>
    <row r="666" spans="1:21" ht="13" x14ac:dyDescent="0.15">
      <c r="A666" s="6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</row>
    <row r="667" spans="1:21" ht="13" x14ac:dyDescent="0.15">
      <c r="A667" s="6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</row>
    <row r="668" spans="1:21" ht="13" x14ac:dyDescent="0.15">
      <c r="A668" s="6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</row>
    <row r="669" spans="1:21" ht="13" x14ac:dyDescent="0.15">
      <c r="A669" s="6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</row>
    <row r="670" spans="1:21" ht="13" x14ac:dyDescent="0.15">
      <c r="A670" s="6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</row>
    <row r="671" spans="1:21" ht="13" x14ac:dyDescent="0.15">
      <c r="A671" s="6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</row>
    <row r="672" spans="1:21" ht="13" x14ac:dyDescent="0.15">
      <c r="A672" s="6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</row>
    <row r="673" spans="1:21" ht="13" x14ac:dyDescent="0.15">
      <c r="A673" s="6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</row>
    <row r="674" spans="1:21" ht="13" x14ac:dyDescent="0.15">
      <c r="A674" s="6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</row>
    <row r="675" spans="1:21" ht="13" x14ac:dyDescent="0.15">
      <c r="A675" s="62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</row>
    <row r="676" spans="1:21" ht="13" x14ac:dyDescent="0.15">
      <c r="A676" s="62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</row>
    <row r="677" spans="1:21" ht="13" x14ac:dyDescent="0.15">
      <c r="A677" s="62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</row>
    <row r="678" spans="1:21" ht="13" x14ac:dyDescent="0.15">
      <c r="A678" s="62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</row>
    <row r="679" spans="1:21" ht="13" x14ac:dyDescent="0.15">
      <c r="A679" s="62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</row>
    <row r="680" spans="1:21" ht="13" x14ac:dyDescent="0.15">
      <c r="A680" s="62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</row>
    <row r="681" spans="1:21" ht="13" x14ac:dyDescent="0.15">
      <c r="A681" s="62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</row>
    <row r="682" spans="1:21" ht="13" x14ac:dyDescent="0.15">
      <c r="A682" s="62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</row>
    <row r="683" spans="1:21" ht="13" x14ac:dyDescent="0.15">
      <c r="A683" s="62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</row>
    <row r="684" spans="1:21" ht="13" x14ac:dyDescent="0.15">
      <c r="A684" s="62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</row>
    <row r="685" spans="1:21" ht="13" x14ac:dyDescent="0.15">
      <c r="A685" s="62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</row>
    <row r="686" spans="1:21" ht="13" x14ac:dyDescent="0.15">
      <c r="A686" s="62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</row>
    <row r="687" spans="1:21" ht="13" x14ac:dyDescent="0.15">
      <c r="A687" s="62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</row>
    <row r="688" spans="1:21" ht="13" x14ac:dyDescent="0.15">
      <c r="A688" s="62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</row>
    <row r="689" spans="1:21" ht="13" x14ac:dyDescent="0.15">
      <c r="A689" s="62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</row>
    <row r="690" spans="1:21" ht="13" x14ac:dyDescent="0.15">
      <c r="A690" s="62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</row>
    <row r="691" spans="1:21" ht="13" x14ac:dyDescent="0.15">
      <c r="A691" s="62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</row>
    <row r="692" spans="1:21" ht="13" x14ac:dyDescent="0.15">
      <c r="A692" s="62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</row>
    <row r="693" spans="1:21" ht="13" x14ac:dyDescent="0.15">
      <c r="A693" s="62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</row>
    <row r="694" spans="1:21" ht="13" x14ac:dyDescent="0.15">
      <c r="A694" s="62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</row>
    <row r="695" spans="1:21" ht="13" x14ac:dyDescent="0.15">
      <c r="A695" s="62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</row>
    <row r="696" spans="1:21" ht="13" x14ac:dyDescent="0.15">
      <c r="A696" s="62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</row>
    <row r="697" spans="1:21" ht="13" x14ac:dyDescent="0.15">
      <c r="A697" s="62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</row>
    <row r="698" spans="1:21" ht="13" x14ac:dyDescent="0.15">
      <c r="A698" s="62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</row>
    <row r="699" spans="1:21" ht="13" x14ac:dyDescent="0.15">
      <c r="A699" s="62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</row>
    <row r="700" spans="1:21" ht="13" x14ac:dyDescent="0.15">
      <c r="A700" s="62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</row>
    <row r="701" spans="1:21" ht="13" x14ac:dyDescent="0.15">
      <c r="A701" s="62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</row>
    <row r="702" spans="1:21" ht="13" x14ac:dyDescent="0.15">
      <c r="A702" s="62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</row>
    <row r="703" spans="1:21" ht="13" x14ac:dyDescent="0.15">
      <c r="A703" s="62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</row>
    <row r="704" spans="1:21" ht="13" x14ac:dyDescent="0.15">
      <c r="A704" s="62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</row>
    <row r="705" spans="1:21" ht="13" x14ac:dyDescent="0.15">
      <c r="A705" s="62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</row>
    <row r="706" spans="1:21" ht="13" x14ac:dyDescent="0.15">
      <c r="A706" s="62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</row>
    <row r="707" spans="1:21" ht="13" x14ac:dyDescent="0.15">
      <c r="A707" s="62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</row>
    <row r="708" spans="1:21" ht="13" x14ac:dyDescent="0.15">
      <c r="A708" s="62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</row>
    <row r="709" spans="1:21" ht="13" x14ac:dyDescent="0.15">
      <c r="A709" s="62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</row>
    <row r="710" spans="1:21" ht="13" x14ac:dyDescent="0.15">
      <c r="A710" s="62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</row>
    <row r="711" spans="1:21" ht="13" x14ac:dyDescent="0.15">
      <c r="A711" s="62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</row>
    <row r="712" spans="1:21" ht="13" x14ac:dyDescent="0.15">
      <c r="A712" s="62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</row>
    <row r="713" spans="1:21" ht="13" x14ac:dyDescent="0.15">
      <c r="A713" s="62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</row>
    <row r="714" spans="1:21" ht="13" x14ac:dyDescent="0.15">
      <c r="A714" s="62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</row>
    <row r="715" spans="1:21" ht="13" x14ac:dyDescent="0.15">
      <c r="A715" s="62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</row>
    <row r="716" spans="1:21" ht="13" x14ac:dyDescent="0.15">
      <c r="A716" s="62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</row>
    <row r="717" spans="1:21" ht="13" x14ac:dyDescent="0.15">
      <c r="A717" s="62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</row>
    <row r="718" spans="1:21" ht="13" x14ac:dyDescent="0.15">
      <c r="A718" s="62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</row>
    <row r="719" spans="1:21" ht="13" x14ac:dyDescent="0.15">
      <c r="A719" s="62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</row>
    <row r="720" spans="1:21" ht="13" x14ac:dyDescent="0.15">
      <c r="A720" s="62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</row>
    <row r="721" spans="1:21" ht="13" x14ac:dyDescent="0.15">
      <c r="A721" s="62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</row>
    <row r="722" spans="1:21" ht="13" x14ac:dyDescent="0.15">
      <c r="A722" s="62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</row>
    <row r="723" spans="1:21" ht="13" x14ac:dyDescent="0.15">
      <c r="A723" s="62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</row>
    <row r="724" spans="1:21" ht="13" x14ac:dyDescent="0.15">
      <c r="A724" s="62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</row>
    <row r="725" spans="1:21" ht="13" x14ac:dyDescent="0.15">
      <c r="A725" s="62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</row>
    <row r="726" spans="1:21" ht="13" x14ac:dyDescent="0.15">
      <c r="A726" s="62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</row>
    <row r="727" spans="1:21" ht="13" x14ac:dyDescent="0.15">
      <c r="A727" s="62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</row>
    <row r="728" spans="1:21" ht="13" x14ac:dyDescent="0.15">
      <c r="A728" s="62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</row>
    <row r="729" spans="1:21" ht="13" x14ac:dyDescent="0.15">
      <c r="A729" s="62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</row>
    <row r="730" spans="1:21" ht="13" x14ac:dyDescent="0.15">
      <c r="A730" s="62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</row>
    <row r="731" spans="1:21" ht="13" x14ac:dyDescent="0.15">
      <c r="A731" s="62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</row>
    <row r="732" spans="1:21" ht="13" x14ac:dyDescent="0.15">
      <c r="A732" s="62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</row>
    <row r="733" spans="1:21" ht="13" x14ac:dyDescent="0.15">
      <c r="A733" s="62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</row>
    <row r="734" spans="1:21" ht="13" x14ac:dyDescent="0.15">
      <c r="A734" s="62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</row>
    <row r="735" spans="1:21" ht="13" x14ac:dyDescent="0.15">
      <c r="A735" s="62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</row>
    <row r="736" spans="1:21" ht="13" x14ac:dyDescent="0.15">
      <c r="A736" s="62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</row>
    <row r="737" spans="1:21" ht="13" x14ac:dyDescent="0.15">
      <c r="A737" s="62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</row>
    <row r="738" spans="1:21" ht="13" x14ac:dyDescent="0.15">
      <c r="A738" s="62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</row>
    <row r="739" spans="1:21" ht="13" x14ac:dyDescent="0.15">
      <c r="A739" s="62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</row>
    <row r="740" spans="1:21" ht="13" x14ac:dyDescent="0.15">
      <c r="A740" s="62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</row>
    <row r="741" spans="1:21" ht="13" x14ac:dyDescent="0.15">
      <c r="A741" s="62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</row>
    <row r="742" spans="1:21" ht="13" x14ac:dyDescent="0.15">
      <c r="A742" s="62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</row>
    <row r="743" spans="1:21" ht="13" x14ac:dyDescent="0.15">
      <c r="A743" s="62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</row>
    <row r="744" spans="1:21" ht="13" x14ac:dyDescent="0.15">
      <c r="A744" s="62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</row>
    <row r="745" spans="1:21" ht="13" x14ac:dyDescent="0.15">
      <c r="A745" s="62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</row>
    <row r="746" spans="1:21" ht="13" x14ac:dyDescent="0.15">
      <c r="A746" s="62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</row>
    <row r="747" spans="1:21" ht="13" x14ac:dyDescent="0.15">
      <c r="A747" s="62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</row>
    <row r="748" spans="1:21" ht="13" x14ac:dyDescent="0.15">
      <c r="A748" s="62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</row>
    <row r="749" spans="1:21" ht="13" x14ac:dyDescent="0.15">
      <c r="A749" s="62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</row>
    <row r="750" spans="1:21" ht="13" x14ac:dyDescent="0.15">
      <c r="A750" s="62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</row>
    <row r="751" spans="1:21" ht="13" x14ac:dyDescent="0.15">
      <c r="A751" s="62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</row>
    <row r="752" spans="1:21" ht="13" x14ac:dyDescent="0.15">
      <c r="A752" s="62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</row>
    <row r="753" spans="1:21" ht="13" x14ac:dyDescent="0.15">
      <c r="A753" s="62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</row>
    <row r="754" spans="1:21" ht="13" x14ac:dyDescent="0.15">
      <c r="A754" s="62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</row>
    <row r="755" spans="1:21" ht="13" x14ac:dyDescent="0.15">
      <c r="A755" s="62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</row>
    <row r="756" spans="1:21" ht="13" x14ac:dyDescent="0.15">
      <c r="A756" s="62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</row>
    <row r="757" spans="1:21" ht="13" x14ac:dyDescent="0.15">
      <c r="A757" s="62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</row>
    <row r="758" spans="1:21" ht="13" x14ac:dyDescent="0.15">
      <c r="A758" s="62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</row>
    <row r="759" spans="1:21" ht="13" x14ac:dyDescent="0.15">
      <c r="A759" s="62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</row>
    <row r="760" spans="1:21" ht="13" x14ac:dyDescent="0.15">
      <c r="A760" s="62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</row>
    <row r="761" spans="1:21" ht="13" x14ac:dyDescent="0.15">
      <c r="A761" s="62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</row>
    <row r="762" spans="1:21" ht="13" x14ac:dyDescent="0.15">
      <c r="A762" s="62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</row>
    <row r="763" spans="1:21" ht="13" x14ac:dyDescent="0.15">
      <c r="A763" s="62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</row>
    <row r="764" spans="1:21" ht="13" x14ac:dyDescent="0.15">
      <c r="A764" s="62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</row>
    <row r="765" spans="1:21" ht="13" x14ac:dyDescent="0.15">
      <c r="A765" s="62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</row>
    <row r="766" spans="1:21" ht="13" x14ac:dyDescent="0.15">
      <c r="A766" s="62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</row>
    <row r="767" spans="1:21" ht="13" x14ac:dyDescent="0.15">
      <c r="A767" s="62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</row>
    <row r="768" spans="1:21" ht="13" x14ac:dyDescent="0.15">
      <c r="A768" s="62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</row>
    <row r="769" spans="1:21" ht="13" x14ac:dyDescent="0.15">
      <c r="A769" s="62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</row>
    <row r="770" spans="1:21" ht="13" x14ac:dyDescent="0.15">
      <c r="A770" s="62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</row>
    <row r="771" spans="1:21" ht="13" x14ac:dyDescent="0.15">
      <c r="A771" s="62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</row>
    <row r="772" spans="1:21" ht="13" x14ac:dyDescent="0.15">
      <c r="A772" s="62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</row>
    <row r="773" spans="1:21" ht="13" x14ac:dyDescent="0.15">
      <c r="A773" s="62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</row>
    <row r="774" spans="1:21" ht="13" x14ac:dyDescent="0.15">
      <c r="A774" s="62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</row>
    <row r="775" spans="1:21" ht="13" x14ac:dyDescent="0.15">
      <c r="A775" s="62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</row>
    <row r="776" spans="1:21" ht="13" x14ac:dyDescent="0.15">
      <c r="A776" s="62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</row>
    <row r="777" spans="1:21" ht="13" x14ac:dyDescent="0.15">
      <c r="A777" s="62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</row>
    <row r="778" spans="1:21" ht="13" x14ac:dyDescent="0.15">
      <c r="A778" s="62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</row>
    <row r="779" spans="1:21" ht="13" x14ac:dyDescent="0.15">
      <c r="A779" s="62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</row>
    <row r="780" spans="1:21" ht="13" x14ac:dyDescent="0.15">
      <c r="A780" s="62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</row>
    <row r="781" spans="1:21" ht="13" x14ac:dyDescent="0.15">
      <c r="A781" s="62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</row>
    <row r="782" spans="1:21" ht="13" x14ac:dyDescent="0.15">
      <c r="A782" s="62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</row>
    <row r="783" spans="1:21" ht="13" x14ac:dyDescent="0.15">
      <c r="A783" s="62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</row>
    <row r="784" spans="1:21" ht="13" x14ac:dyDescent="0.15">
      <c r="A784" s="62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</row>
    <row r="785" spans="1:21" ht="13" x14ac:dyDescent="0.15">
      <c r="A785" s="62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</row>
    <row r="786" spans="1:21" ht="13" x14ac:dyDescent="0.15">
      <c r="A786" s="62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</row>
    <row r="787" spans="1:21" ht="13" x14ac:dyDescent="0.15">
      <c r="A787" s="62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</row>
    <row r="788" spans="1:21" ht="13" x14ac:dyDescent="0.15">
      <c r="A788" s="62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</row>
    <row r="789" spans="1:21" ht="13" x14ac:dyDescent="0.15">
      <c r="A789" s="62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</row>
    <row r="790" spans="1:21" ht="13" x14ac:dyDescent="0.15">
      <c r="A790" s="62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</row>
    <row r="791" spans="1:21" ht="13" x14ac:dyDescent="0.15">
      <c r="A791" s="62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</row>
    <row r="792" spans="1:21" ht="13" x14ac:dyDescent="0.15">
      <c r="A792" s="62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</row>
    <row r="793" spans="1:21" ht="13" x14ac:dyDescent="0.15">
      <c r="A793" s="62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</row>
    <row r="794" spans="1:21" ht="13" x14ac:dyDescent="0.15">
      <c r="A794" s="62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</row>
    <row r="795" spans="1:21" ht="13" x14ac:dyDescent="0.15">
      <c r="A795" s="62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</row>
    <row r="796" spans="1:21" ht="13" x14ac:dyDescent="0.15">
      <c r="A796" s="62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</row>
    <row r="797" spans="1:21" ht="13" x14ac:dyDescent="0.15">
      <c r="A797" s="62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</row>
    <row r="798" spans="1:21" ht="13" x14ac:dyDescent="0.15">
      <c r="A798" s="62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</row>
    <row r="799" spans="1:21" ht="13" x14ac:dyDescent="0.15">
      <c r="A799" s="62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</row>
    <row r="800" spans="1:21" ht="13" x14ac:dyDescent="0.15">
      <c r="A800" s="62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</row>
    <row r="801" spans="1:21" ht="13" x14ac:dyDescent="0.15">
      <c r="A801" s="62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</row>
    <row r="802" spans="1:21" ht="13" x14ac:dyDescent="0.15">
      <c r="A802" s="62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</row>
    <row r="803" spans="1:21" ht="13" x14ac:dyDescent="0.15">
      <c r="A803" s="62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</row>
    <row r="804" spans="1:21" ht="13" x14ac:dyDescent="0.15">
      <c r="A804" s="62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</row>
    <row r="805" spans="1:21" ht="13" x14ac:dyDescent="0.15">
      <c r="A805" s="62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</row>
    <row r="806" spans="1:21" ht="13" x14ac:dyDescent="0.15">
      <c r="A806" s="62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</row>
    <row r="807" spans="1:21" ht="13" x14ac:dyDescent="0.15">
      <c r="A807" s="62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</row>
    <row r="808" spans="1:21" ht="13" x14ac:dyDescent="0.15">
      <c r="A808" s="62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</row>
    <row r="809" spans="1:21" ht="13" x14ac:dyDescent="0.15">
      <c r="A809" s="62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</row>
    <row r="810" spans="1:21" ht="13" x14ac:dyDescent="0.15">
      <c r="A810" s="62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</row>
    <row r="811" spans="1:21" ht="13" x14ac:dyDescent="0.15">
      <c r="A811" s="62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</row>
    <row r="812" spans="1:21" ht="13" x14ac:dyDescent="0.15">
      <c r="A812" s="62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</row>
    <row r="813" spans="1:21" ht="13" x14ac:dyDescent="0.15">
      <c r="A813" s="62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</row>
    <row r="814" spans="1:21" ht="13" x14ac:dyDescent="0.15">
      <c r="A814" s="62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</row>
    <row r="815" spans="1:21" ht="13" x14ac:dyDescent="0.15">
      <c r="A815" s="62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</row>
    <row r="816" spans="1:21" ht="13" x14ac:dyDescent="0.15">
      <c r="A816" s="62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</row>
    <row r="817" spans="1:21" ht="13" x14ac:dyDescent="0.15">
      <c r="A817" s="62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</row>
    <row r="818" spans="1:21" ht="13" x14ac:dyDescent="0.15">
      <c r="A818" s="62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</row>
    <row r="819" spans="1:21" ht="13" x14ac:dyDescent="0.15">
      <c r="A819" s="62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</row>
    <row r="820" spans="1:21" ht="13" x14ac:dyDescent="0.15">
      <c r="A820" s="62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</row>
    <row r="821" spans="1:21" ht="13" x14ac:dyDescent="0.15">
      <c r="A821" s="62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</row>
    <row r="822" spans="1:21" ht="13" x14ac:dyDescent="0.15">
      <c r="A822" s="62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</row>
    <row r="823" spans="1:21" ht="13" x14ac:dyDescent="0.15">
      <c r="A823" s="62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</row>
    <row r="824" spans="1:21" ht="13" x14ac:dyDescent="0.15">
      <c r="A824" s="62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</row>
    <row r="825" spans="1:21" ht="13" x14ac:dyDescent="0.15">
      <c r="A825" s="62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</row>
    <row r="826" spans="1:21" ht="13" x14ac:dyDescent="0.15">
      <c r="A826" s="62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</row>
    <row r="827" spans="1:21" ht="13" x14ac:dyDescent="0.15">
      <c r="A827" s="62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</row>
    <row r="828" spans="1:21" ht="13" x14ac:dyDescent="0.15">
      <c r="A828" s="62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</row>
    <row r="829" spans="1:21" ht="13" x14ac:dyDescent="0.15">
      <c r="A829" s="62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</row>
    <row r="830" spans="1:21" ht="13" x14ac:dyDescent="0.15">
      <c r="A830" s="62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</row>
    <row r="831" spans="1:21" ht="13" x14ac:dyDescent="0.15">
      <c r="A831" s="62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</row>
    <row r="832" spans="1:21" ht="13" x14ac:dyDescent="0.15">
      <c r="A832" s="62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</row>
    <row r="833" spans="1:21" ht="13" x14ac:dyDescent="0.15">
      <c r="A833" s="62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</row>
    <row r="834" spans="1:21" ht="13" x14ac:dyDescent="0.15">
      <c r="A834" s="62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</row>
    <row r="835" spans="1:21" ht="13" x14ac:dyDescent="0.15">
      <c r="A835" s="62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</row>
    <row r="836" spans="1:21" ht="13" x14ac:dyDescent="0.15">
      <c r="A836" s="62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</row>
    <row r="837" spans="1:21" ht="13" x14ac:dyDescent="0.15">
      <c r="A837" s="62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</row>
    <row r="838" spans="1:21" ht="13" x14ac:dyDescent="0.15">
      <c r="A838" s="62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</row>
    <row r="839" spans="1:21" ht="13" x14ac:dyDescent="0.15">
      <c r="A839" s="62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</row>
    <row r="840" spans="1:21" ht="13" x14ac:dyDescent="0.15">
      <c r="A840" s="62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</row>
    <row r="841" spans="1:21" ht="13" x14ac:dyDescent="0.15">
      <c r="A841" s="62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</row>
    <row r="842" spans="1:21" ht="13" x14ac:dyDescent="0.15">
      <c r="A842" s="62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</row>
    <row r="843" spans="1:21" ht="13" x14ac:dyDescent="0.15">
      <c r="A843" s="62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</row>
    <row r="844" spans="1:21" ht="13" x14ac:dyDescent="0.15">
      <c r="A844" s="62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</row>
    <row r="845" spans="1:21" ht="13" x14ac:dyDescent="0.15">
      <c r="A845" s="62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</row>
    <row r="846" spans="1:21" ht="13" x14ac:dyDescent="0.15">
      <c r="A846" s="62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</row>
    <row r="847" spans="1:21" ht="13" x14ac:dyDescent="0.15">
      <c r="A847" s="62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</row>
    <row r="848" spans="1:21" ht="13" x14ac:dyDescent="0.15">
      <c r="A848" s="62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</row>
    <row r="849" spans="1:21" ht="13" x14ac:dyDescent="0.15">
      <c r="A849" s="62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</row>
    <row r="850" spans="1:21" ht="13" x14ac:dyDescent="0.15">
      <c r="A850" s="62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</row>
    <row r="851" spans="1:21" ht="13" x14ac:dyDescent="0.15">
      <c r="A851" s="62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</row>
    <row r="852" spans="1:21" ht="13" x14ac:dyDescent="0.15">
      <c r="A852" s="62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</row>
    <row r="853" spans="1:21" ht="13" x14ac:dyDescent="0.15">
      <c r="A853" s="62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</row>
    <row r="854" spans="1:21" ht="13" x14ac:dyDescent="0.15">
      <c r="A854" s="62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</row>
    <row r="855" spans="1:21" ht="13" x14ac:dyDescent="0.15">
      <c r="A855" s="62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</row>
    <row r="856" spans="1:21" ht="13" x14ac:dyDescent="0.15">
      <c r="A856" s="62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</row>
    <row r="857" spans="1:21" ht="13" x14ac:dyDescent="0.15">
      <c r="A857" s="62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</row>
    <row r="858" spans="1:21" ht="13" x14ac:dyDescent="0.15">
      <c r="A858" s="62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</row>
    <row r="859" spans="1:21" ht="13" x14ac:dyDescent="0.15">
      <c r="A859" s="62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</row>
    <row r="860" spans="1:21" ht="13" x14ac:dyDescent="0.15">
      <c r="A860" s="62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</row>
    <row r="861" spans="1:21" ht="13" x14ac:dyDescent="0.15">
      <c r="A861" s="62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</row>
    <row r="862" spans="1:21" ht="13" x14ac:dyDescent="0.15">
      <c r="A862" s="62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</row>
    <row r="863" spans="1:21" ht="13" x14ac:dyDescent="0.15">
      <c r="A863" s="62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</row>
    <row r="864" spans="1:21" ht="13" x14ac:dyDescent="0.15">
      <c r="A864" s="62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</row>
    <row r="865" spans="1:21" ht="13" x14ac:dyDescent="0.15">
      <c r="A865" s="62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</row>
    <row r="866" spans="1:21" ht="13" x14ac:dyDescent="0.15">
      <c r="A866" s="62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</row>
    <row r="867" spans="1:21" ht="13" x14ac:dyDescent="0.15">
      <c r="A867" s="62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</row>
    <row r="868" spans="1:21" ht="13" x14ac:dyDescent="0.15">
      <c r="A868" s="62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</row>
    <row r="869" spans="1:21" ht="13" x14ac:dyDescent="0.15">
      <c r="A869" s="62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</row>
    <row r="870" spans="1:21" ht="13" x14ac:dyDescent="0.15">
      <c r="A870" s="62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</row>
    <row r="871" spans="1:21" ht="13" x14ac:dyDescent="0.15">
      <c r="A871" s="62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</row>
    <row r="872" spans="1:21" ht="13" x14ac:dyDescent="0.15">
      <c r="A872" s="62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</row>
    <row r="873" spans="1:21" ht="13" x14ac:dyDescent="0.15">
      <c r="A873" s="62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</row>
    <row r="874" spans="1:21" ht="13" x14ac:dyDescent="0.15">
      <c r="A874" s="62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</row>
    <row r="875" spans="1:21" ht="13" x14ac:dyDescent="0.15">
      <c r="A875" s="62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</row>
    <row r="876" spans="1:21" ht="13" x14ac:dyDescent="0.15">
      <c r="A876" s="62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</row>
    <row r="877" spans="1:21" ht="13" x14ac:dyDescent="0.15">
      <c r="A877" s="62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</row>
    <row r="878" spans="1:21" ht="13" x14ac:dyDescent="0.15">
      <c r="A878" s="62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</row>
    <row r="879" spans="1:21" ht="13" x14ac:dyDescent="0.15">
      <c r="A879" s="62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</row>
    <row r="880" spans="1:21" ht="13" x14ac:dyDescent="0.15">
      <c r="A880" s="62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</row>
    <row r="881" spans="1:21" ht="13" x14ac:dyDescent="0.15">
      <c r="A881" s="62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</row>
    <row r="882" spans="1:21" ht="13" x14ac:dyDescent="0.15">
      <c r="A882" s="62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</row>
    <row r="883" spans="1:21" ht="13" x14ac:dyDescent="0.15">
      <c r="A883" s="62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</row>
    <row r="884" spans="1:21" ht="13" x14ac:dyDescent="0.15">
      <c r="A884" s="62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</row>
    <row r="885" spans="1:21" ht="13" x14ac:dyDescent="0.15">
      <c r="A885" s="62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</row>
    <row r="886" spans="1:21" ht="13" x14ac:dyDescent="0.15">
      <c r="A886" s="62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</row>
    <row r="887" spans="1:21" ht="13" x14ac:dyDescent="0.15">
      <c r="A887" s="62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</row>
    <row r="888" spans="1:21" ht="13" x14ac:dyDescent="0.15">
      <c r="A888" s="62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</row>
    <row r="889" spans="1:21" ht="13" x14ac:dyDescent="0.15">
      <c r="A889" s="62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</row>
    <row r="890" spans="1:21" ht="13" x14ac:dyDescent="0.15">
      <c r="A890" s="62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</row>
    <row r="891" spans="1:21" ht="13" x14ac:dyDescent="0.15">
      <c r="A891" s="62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</row>
    <row r="892" spans="1:21" ht="13" x14ac:dyDescent="0.15">
      <c r="A892" s="62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</row>
    <row r="893" spans="1:21" ht="13" x14ac:dyDescent="0.15">
      <c r="A893" s="62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</row>
    <row r="894" spans="1:21" ht="13" x14ac:dyDescent="0.15">
      <c r="A894" s="62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</row>
    <row r="895" spans="1:21" ht="13" x14ac:dyDescent="0.15">
      <c r="A895" s="62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</row>
    <row r="896" spans="1:21" ht="13" x14ac:dyDescent="0.15">
      <c r="A896" s="62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</row>
    <row r="897" spans="1:21" ht="13" x14ac:dyDescent="0.15">
      <c r="A897" s="62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</row>
    <row r="898" spans="1:21" ht="13" x14ac:dyDescent="0.15">
      <c r="A898" s="62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</row>
    <row r="899" spans="1:21" ht="13" x14ac:dyDescent="0.15">
      <c r="A899" s="62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</row>
    <row r="900" spans="1:21" ht="13" x14ac:dyDescent="0.15">
      <c r="A900" s="62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</row>
    <row r="901" spans="1:21" ht="13" x14ac:dyDescent="0.15">
      <c r="A901" s="62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</row>
    <row r="902" spans="1:21" ht="13" x14ac:dyDescent="0.15">
      <c r="A902" s="62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</row>
    <row r="903" spans="1:21" ht="13" x14ac:dyDescent="0.15">
      <c r="A903" s="62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</row>
    <row r="904" spans="1:21" ht="13" x14ac:dyDescent="0.15">
      <c r="A904" s="62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</row>
    <row r="905" spans="1:21" ht="13" x14ac:dyDescent="0.15">
      <c r="A905" s="62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</row>
    <row r="906" spans="1:21" ht="13" x14ac:dyDescent="0.15">
      <c r="A906" s="62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</row>
    <row r="907" spans="1:21" ht="13" x14ac:dyDescent="0.15">
      <c r="A907" s="62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</row>
    <row r="908" spans="1:21" ht="13" x14ac:dyDescent="0.15">
      <c r="A908" s="62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</row>
    <row r="909" spans="1:21" ht="13" x14ac:dyDescent="0.15">
      <c r="A909" s="62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</row>
    <row r="910" spans="1:21" ht="13" x14ac:dyDescent="0.15">
      <c r="A910" s="62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</row>
    <row r="911" spans="1:21" ht="13" x14ac:dyDescent="0.15">
      <c r="A911" s="62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</row>
    <row r="912" spans="1:21" ht="13" x14ac:dyDescent="0.15">
      <c r="A912" s="62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</row>
    <row r="913" spans="1:21" ht="13" x14ac:dyDescent="0.15">
      <c r="A913" s="62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</row>
    <row r="914" spans="1:21" ht="13" x14ac:dyDescent="0.15">
      <c r="A914" s="62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</row>
    <row r="915" spans="1:21" ht="13" x14ac:dyDescent="0.15">
      <c r="A915" s="62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</row>
    <row r="916" spans="1:21" ht="13" x14ac:dyDescent="0.15">
      <c r="A916" s="62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</row>
    <row r="917" spans="1:21" ht="13" x14ac:dyDescent="0.15">
      <c r="A917" s="62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</row>
    <row r="918" spans="1:21" ht="13" x14ac:dyDescent="0.15">
      <c r="A918" s="62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</row>
    <row r="919" spans="1:21" ht="13" x14ac:dyDescent="0.15">
      <c r="A919" s="62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</row>
    <row r="920" spans="1:21" ht="13" x14ac:dyDescent="0.15">
      <c r="A920" s="62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</row>
    <row r="921" spans="1:21" ht="13" x14ac:dyDescent="0.15">
      <c r="A921" s="62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</row>
    <row r="922" spans="1:21" ht="13" x14ac:dyDescent="0.15">
      <c r="A922" s="62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</row>
    <row r="923" spans="1:21" ht="13" x14ac:dyDescent="0.15">
      <c r="A923" s="62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</row>
    <row r="924" spans="1:21" ht="13" x14ac:dyDescent="0.15">
      <c r="A924" s="62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</row>
    <row r="925" spans="1:21" ht="13" x14ac:dyDescent="0.15">
      <c r="A925" s="62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</row>
    <row r="926" spans="1:21" ht="13" x14ac:dyDescent="0.15">
      <c r="A926" s="62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</row>
    <row r="927" spans="1:21" ht="13" x14ac:dyDescent="0.15">
      <c r="A927" s="62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</row>
    <row r="928" spans="1:21" ht="13" x14ac:dyDescent="0.15">
      <c r="A928" s="62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</row>
    <row r="929" spans="1:21" ht="13" x14ac:dyDescent="0.15">
      <c r="A929" s="62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</row>
    <row r="930" spans="1:21" ht="13" x14ac:dyDescent="0.15">
      <c r="A930" s="62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</row>
    <row r="931" spans="1:21" ht="13" x14ac:dyDescent="0.15">
      <c r="A931" s="62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</row>
    <row r="932" spans="1:21" ht="13" x14ac:dyDescent="0.15">
      <c r="A932" s="62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</row>
    <row r="933" spans="1:21" ht="13" x14ac:dyDescent="0.15">
      <c r="A933" s="62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</row>
    <row r="934" spans="1:21" ht="13" x14ac:dyDescent="0.15">
      <c r="A934" s="62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</row>
    <row r="935" spans="1:21" ht="13" x14ac:dyDescent="0.15">
      <c r="A935" s="62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</row>
    <row r="936" spans="1:21" ht="13" x14ac:dyDescent="0.15">
      <c r="A936" s="62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</row>
    <row r="937" spans="1:21" ht="13" x14ac:dyDescent="0.15">
      <c r="A937" s="62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</row>
    <row r="938" spans="1:21" ht="13" x14ac:dyDescent="0.15">
      <c r="A938" s="62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</row>
    <row r="939" spans="1:21" ht="13" x14ac:dyDescent="0.15">
      <c r="A939" s="62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</row>
    <row r="940" spans="1:21" ht="13" x14ac:dyDescent="0.15">
      <c r="A940" s="62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</row>
    <row r="941" spans="1:21" ht="13" x14ac:dyDescent="0.15">
      <c r="A941" s="62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</row>
    <row r="942" spans="1:21" ht="13" x14ac:dyDescent="0.15">
      <c r="A942" s="62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</row>
    <row r="943" spans="1:21" ht="13" x14ac:dyDescent="0.15">
      <c r="A943" s="62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</row>
    <row r="944" spans="1:21" ht="13" x14ac:dyDescent="0.15">
      <c r="A944" s="62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</row>
    <row r="945" spans="1:21" ht="13" x14ac:dyDescent="0.15">
      <c r="A945" s="62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</row>
    <row r="946" spans="1:21" ht="13" x14ac:dyDescent="0.15">
      <c r="A946" s="62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</row>
    <row r="947" spans="1:21" ht="13" x14ac:dyDescent="0.15">
      <c r="A947" s="62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</row>
    <row r="948" spans="1:21" ht="13" x14ac:dyDescent="0.15">
      <c r="A948" s="62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</row>
    <row r="949" spans="1:21" ht="13" x14ac:dyDescent="0.15">
      <c r="A949" s="62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</row>
    <row r="950" spans="1:21" ht="13" x14ac:dyDescent="0.15">
      <c r="A950" s="62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</row>
    <row r="951" spans="1:21" ht="13" x14ac:dyDescent="0.15">
      <c r="A951" s="62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</row>
    <row r="952" spans="1:21" ht="13" x14ac:dyDescent="0.15">
      <c r="A952" s="62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</row>
    <row r="953" spans="1:21" ht="13" x14ac:dyDescent="0.15">
      <c r="A953" s="62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</row>
    <row r="954" spans="1:21" ht="13" x14ac:dyDescent="0.15">
      <c r="A954" s="62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</row>
    <row r="955" spans="1:21" ht="13" x14ac:dyDescent="0.15">
      <c r="A955" s="62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</row>
    <row r="956" spans="1:21" ht="13" x14ac:dyDescent="0.15">
      <c r="A956" s="62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</row>
    <row r="957" spans="1:21" ht="13" x14ac:dyDescent="0.15">
      <c r="A957" s="62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</row>
    <row r="958" spans="1:21" ht="13" x14ac:dyDescent="0.15">
      <c r="A958" s="62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</row>
    <row r="959" spans="1:21" ht="13" x14ac:dyDescent="0.15">
      <c r="A959" s="62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</row>
    <row r="960" spans="1:21" ht="13" x14ac:dyDescent="0.15">
      <c r="A960" s="62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</row>
    <row r="961" spans="1:21" ht="13" x14ac:dyDescent="0.15">
      <c r="A961" s="62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</row>
    <row r="962" spans="1:21" ht="13" x14ac:dyDescent="0.15">
      <c r="A962" s="62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</row>
    <row r="963" spans="1:21" ht="13" x14ac:dyDescent="0.15">
      <c r="A963" s="62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</row>
    <row r="964" spans="1:21" ht="13" x14ac:dyDescent="0.15">
      <c r="A964" s="62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</row>
    <row r="965" spans="1:21" ht="13" x14ac:dyDescent="0.15">
      <c r="A965" s="62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</row>
    <row r="966" spans="1:21" ht="13" x14ac:dyDescent="0.15">
      <c r="A966" s="62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</row>
    <row r="967" spans="1:21" ht="13" x14ac:dyDescent="0.15">
      <c r="A967" s="62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</row>
    <row r="968" spans="1:21" ht="13" x14ac:dyDescent="0.15">
      <c r="A968" s="62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</row>
    <row r="969" spans="1:21" ht="13" x14ac:dyDescent="0.15">
      <c r="A969" s="62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</row>
    <row r="970" spans="1:21" ht="13" x14ac:dyDescent="0.15">
      <c r="A970" s="62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</row>
    <row r="971" spans="1:21" ht="13" x14ac:dyDescent="0.15">
      <c r="A971" s="62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</row>
    <row r="972" spans="1:21" ht="13" x14ac:dyDescent="0.15">
      <c r="A972" s="62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</row>
    <row r="973" spans="1:21" ht="13" x14ac:dyDescent="0.15">
      <c r="A973" s="62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</row>
    <row r="974" spans="1:21" ht="13" x14ac:dyDescent="0.15">
      <c r="A974" s="62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</row>
    <row r="975" spans="1:21" ht="13" x14ac:dyDescent="0.15">
      <c r="A975" s="62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</row>
    <row r="976" spans="1:21" ht="13" x14ac:dyDescent="0.15">
      <c r="A976" s="62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</row>
    <row r="977" spans="1:21" ht="13" x14ac:dyDescent="0.15">
      <c r="A977" s="62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</row>
    <row r="978" spans="1:21" ht="13" x14ac:dyDescent="0.15">
      <c r="A978" s="62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</row>
    <row r="979" spans="1:21" ht="13" x14ac:dyDescent="0.15">
      <c r="A979" s="62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</row>
    <row r="980" spans="1:21" ht="13" x14ac:dyDescent="0.15">
      <c r="A980" s="62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</row>
    <row r="981" spans="1:21" ht="13" x14ac:dyDescent="0.15">
      <c r="A981" s="62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</row>
    <row r="982" spans="1:21" ht="13" x14ac:dyDescent="0.15">
      <c r="A982" s="62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</row>
    <row r="983" spans="1:21" ht="13" x14ac:dyDescent="0.15">
      <c r="A983" s="62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</row>
    <row r="984" spans="1:21" ht="13" x14ac:dyDescent="0.15">
      <c r="A984" s="62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</row>
    <row r="985" spans="1:21" ht="13" x14ac:dyDescent="0.15">
      <c r="A985" s="62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</row>
    <row r="986" spans="1:21" ht="13" x14ac:dyDescent="0.15">
      <c r="A986" s="62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</row>
    <row r="987" spans="1:21" ht="13" x14ac:dyDescent="0.15">
      <c r="A987" s="62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</row>
    <row r="988" spans="1:21" ht="13" x14ac:dyDescent="0.15">
      <c r="A988" s="62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</row>
    <row r="989" spans="1:21" ht="13" x14ac:dyDescent="0.15">
      <c r="A989" s="62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</row>
    <row r="990" spans="1:21" ht="13" x14ac:dyDescent="0.15">
      <c r="A990" s="62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</row>
    <row r="991" spans="1:21" ht="13" x14ac:dyDescent="0.15">
      <c r="A991" s="62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</row>
    <row r="992" spans="1:21" ht="13" x14ac:dyDescent="0.15">
      <c r="A992" s="62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</row>
    <row r="993" spans="1:21" ht="13" x14ac:dyDescent="0.15">
      <c r="A993" s="62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</row>
    <row r="994" spans="1:21" ht="13" x14ac:dyDescent="0.15">
      <c r="A994" s="62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</row>
    <row r="995" spans="1:21" ht="13" x14ac:dyDescent="0.15">
      <c r="A995" s="62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</row>
    <row r="996" spans="1:21" ht="13" x14ac:dyDescent="0.15">
      <c r="A996" s="62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</row>
    <row r="997" spans="1:21" ht="13" x14ac:dyDescent="0.15">
      <c r="A997" s="62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</row>
    <row r="998" spans="1:21" ht="13" x14ac:dyDescent="0.15">
      <c r="A998" s="62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</row>
    <row r="999" spans="1:21" ht="13" x14ac:dyDescent="0.15">
      <c r="A999" s="62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</row>
  </sheetData>
  <mergeCells count="1">
    <mergeCell ref="F1:U1"/>
  </mergeCells>
  <conditionalFormatting sqref="D3:E3">
    <cfRule type="containsText" dxfId="4" priority="1" operator="containsText" text="hosteller">
      <formula>NOT(ISERROR(SEARCH(("hosteller"),(D3))))</formula>
    </cfRule>
  </conditionalFormatting>
  <printOptions horizontalCentered="1" gridLines="1"/>
  <pageMargins left="0.7" right="0.7" top="0.75" bottom="0.75" header="0" footer="0"/>
  <pageSetup paperSize="9" scale="12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F999"/>
  <sheetViews>
    <sheetView workbookViewId="0"/>
  </sheetViews>
  <sheetFormatPr baseColWidth="10" defaultColWidth="12.6640625" defaultRowHeight="15.75" customHeight="1" x14ac:dyDescent="0.15"/>
  <cols>
    <col min="1" max="1" width="14.33203125" customWidth="1"/>
    <col min="2" max="2" width="15.1640625" customWidth="1"/>
    <col min="3" max="3" width="18.6640625" customWidth="1"/>
    <col min="4" max="4" width="12.6640625" customWidth="1"/>
    <col min="5" max="5" width="14.5" customWidth="1"/>
    <col min="6" max="6" width="4" customWidth="1"/>
    <col min="7" max="7" width="5.6640625" customWidth="1"/>
    <col min="8" max="8" width="5" customWidth="1"/>
    <col min="9" max="10" width="5.6640625" customWidth="1"/>
    <col min="11" max="11" width="5.83203125" customWidth="1"/>
    <col min="12" max="12" width="6.83203125" customWidth="1"/>
    <col min="13" max="13" width="5.6640625" customWidth="1"/>
    <col min="14" max="14" width="6.83203125" customWidth="1"/>
    <col min="15" max="15" width="5.6640625" customWidth="1"/>
    <col min="16" max="17" width="4.6640625" customWidth="1"/>
    <col min="18" max="18" width="4.83203125" customWidth="1"/>
    <col min="19" max="19" width="4.33203125" customWidth="1"/>
    <col min="20" max="20" width="5.1640625" customWidth="1"/>
    <col min="21" max="21" width="10" customWidth="1"/>
  </cols>
  <sheetData>
    <row r="1" spans="1:32" ht="15.75" customHeight="1" x14ac:dyDescent="0.15">
      <c r="A1" s="52" t="s">
        <v>548</v>
      </c>
      <c r="B1" s="52" t="s">
        <v>15</v>
      </c>
      <c r="C1" s="52" t="s">
        <v>22</v>
      </c>
      <c r="D1" s="63"/>
      <c r="E1" s="63" t="s">
        <v>567</v>
      </c>
      <c r="F1" s="100" t="s">
        <v>550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32" ht="15.75" customHeight="1" x14ac:dyDescent="0.15">
      <c r="A2" s="54">
        <f>COUNT(A4:A363)</f>
        <v>7</v>
      </c>
      <c r="B2" s="2">
        <f t="shared" ref="B2:C2" si="0">COUNTIF($E$4:$E$189,B1)</f>
        <v>5</v>
      </c>
      <c r="C2" s="2">
        <f t="shared" si="0"/>
        <v>2</v>
      </c>
      <c r="D2" s="64"/>
      <c r="E2" s="64">
        <f>SUM(F2:U2)</f>
        <v>288200</v>
      </c>
      <c r="F2" s="55">
        <f t="shared" ref="F2:H2" si="1">SUM(F$4:F$1001)</f>
        <v>19850</v>
      </c>
      <c r="G2" s="55">
        <f t="shared" si="1"/>
        <v>24350</v>
      </c>
      <c r="H2" s="55">
        <f t="shared" si="1"/>
        <v>24500</v>
      </c>
      <c r="I2" s="55">
        <f>SUM(I3:I11)</f>
        <v>1500</v>
      </c>
      <c r="J2" s="55">
        <f t="shared" ref="J2:U2" si="2">SUM(J$4:J$1001)</f>
        <v>24500</v>
      </c>
      <c r="K2" s="55">
        <f t="shared" si="2"/>
        <v>24500</v>
      </c>
      <c r="L2" s="55">
        <f t="shared" si="2"/>
        <v>24500</v>
      </c>
      <c r="M2" s="55">
        <f t="shared" si="2"/>
        <v>1500</v>
      </c>
      <c r="N2" s="55">
        <f t="shared" si="2"/>
        <v>24500</v>
      </c>
      <c r="O2" s="55">
        <f t="shared" si="2"/>
        <v>24500</v>
      </c>
      <c r="P2" s="55">
        <f t="shared" si="2"/>
        <v>23500</v>
      </c>
      <c r="Q2" s="55">
        <f t="shared" si="2"/>
        <v>1000</v>
      </c>
      <c r="R2" s="55">
        <f t="shared" si="2"/>
        <v>23500</v>
      </c>
      <c r="S2" s="55">
        <f t="shared" si="2"/>
        <v>22500</v>
      </c>
      <c r="T2" s="55">
        <f t="shared" si="2"/>
        <v>1000</v>
      </c>
      <c r="U2" s="55">
        <f t="shared" si="2"/>
        <v>22500</v>
      </c>
    </row>
    <row r="3" spans="1:32" ht="15.75" customHeight="1" x14ac:dyDescent="0.15">
      <c r="A3" s="56" t="s">
        <v>551</v>
      </c>
      <c r="B3" s="56" t="s">
        <v>3</v>
      </c>
      <c r="C3" s="56" t="s">
        <v>552</v>
      </c>
      <c r="D3" s="57" t="s">
        <v>582</v>
      </c>
      <c r="E3" s="56" t="s">
        <v>2</v>
      </c>
      <c r="F3" s="56" t="s">
        <v>557</v>
      </c>
      <c r="G3" s="56" t="s">
        <v>558</v>
      </c>
      <c r="H3" s="56" t="s">
        <v>559</v>
      </c>
      <c r="I3" s="57" t="s">
        <v>569</v>
      </c>
      <c r="J3" s="56" t="s">
        <v>560</v>
      </c>
      <c r="K3" s="56" t="s">
        <v>561</v>
      </c>
      <c r="L3" s="56" t="s">
        <v>562</v>
      </c>
      <c r="M3" s="57" t="s">
        <v>570</v>
      </c>
      <c r="N3" s="56" t="s">
        <v>563</v>
      </c>
      <c r="O3" s="56" t="s">
        <v>564</v>
      </c>
      <c r="P3" s="56" t="s">
        <v>565</v>
      </c>
      <c r="Q3" s="57" t="s">
        <v>570</v>
      </c>
      <c r="R3" s="56" t="s">
        <v>554</v>
      </c>
      <c r="S3" s="56" t="s">
        <v>555</v>
      </c>
      <c r="T3" s="57" t="s">
        <v>570</v>
      </c>
      <c r="U3" s="56" t="s">
        <v>556</v>
      </c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spans="1:32" ht="15.75" customHeight="1" x14ac:dyDescent="0.15">
      <c r="A4" s="58">
        <v>60</v>
      </c>
      <c r="B4" s="59" t="str">
        <f>IFERROR(VLOOKUP($A4,Admission!$1:$998,4,0),"")</f>
        <v>ABDUR RAIJAK</v>
      </c>
      <c r="C4" s="59" t="str">
        <f>IFERROR(VLOOKUP($A4,Admission!$1:$998,5,0),"")</f>
        <v>MD RAYEES</v>
      </c>
      <c r="D4" s="59">
        <f>IFERROR(VLOOKUP($A4,Admission!$1:$998,10,0),"")</f>
        <v>8084727740</v>
      </c>
      <c r="E4" s="59" t="str">
        <f>IFERROR(VLOOKUP($A4,Admission!$1:$998,3,0),"")</f>
        <v>Hosteller</v>
      </c>
      <c r="F4" s="25">
        <v>4500</v>
      </c>
      <c r="G4" s="25">
        <v>4500</v>
      </c>
      <c r="H4" s="25">
        <v>4500</v>
      </c>
      <c r="I4" s="25">
        <v>250</v>
      </c>
      <c r="J4" s="25">
        <v>4500</v>
      </c>
      <c r="K4" s="25">
        <v>4500</v>
      </c>
      <c r="L4" s="25">
        <v>4500</v>
      </c>
      <c r="M4" s="25">
        <v>250</v>
      </c>
      <c r="N4" s="25">
        <v>4500</v>
      </c>
      <c r="O4" s="25">
        <v>4500</v>
      </c>
      <c r="P4" s="25">
        <v>4500</v>
      </c>
      <c r="Q4" s="25">
        <v>250</v>
      </c>
      <c r="R4" s="25">
        <v>4500</v>
      </c>
      <c r="S4" s="25">
        <v>4500</v>
      </c>
      <c r="T4" s="25">
        <v>250</v>
      </c>
      <c r="U4" s="25">
        <v>4500</v>
      </c>
    </row>
    <row r="5" spans="1:32" ht="15.75" customHeight="1" x14ac:dyDescent="0.15">
      <c r="A5" s="58">
        <v>65</v>
      </c>
      <c r="B5" s="59" t="str">
        <f>IFERROR(VLOOKUP($A5,Admission!$1:$998,4,0),"")</f>
        <v>SAKIB AL HASAN</v>
      </c>
      <c r="C5" s="59" t="str">
        <f>IFERROR(VLOOKUP($A5,Admission!$1:$998,5,0),"")</f>
        <v>ZAMIL AKHTAR</v>
      </c>
      <c r="D5" s="59">
        <f>IFERROR(VLOOKUP($A5,Admission!$1:$998,10,0),"")</f>
        <v>7903684660</v>
      </c>
      <c r="E5" s="59" t="str">
        <f>IFERROR(VLOOKUP($A5,Admission!$1:$998,3,0),"")</f>
        <v>Hosteller</v>
      </c>
      <c r="F5" s="25">
        <v>4500</v>
      </c>
      <c r="G5" s="25">
        <v>4500</v>
      </c>
      <c r="H5" s="25">
        <v>4500</v>
      </c>
      <c r="I5" s="25">
        <v>250</v>
      </c>
      <c r="J5" s="25">
        <v>4500</v>
      </c>
      <c r="K5" s="25">
        <v>4500</v>
      </c>
      <c r="L5" s="25">
        <v>4500</v>
      </c>
      <c r="M5" s="25">
        <v>250</v>
      </c>
      <c r="N5" s="25">
        <v>4500</v>
      </c>
      <c r="O5" s="25">
        <v>4500</v>
      </c>
      <c r="P5" s="25">
        <v>4500</v>
      </c>
      <c r="Q5" s="25">
        <v>250</v>
      </c>
      <c r="R5" s="25">
        <v>4500</v>
      </c>
      <c r="S5" s="25">
        <v>4500</v>
      </c>
      <c r="T5" s="25">
        <v>250</v>
      </c>
      <c r="U5" s="25">
        <v>4500</v>
      </c>
    </row>
    <row r="6" spans="1:32" ht="15.75" customHeight="1" x14ac:dyDescent="0.15">
      <c r="A6" s="58">
        <v>71</v>
      </c>
      <c r="B6" s="59" t="str">
        <f>IFERROR(VLOOKUP($A6,Admission!$1:$998,4,0),"")</f>
        <v>DANISH ANSARI</v>
      </c>
      <c r="C6" s="59" t="str">
        <f>IFERROR(VLOOKUP($A6,Admission!$1:$998,5,0),"")</f>
        <v>ABDUL HAMID ANSARI</v>
      </c>
      <c r="D6" s="59">
        <f>IFERROR(VLOOKUP($A6,Admission!$1:$998,10,0),"")</f>
        <v>9835842208</v>
      </c>
      <c r="E6" s="59" t="str">
        <f>IFERROR(VLOOKUP($A6,Admission!$1:$998,3,0),"")</f>
        <v>Hosteller</v>
      </c>
      <c r="F6" s="25">
        <v>4500</v>
      </c>
      <c r="G6" s="25">
        <v>4500</v>
      </c>
      <c r="H6" s="25">
        <v>4500</v>
      </c>
      <c r="I6" s="25">
        <v>250</v>
      </c>
      <c r="J6" s="25">
        <v>4500</v>
      </c>
      <c r="K6" s="25">
        <v>4500</v>
      </c>
      <c r="L6" s="25">
        <v>4500</v>
      </c>
      <c r="M6" s="25">
        <v>250</v>
      </c>
      <c r="N6" s="25">
        <v>4500</v>
      </c>
      <c r="O6" s="25">
        <v>4500</v>
      </c>
      <c r="P6" s="25">
        <v>4500</v>
      </c>
      <c r="Q6" s="25"/>
      <c r="R6" s="25">
        <v>4500</v>
      </c>
      <c r="S6" s="25">
        <v>4500</v>
      </c>
      <c r="T6" s="25"/>
      <c r="U6" s="25">
        <v>4500</v>
      </c>
    </row>
    <row r="7" spans="1:32" ht="15.75" customHeight="1" x14ac:dyDescent="0.15">
      <c r="A7" s="58">
        <v>89</v>
      </c>
      <c r="B7" s="59" t="str">
        <f>IFERROR(VLOOKUP($A7,Admission!$1:$998,4,0),"")</f>
        <v>NADIM SARFARAZ</v>
      </c>
      <c r="C7" s="59" t="str">
        <f>IFERROR(VLOOKUP($A7,Admission!$1:$998,5,0),"")</f>
        <v>SAHDAT ANSARI</v>
      </c>
      <c r="D7" s="59">
        <f>IFERROR(VLOOKUP($A7,Admission!$1:$998,10,0),"")</f>
        <v>6204730680</v>
      </c>
      <c r="E7" s="59" t="str">
        <f>IFERROR(VLOOKUP($A7,Admission!$1:$998,3,0),"")</f>
        <v>Hosteller</v>
      </c>
      <c r="F7" s="25">
        <v>0</v>
      </c>
      <c r="G7" s="25">
        <v>4500</v>
      </c>
      <c r="H7" s="25">
        <v>4500</v>
      </c>
      <c r="I7" s="25">
        <v>250</v>
      </c>
      <c r="J7" s="25">
        <v>4500</v>
      </c>
      <c r="K7" s="25">
        <v>4500</v>
      </c>
      <c r="L7" s="25">
        <v>4500</v>
      </c>
      <c r="M7" s="25">
        <v>250</v>
      </c>
      <c r="N7" s="25">
        <v>4500</v>
      </c>
      <c r="O7" s="25">
        <v>4500</v>
      </c>
      <c r="P7" s="25">
        <v>4500</v>
      </c>
      <c r="Q7" s="25">
        <v>250</v>
      </c>
      <c r="R7" s="25">
        <v>4500</v>
      </c>
      <c r="S7" s="25">
        <v>4500</v>
      </c>
      <c r="T7" s="25">
        <v>250</v>
      </c>
      <c r="U7" s="25">
        <v>4500</v>
      </c>
    </row>
    <row r="8" spans="1:32" ht="15.75" customHeight="1" x14ac:dyDescent="0.15">
      <c r="A8" s="58">
        <v>126</v>
      </c>
      <c r="B8" s="59" t="str">
        <f>IFERROR(VLOOKUP($A8,Admission!$1:$998,4,0),"")</f>
        <v>EJAJUL HAQUE</v>
      </c>
      <c r="C8" s="59" t="str">
        <f>IFERROR(VLOOKUP($A8,Admission!$1:$998,5,0),"")</f>
        <v>SAIDUR SEKH</v>
      </c>
      <c r="D8" s="59">
        <f>IFERROR(VLOOKUP($A8,Admission!$1:$998,10,0),"")</f>
        <v>6203419771</v>
      </c>
      <c r="E8" s="59" t="str">
        <f>IFERROR(VLOOKUP($A8,Admission!$1:$998,3,0),"")</f>
        <v>Hosteller</v>
      </c>
      <c r="F8" s="25">
        <v>4500</v>
      </c>
      <c r="G8" s="25">
        <v>4500</v>
      </c>
      <c r="H8" s="25">
        <v>4500</v>
      </c>
      <c r="I8" s="25">
        <v>250</v>
      </c>
      <c r="J8" s="25">
        <v>4500</v>
      </c>
      <c r="K8" s="25">
        <v>4500</v>
      </c>
      <c r="L8" s="25">
        <v>4500</v>
      </c>
      <c r="M8" s="25">
        <v>250</v>
      </c>
      <c r="N8" s="25">
        <v>4500</v>
      </c>
      <c r="O8" s="25">
        <v>4500</v>
      </c>
      <c r="P8" s="25">
        <v>4500</v>
      </c>
      <c r="Q8" s="25">
        <v>250</v>
      </c>
      <c r="R8" s="25">
        <v>4500</v>
      </c>
      <c r="S8" s="25">
        <v>4500</v>
      </c>
      <c r="T8" s="25">
        <v>250</v>
      </c>
      <c r="U8" s="25">
        <v>4500</v>
      </c>
    </row>
    <row r="9" spans="1:32" ht="15.75" customHeight="1" x14ac:dyDescent="0.15">
      <c r="A9" s="58">
        <v>77</v>
      </c>
      <c r="B9" s="59" t="str">
        <f>IFERROR(VLOOKUP($A9,Admission!$1:$998,4,0),"")</f>
        <v>SAHEBEJ HASAN</v>
      </c>
      <c r="C9" s="59" t="str">
        <f>IFERROR(VLOOKUP($A9,Admission!$1:$998,5,0),"")</f>
        <v>HAVIBUR RAHAMAN</v>
      </c>
      <c r="D9" s="59">
        <f>IFERROR(VLOOKUP($A9,Admission!$1:$998,10,0),"")</f>
        <v>0</v>
      </c>
      <c r="E9" s="59" t="str">
        <f>IFERROR(VLOOKUP($A9,Admission!$1:$998,3,0),"")</f>
        <v>Day Scholar</v>
      </c>
      <c r="F9" s="25">
        <v>1000</v>
      </c>
      <c r="G9" s="25">
        <v>1000</v>
      </c>
      <c r="H9" s="25">
        <v>1000</v>
      </c>
      <c r="I9" s="25">
        <v>250</v>
      </c>
      <c r="J9" s="25">
        <v>1000</v>
      </c>
      <c r="K9" s="25">
        <v>1000</v>
      </c>
      <c r="L9" s="25">
        <v>1000</v>
      </c>
      <c r="M9" s="25">
        <v>250</v>
      </c>
      <c r="N9" s="25">
        <v>1000</v>
      </c>
      <c r="O9" s="25">
        <v>1000</v>
      </c>
      <c r="P9" s="25" t="s">
        <v>313</v>
      </c>
      <c r="Q9" s="25" t="s">
        <v>313</v>
      </c>
      <c r="R9" s="25" t="s">
        <v>313</v>
      </c>
      <c r="S9" s="25" t="s">
        <v>313</v>
      </c>
      <c r="T9" s="25" t="s">
        <v>313</v>
      </c>
      <c r="U9" s="25" t="s">
        <v>313</v>
      </c>
    </row>
    <row r="10" spans="1:32" ht="15.75" customHeight="1" x14ac:dyDescent="0.15">
      <c r="A10" s="58">
        <v>139</v>
      </c>
      <c r="B10" s="59" t="str">
        <f>IFERROR(VLOOKUP($A10,Admission!$1:$998,4,0),"")</f>
        <v>SHAIKH FIRDOUS ALAM</v>
      </c>
      <c r="C10" s="59" t="str">
        <f>IFERROR(VLOOKUP($A10,Admission!$1:$998,5,0),"")</f>
        <v>MD FIROZ</v>
      </c>
      <c r="D10" s="59">
        <f>IFERROR(VLOOKUP($A10,Admission!$1:$998,10,0),"")</f>
        <v>6352783907</v>
      </c>
      <c r="E10" s="59" t="str">
        <f>IFERROR(VLOOKUP($A10,Admission!$1:$998,3,0),"")</f>
        <v>Day Scholar</v>
      </c>
      <c r="F10" s="25">
        <v>850</v>
      </c>
      <c r="G10" s="25">
        <v>850</v>
      </c>
      <c r="H10" s="25">
        <v>1000</v>
      </c>
      <c r="I10" s="25"/>
      <c r="J10" s="25">
        <v>1000</v>
      </c>
      <c r="K10" s="25">
        <v>1000</v>
      </c>
      <c r="L10" s="25">
        <v>1000</v>
      </c>
      <c r="M10" s="25"/>
      <c r="N10" s="25">
        <v>1000</v>
      </c>
      <c r="O10" s="25">
        <v>1000</v>
      </c>
      <c r="P10" s="25">
        <v>1000</v>
      </c>
      <c r="Q10" s="25"/>
      <c r="R10" s="25">
        <v>1000</v>
      </c>
      <c r="S10" s="25"/>
      <c r="T10" s="25"/>
      <c r="U10" s="25"/>
    </row>
    <row r="11" spans="1:32" ht="15.75" customHeight="1" x14ac:dyDescent="0.15">
      <c r="A11" s="58"/>
      <c r="B11" s="59" t="str">
        <f>IFERROR(VLOOKUP($A11,Admission!$1:$998,4,0),"")</f>
        <v/>
      </c>
      <c r="C11" s="59" t="str">
        <f>IFERROR(VLOOKUP($A11,Admission!$1:$998,5,0),"")</f>
        <v/>
      </c>
      <c r="D11" s="59" t="str">
        <f>IFERROR(VLOOKUP($A11,Admission!$1:$998,10,0),"")</f>
        <v/>
      </c>
      <c r="E11" s="59" t="str">
        <f>IFERROR(VLOOKUP($A11,Admission!$1:$998,3,0),"")</f>
        <v/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</row>
    <row r="12" spans="1:32" ht="15.75" customHeight="1" x14ac:dyDescent="0.15">
      <c r="A12" s="58"/>
      <c r="B12" s="59" t="str">
        <f>IFERROR(VLOOKUP($A12,Admission!$1:$998,4,0),"")</f>
        <v/>
      </c>
      <c r="C12" s="59" t="str">
        <f>IFERROR(VLOOKUP($A12,Admission!$1:$998,5,0),"")</f>
        <v/>
      </c>
      <c r="D12" s="59" t="str">
        <f>IFERROR(VLOOKUP($A12,Admission!$1:$998,10,0),"")</f>
        <v/>
      </c>
      <c r="E12" s="59" t="str">
        <f>IFERROR(VLOOKUP($A12,Admission!$1:$998,3,0),"")</f>
        <v/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 spans="1:32" ht="15.75" customHeight="1" x14ac:dyDescent="0.15">
      <c r="A13" s="58"/>
      <c r="B13" s="59" t="str">
        <f>IFERROR(VLOOKUP($A13,Admission!$1:$998,4,0),"")</f>
        <v/>
      </c>
      <c r="C13" s="59" t="str">
        <f>IFERROR(VLOOKUP($A13,Admission!$1:$998,5,0),"")</f>
        <v/>
      </c>
      <c r="D13" s="59" t="str">
        <f>IFERROR(VLOOKUP($A13,Admission!$1:$998,10,0),"")</f>
        <v/>
      </c>
      <c r="E13" s="59" t="str">
        <f>IFERROR(VLOOKUP($A13,Admission!$1:$998,3,0),"")</f>
        <v/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AF13" s="23" t="s">
        <v>583</v>
      </c>
    </row>
    <row r="14" spans="1:32" ht="15.75" customHeight="1" x14ac:dyDescent="0.15">
      <c r="A14" s="58"/>
      <c r="B14" s="59" t="str">
        <f>IFERROR(VLOOKUP($A14,Admission!$1:$998,4,0),"")</f>
        <v/>
      </c>
      <c r="C14" s="59" t="str">
        <f>IFERROR(VLOOKUP($A14,Admission!$1:$998,5,0),"")</f>
        <v/>
      </c>
      <c r="D14" s="59" t="str">
        <f>IFERROR(VLOOKUP($A14,Admission!$1:$998,10,0),"")</f>
        <v/>
      </c>
      <c r="E14" s="59" t="str">
        <f>IFERROR(VLOOKUP($A14,Admission!$1:$998,3,0),"")</f>
        <v/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</row>
    <row r="15" spans="1:32" ht="15.75" customHeight="1" x14ac:dyDescent="0.15">
      <c r="A15" s="58"/>
      <c r="B15" s="59" t="str">
        <f>IFERROR(VLOOKUP($A15,Admission!$1:$998,4,0),"")</f>
        <v/>
      </c>
      <c r="C15" s="59" t="str">
        <f>IFERROR(VLOOKUP($A15,Admission!$1:$998,5,0),"")</f>
        <v/>
      </c>
      <c r="D15" s="59" t="str">
        <f>IFERROR(VLOOKUP($A15,Admission!$1:$998,10,0),"")</f>
        <v/>
      </c>
      <c r="E15" s="59" t="str">
        <f>IFERROR(VLOOKUP($A15,Admission!$1:$998,3,0),"")</f>
        <v/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</row>
    <row r="16" spans="1:32" ht="15.75" customHeight="1" x14ac:dyDescent="0.15">
      <c r="A16" s="58"/>
      <c r="B16" s="59" t="str">
        <f>IFERROR(VLOOKUP($A16,Admission!$1:$998,4,0),"")</f>
        <v/>
      </c>
      <c r="C16" s="59" t="str">
        <f>IFERROR(VLOOKUP($A16,Admission!$1:$998,5,0),"")</f>
        <v/>
      </c>
      <c r="D16" s="59" t="str">
        <f>IFERROR(VLOOKUP($A16,Admission!$1:$998,10,0),"")</f>
        <v/>
      </c>
      <c r="E16" s="59" t="str">
        <f>IFERROR(VLOOKUP($A16,Admission!$1:$998,3,0),"")</f>
        <v/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1:21" ht="15.75" customHeight="1" x14ac:dyDescent="0.15">
      <c r="A17" s="58"/>
      <c r="B17" s="59" t="str">
        <f>IFERROR(VLOOKUP($A17,Admission!$1:$998,4,0),"")</f>
        <v/>
      </c>
      <c r="C17" s="59" t="str">
        <f>IFERROR(VLOOKUP($A17,Admission!$1:$998,5,0),"")</f>
        <v/>
      </c>
      <c r="D17" s="59" t="str">
        <f>IFERROR(VLOOKUP($A17,Admission!$1:$998,10,0),"")</f>
        <v/>
      </c>
      <c r="E17" s="59" t="str">
        <f>IFERROR(VLOOKUP($A17,Admission!$1:$998,3,0),"")</f>
        <v/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spans="1:21" ht="15.75" customHeight="1" x14ac:dyDescent="0.15">
      <c r="A18" s="58"/>
      <c r="B18" s="59" t="str">
        <f>IFERROR(VLOOKUP($A18,Admission!$1:$998,4,0),"")</f>
        <v/>
      </c>
      <c r="C18" s="59" t="str">
        <f>IFERROR(VLOOKUP($A18,Admission!$1:$998,5,0),"")</f>
        <v/>
      </c>
      <c r="D18" s="59" t="str">
        <f>IFERROR(VLOOKUP($A18,Admission!$1:$998,10,0),"")</f>
        <v/>
      </c>
      <c r="E18" s="59" t="str">
        <f>IFERROR(VLOOKUP($A18,Admission!$1:$998,3,0),"")</f>
        <v/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1:21" ht="15.75" customHeight="1" x14ac:dyDescent="0.15">
      <c r="A19" s="58"/>
      <c r="B19" s="59" t="str">
        <f>IFERROR(VLOOKUP($A19,Admission!$1:$998,4,0),"")</f>
        <v/>
      </c>
      <c r="C19" s="59" t="str">
        <f>IFERROR(VLOOKUP($A19,Admission!$1:$998,5,0),"")</f>
        <v/>
      </c>
      <c r="D19" s="59" t="str">
        <f>IFERROR(VLOOKUP($A19,Admission!$1:$998,10,0),"")</f>
        <v/>
      </c>
      <c r="E19" s="59" t="str">
        <f>IFERROR(VLOOKUP($A19,Admission!$1:$998,3,0),"")</f>
        <v/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1:21" ht="15.75" customHeight="1" x14ac:dyDescent="0.15">
      <c r="A20" s="58"/>
      <c r="B20" s="59" t="str">
        <f>IFERROR(VLOOKUP($A20,Admission!$1:$998,4,0),"")</f>
        <v/>
      </c>
      <c r="C20" s="59" t="str">
        <f>IFERROR(VLOOKUP($A20,Admission!$1:$998,5,0),"")</f>
        <v/>
      </c>
      <c r="D20" s="59" t="str">
        <f>IFERROR(VLOOKUP($A20,Admission!$1:$998,10,0),"")</f>
        <v/>
      </c>
      <c r="E20" s="59" t="str">
        <f>IFERROR(VLOOKUP($A20,Admission!$1:$998,3,0),"")</f>
        <v/>
      </c>
      <c r="F20" s="25"/>
      <c r="G20" s="25"/>
      <c r="H20" s="7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r="21" spans="1:21" ht="15.75" customHeight="1" x14ac:dyDescent="0.15">
      <c r="A21" s="58"/>
      <c r="B21" s="59" t="str">
        <f>IFERROR(VLOOKUP($A21,Admission!$1:$998,4,0),"")</f>
        <v/>
      </c>
      <c r="C21" s="59" t="str">
        <f>IFERROR(VLOOKUP($A21,Admission!$1:$998,5,0),"")</f>
        <v/>
      </c>
      <c r="D21" s="59" t="str">
        <f>IFERROR(VLOOKUP($A21,Admission!$1:$998,10,0),"")</f>
        <v/>
      </c>
      <c r="E21" s="59" t="str">
        <f>IFERROR(VLOOKUP($A21,Admission!$1:$998,3,0),"")</f>
        <v/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Q21" s="25"/>
      <c r="R21" s="25"/>
      <c r="S21" s="25"/>
      <c r="T21" s="25"/>
      <c r="U21" s="25"/>
    </row>
    <row r="22" spans="1:21" ht="15.75" customHeight="1" x14ac:dyDescent="0.15">
      <c r="A22" s="58"/>
      <c r="B22" s="59" t="str">
        <f>IFERROR(VLOOKUP($A22,Admission!$1:$998,4,0),"")</f>
        <v/>
      </c>
      <c r="C22" s="59" t="str">
        <f>IFERROR(VLOOKUP($A22,Admission!$1:$998,5,0),"")</f>
        <v/>
      </c>
      <c r="D22" s="59" t="str">
        <f>IFERROR(VLOOKUP($A22,Admission!$1:$998,10,0),"")</f>
        <v/>
      </c>
      <c r="E22" s="59" t="str">
        <f>IFERROR(VLOOKUP($A22,Admission!$1:$998,3,0),"")</f>
        <v/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1" ht="15.75" customHeight="1" x14ac:dyDescent="0.15">
      <c r="A23" s="58"/>
      <c r="B23" s="59" t="str">
        <f>IFERROR(VLOOKUP($A23,Admission!$1:$998,4,0),"")</f>
        <v/>
      </c>
      <c r="C23" s="59" t="str">
        <f>IFERROR(VLOOKUP($A23,Admission!$1:$998,5,0),"")</f>
        <v/>
      </c>
      <c r="D23" s="59" t="str">
        <f>IFERROR(VLOOKUP($A23,Admission!$1:$998,10,0),"")</f>
        <v/>
      </c>
      <c r="E23" s="59" t="str">
        <f>IFERROR(VLOOKUP($A23,Admission!$1:$998,3,0),"")</f>
        <v/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1" ht="15.75" customHeight="1" x14ac:dyDescent="0.15">
      <c r="A24" s="58"/>
      <c r="B24" s="59" t="str">
        <f>IFERROR(VLOOKUP($A24,Admission!$1:$998,4,0),"")</f>
        <v/>
      </c>
      <c r="C24" s="59" t="str">
        <f>IFERROR(VLOOKUP($A24,Admission!$1:$998,5,0),"")</f>
        <v/>
      </c>
      <c r="D24" s="59" t="str">
        <f>IFERROR(VLOOKUP($A24,Admission!$1:$998,10,0),"")</f>
        <v/>
      </c>
      <c r="E24" s="59" t="str">
        <f>IFERROR(VLOOKUP($A24,Admission!$1:$998,3,0),"")</f>
        <v/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1" ht="15.75" customHeight="1" x14ac:dyDescent="0.15">
      <c r="A25" s="58"/>
      <c r="B25" s="59" t="str">
        <f>IFERROR(VLOOKUP($A25,Admission!$1:$998,4,0),"")</f>
        <v/>
      </c>
      <c r="C25" s="59" t="str">
        <f>IFERROR(VLOOKUP($A25,Admission!$1:$998,5,0),"")</f>
        <v/>
      </c>
      <c r="D25" s="59" t="str">
        <f>IFERROR(VLOOKUP($A25,Admission!$1:$998,10,0),"")</f>
        <v/>
      </c>
      <c r="E25" s="59" t="str">
        <f>IFERROR(VLOOKUP($A25,Admission!$1:$998,3,0),"")</f>
        <v/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1:21" ht="15.75" customHeight="1" x14ac:dyDescent="0.15">
      <c r="A26" s="58"/>
      <c r="B26" s="59" t="str">
        <f>IFERROR(VLOOKUP($A26,Admission!$1:$998,4,0),"")</f>
        <v/>
      </c>
      <c r="C26" s="59" t="str">
        <f>IFERROR(VLOOKUP($A26,Admission!$1:$998,5,0),"")</f>
        <v/>
      </c>
      <c r="D26" s="59" t="str">
        <f>IFERROR(VLOOKUP($A26,Admission!$1:$998,10,0),"")</f>
        <v/>
      </c>
      <c r="E26" s="59" t="str">
        <f>IFERROR(VLOOKUP($A26,Admission!$1:$998,3,0),"")</f>
        <v/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ht="15.75" customHeight="1" x14ac:dyDescent="0.15">
      <c r="A27" s="58"/>
      <c r="B27" s="59" t="str">
        <f>IFERROR(VLOOKUP($A27,Admission!$1:$998,4,0),"")</f>
        <v/>
      </c>
      <c r="C27" s="59" t="str">
        <f>IFERROR(VLOOKUP($A27,Admission!$1:$998,5,0),"")</f>
        <v/>
      </c>
      <c r="D27" s="59" t="str">
        <f>IFERROR(VLOOKUP($A27,Admission!$1:$998,10,0),"")</f>
        <v/>
      </c>
      <c r="E27" s="59" t="str">
        <f>IFERROR(VLOOKUP($A27,Admission!$1:$998,3,0),"")</f>
        <v/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1" ht="15.75" customHeight="1" x14ac:dyDescent="0.15">
      <c r="A28" s="58"/>
      <c r="B28" s="59" t="str">
        <f>IFERROR(VLOOKUP($A28,Admission!$1:$998,4,0),"")</f>
        <v/>
      </c>
      <c r="C28" s="59" t="str">
        <f>IFERROR(VLOOKUP($A28,Admission!$1:$998,5,0),"")</f>
        <v/>
      </c>
      <c r="D28" s="59" t="str">
        <f>IFERROR(VLOOKUP($A28,Admission!$1:$998,10,0),"")</f>
        <v/>
      </c>
      <c r="E28" s="59" t="str">
        <f>IFERROR(VLOOKUP($A28,Admission!$1:$998,3,0),"")</f>
        <v/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ht="15.75" customHeight="1" x14ac:dyDescent="0.15">
      <c r="A29" s="58"/>
      <c r="B29" s="59" t="str">
        <f>IFERROR(VLOOKUP($A29,Admission!$1:$998,4,0),"")</f>
        <v/>
      </c>
      <c r="C29" s="59" t="str">
        <f>IFERROR(VLOOKUP($A29,Admission!$1:$998,5,0),"")</f>
        <v/>
      </c>
      <c r="D29" s="59" t="str">
        <f>IFERROR(VLOOKUP($A29,Admission!$1:$998,10,0),"")</f>
        <v/>
      </c>
      <c r="E29" s="59" t="str">
        <f>IFERROR(VLOOKUP($A29,Admission!$1:$998,3,0),"")</f>
        <v/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ht="15.75" customHeight="1" x14ac:dyDescent="0.15">
      <c r="A30" s="58"/>
      <c r="B30" s="59" t="str">
        <f>IFERROR(VLOOKUP($A30,Admission!$1:$998,4,0),"")</f>
        <v/>
      </c>
      <c r="C30" s="59" t="str">
        <f>IFERROR(VLOOKUP($A30,Admission!$1:$998,5,0),"")</f>
        <v/>
      </c>
      <c r="D30" s="59" t="str">
        <f>IFERROR(VLOOKUP($A30,Admission!$1:$998,10,0),"")</f>
        <v/>
      </c>
      <c r="E30" s="59" t="str">
        <f>IFERROR(VLOOKUP($A30,Admission!$1:$998,3,0),"")</f>
        <v/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 ht="15.75" customHeight="1" x14ac:dyDescent="0.15">
      <c r="A31" s="58"/>
      <c r="B31" s="59" t="str">
        <f>IFERROR(VLOOKUP($A31,Admission!$1:$998,4,0),"")</f>
        <v/>
      </c>
      <c r="C31" s="59" t="str">
        <f>IFERROR(VLOOKUP($A31,Admission!$1:$998,5,0),"")</f>
        <v/>
      </c>
      <c r="D31" s="59" t="str">
        <f>IFERROR(VLOOKUP($A31,Admission!$1:$998,10,0),"")</f>
        <v/>
      </c>
      <c r="E31" s="59" t="str">
        <f>IFERROR(VLOOKUP($A31,Admission!$1:$998,3,0),"")</f>
        <v/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1:21" ht="15.75" customHeight="1" x14ac:dyDescent="0.15">
      <c r="A32" s="58"/>
      <c r="B32" s="59" t="str">
        <f>IFERROR(VLOOKUP($A32,Admission!$1:$998,4,0),"")</f>
        <v/>
      </c>
      <c r="C32" s="59" t="str">
        <f>IFERROR(VLOOKUP($A32,Admission!$1:$998,5,0),"")</f>
        <v/>
      </c>
      <c r="D32" s="59" t="str">
        <f>IFERROR(VLOOKUP($A32,Admission!$1:$998,10,0),"")</f>
        <v/>
      </c>
      <c r="E32" s="59" t="str">
        <f>IFERROR(VLOOKUP($A32,Admission!$1:$998,3,0),"")</f>
        <v/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1:21" ht="15.75" customHeight="1" x14ac:dyDescent="0.15">
      <c r="A33" s="58"/>
      <c r="B33" s="59" t="str">
        <f>IFERROR(VLOOKUP($A33,Admission!$1:$998,4,0),"")</f>
        <v/>
      </c>
      <c r="C33" s="59" t="str">
        <f>IFERROR(VLOOKUP($A33,Admission!$1:$998,5,0),"")</f>
        <v/>
      </c>
      <c r="D33" s="59" t="str">
        <f>IFERROR(VLOOKUP($A33,Admission!$1:$998,10,0),"")</f>
        <v/>
      </c>
      <c r="E33" s="59" t="str">
        <f>IFERROR(VLOOKUP($A33,Admission!$1:$998,3,0),"")</f>
        <v/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1:21" ht="15.75" customHeight="1" x14ac:dyDescent="0.15">
      <c r="A34" s="58"/>
      <c r="B34" s="59" t="str">
        <f>IFERROR(VLOOKUP($A34,Admission!$1:$998,4,0),"")</f>
        <v/>
      </c>
      <c r="C34" s="59" t="str">
        <f>IFERROR(VLOOKUP($A34,Admission!$1:$998,5,0),"")</f>
        <v/>
      </c>
      <c r="D34" s="59" t="str">
        <f>IFERROR(VLOOKUP($A34,Admission!$1:$998,10,0),"")</f>
        <v/>
      </c>
      <c r="E34" s="59" t="str">
        <f>IFERROR(VLOOKUP($A34,Admission!$1:$998,3,0),"")</f>
        <v/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1:21" ht="15.75" customHeight="1" x14ac:dyDescent="0.15">
      <c r="A35" s="58"/>
      <c r="B35" s="59" t="str">
        <f>IFERROR(VLOOKUP($A35,Admission!$1:$998,4,0),"")</f>
        <v/>
      </c>
      <c r="C35" s="59" t="str">
        <f>IFERROR(VLOOKUP($A35,Admission!$1:$998,5,0),"")</f>
        <v/>
      </c>
      <c r="D35" s="59" t="str">
        <f>IFERROR(VLOOKUP($A35,Admission!$1:$998,10,0),"")</f>
        <v/>
      </c>
      <c r="E35" s="59" t="str">
        <f>IFERROR(VLOOKUP($A35,Admission!$1:$998,3,0),"")</f>
        <v/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1:21" ht="15.75" customHeight="1" x14ac:dyDescent="0.15">
      <c r="A36" s="58"/>
      <c r="B36" s="59" t="str">
        <f>IFERROR(VLOOKUP($A36,Admission!$1:$998,4,0),"")</f>
        <v/>
      </c>
      <c r="C36" s="59" t="str">
        <f>IFERROR(VLOOKUP($A36,Admission!$1:$998,5,0),"")</f>
        <v/>
      </c>
      <c r="D36" s="59" t="str">
        <f>IFERROR(VLOOKUP($A36,Admission!$1:$998,10,0),"")</f>
        <v/>
      </c>
      <c r="E36" s="59" t="str">
        <f>IFERROR(VLOOKUP($A36,Admission!$1:$998,3,0),"")</f>
        <v/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1:21" ht="15.75" customHeight="1" x14ac:dyDescent="0.15">
      <c r="A37" s="58"/>
      <c r="B37" s="59" t="str">
        <f>IFERROR(VLOOKUP($A37,Admission!$1:$998,4,0),"")</f>
        <v/>
      </c>
      <c r="C37" s="59" t="str">
        <f>IFERROR(VLOOKUP($A37,Admission!$1:$998,5,0),"")</f>
        <v/>
      </c>
      <c r="D37" s="59" t="str">
        <f>IFERROR(VLOOKUP($A37,Admission!$1:$998,10,0),"")</f>
        <v/>
      </c>
      <c r="E37" s="59" t="str">
        <f>IFERROR(VLOOKUP($A37,Admission!$1:$998,3,0),"")</f>
        <v/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1:21" ht="15.75" customHeight="1" x14ac:dyDescent="0.15">
      <c r="A38" s="58"/>
      <c r="B38" s="59" t="str">
        <f>IFERROR(VLOOKUP($A38,Admission!$1:$998,4,0),"")</f>
        <v/>
      </c>
      <c r="C38" s="59" t="str">
        <f>IFERROR(VLOOKUP($A38,Admission!$1:$998,5,0),"")</f>
        <v/>
      </c>
      <c r="D38" s="59" t="str">
        <f>IFERROR(VLOOKUP($A38,Admission!$1:$998,10,0),"")</f>
        <v/>
      </c>
      <c r="E38" s="59" t="str">
        <f>IFERROR(VLOOKUP($A38,Admission!$1:$998,3,0),"")</f>
        <v/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1:21" ht="15.75" customHeight="1" x14ac:dyDescent="0.15">
      <c r="A39" s="58"/>
      <c r="B39" s="59" t="str">
        <f>IFERROR(VLOOKUP($A39,Admission!$1:$998,4,0),"")</f>
        <v/>
      </c>
      <c r="C39" s="59" t="str">
        <f>IFERROR(VLOOKUP($A39,Admission!$1:$998,5,0),"")</f>
        <v/>
      </c>
      <c r="D39" s="59" t="str">
        <f>IFERROR(VLOOKUP($A39,Admission!$1:$998,10,0),"")</f>
        <v/>
      </c>
      <c r="E39" s="59" t="str">
        <f>IFERROR(VLOOKUP($A39,Admission!$1:$998,3,0),"")</f>
        <v/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ht="15.75" customHeight="1" x14ac:dyDescent="0.15">
      <c r="A40" s="58"/>
      <c r="B40" s="59" t="str">
        <f>IFERROR(VLOOKUP($A40,Admission!$1:$998,4,0),"")</f>
        <v/>
      </c>
      <c r="C40" s="59" t="str">
        <f>IFERROR(VLOOKUP($A40,Admission!$1:$998,5,0),"")</f>
        <v/>
      </c>
      <c r="D40" s="59" t="str">
        <f>IFERROR(VLOOKUP($A40,Admission!$1:$998,10,0),"")</f>
        <v/>
      </c>
      <c r="E40" s="59" t="str">
        <f>IFERROR(VLOOKUP($A40,Admission!$1:$998,3,0),"")</f>
        <v/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1:21" ht="15.75" customHeight="1" x14ac:dyDescent="0.15">
      <c r="A41" s="58"/>
      <c r="B41" s="59" t="str">
        <f>IFERROR(VLOOKUP($A41,Admission!$1:$998,4,0),"")</f>
        <v/>
      </c>
      <c r="C41" s="59" t="str">
        <f>IFERROR(VLOOKUP($A41,Admission!$1:$998,5,0),"")</f>
        <v/>
      </c>
      <c r="D41" s="59" t="str">
        <f>IFERROR(VLOOKUP($A41,Admission!$1:$998,10,0),"")</f>
        <v/>
      </c>
      <c r="E41" s="59" t="str">
        <f>IFERROR(VLOOKUP($A41,Admission!$1:$998,3,0),"")</f>
        <v/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1:21" ht="15.75" customHeight="1" x14ac:dyDescent="0.15">
      <c r="A42" s="58"/>
      <c r="B42" s="59" t="str">
        <f>IFERROR(VLOOKUP($A42,Admission!$1:$998,4,0),"")</f>
        <v/>
      </c>
      <c r="C42" s="59" t="str">
        <f>IFERROR(VLOOKUP($A42,Admission!$1:$998,5,0),"")</f>
        <v/>
      </c>
      <c r="D42" s="59" t="str">
        <f>IFERROR(VLOOKUP($A42,Admission!$1:$998,10,0),"")</f>
        <v/>
      </c>
      <c r="E42" s="59" t="str">
        <f>IFERROR(VLOOKUP($A42,Admission!$1:$998,3,0),"")</f>
        <v/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1:21" ht="15.75" customHeight="1" x14ac:dyDescent="0.15">
      <c r="A43" s="58"/>
      <c r="B43" s="59" t="str">
        <f>IFERROR(VLOOKUP($A43,Admission!$1:$998,4,0),"")</f>
        <v/>
      </c>
      <c r="C43" s="59" t="str">
        <f>IFERROR(VLOOKUP($A43,Admission!$1:$998,5,0),"")</f>
        <v/>
      </c>
      <c r="D43" s="59" t="str">
        <f>IFERROR(VLOOKUP($A43,Admission!$1:$998,10,0),"")</f>
        <v/>
      </c>
      <c r="E43" s="59" t="str">
        <f>IFERROR(VLOOKUP($A43,Admission!$1:$998,3,0),"")</f>
        <v/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21" ht="15.75" customHeight="1" x14ac:dyDescent="0.15">
      <c r="A44" s="58"/>
      <c r="B44" s="59" t="str">
        <f>IFERROR(VLOOKUP($A44,Admission!$1:$998,4,0),"")</f>
        <v/>
      </c>
      <c r="C44" s="59" t="str">
        <f>IFERROR(VLOOKUP($A44,Admission!$1:$998,5,0),"")</f>
        <v/>
      </c>
      <c r="D44" s="59" t="str">
        <f>IFERROR(VLOOKUP($A44,Admission!$1:$998,10,0),"")</f>
        <v/>
      </c>
      <c r="E44" s="59" t="str">
        <f>IFERROR(VLOOKUP($A44,Admission!$1:$998,3,0),"")</f>
        <v/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21" ht="15.75" customHeight="1" x14ac:dyDescent="0.15">
      <c r="A45" s="58"/>
      <c r="B45" s="59" t="str">
        <f>IFERROR(VLOOKUP($A45,Admission!$1:$998,4,0),"")</f>
        <v/>
      </c>
      <c r="C45" s="59" t="str">
        <f>IFERROR(VLOOKUP($A45,Admission!$1:$998,5,0),"")</f>
        <v/>
      </c>
      <c r="D45" s="59"/>
      <c r="E45" s="59" t="str">
        <f>IFERROR(VLOOKUP($A45,Admission!$1:$998,3,0),"")</f>
        <v/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1:21" ht="15.75" customHeight="1" x14ac:dyDescent="0.15">
      <c r="A46" s="58"/>
      <c r="B46" s="59" t="str">
        <f>IFERROR(VLOOKUP($A46,Admission!$1:$998,4,0),"")</f>
        <v/>
      </c>
      <c r="C46" s="59" t="str">
        <f>IFERROR(VLOOKUP($A46,Admission!$1:$998,5,0),"")</f>
        <v/>
      </c>
      <c r="D46" s="59"/>
      <c r="E46" s="59" t="str">
        <f>IFERROR(VLOOKUP($A46,Admission!$1:$998,3,0),"")</f>
        <v/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1:21" ht="15.75" customHeight="1" x14ac:dyDescent="0.15">
      <c r="A47" s="58"/>
      <c r="B47" s="59" t="str">
        <f>IFERROR(VLOOKUP($A47,Admission!$1:$998,4,0),"")</f>
        <v/>
      </c>
      <c r="C47" s="59" t="str">
        <f>IFERROR(VLOOKUP($A47,Admission!$1:$998,5,0),"")</f>
        <v/>
      </c>
      <c r="D47" s="59"/>
      <c r="E47" s="59" t="str">
        <f>IFERROR(VLOOKUP($A47,Admission!$1:$998,3,0),"")</f>
        <v/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1:21" ht="15.75" customHeight="1" x14ac:dyDescent="0.15">
      <c r="A48" s="58"/>
      <c r="B48" s="59" t="str">
        <f>IFERROR(VLOOKUP($A48,Admission!$1:$998,4,0),"")</f>
        <v/>
      </c>
      <c r="C48" s="59" t="str">
        <f>IFERROR(VLOOKUP($A48,Admission!$1:$998,5,0),"")</f>
        <v/>
      </c>
      <c r="D48" s="59"/>
      <c r="E48" s="59" t="str">
        <f>IFERROR(VLOOKUP($A48,Admission!$1:$998,3,0),"")</f>
        <v/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1:21" ht="15.75" customHeight="1" x14ac:dyDescent="0.15">
      <c r="A49" s="58"/>
      <c r="B49" s="59" t="str">
        <f>IFERROR(VLOOKUP($A49,Admission!$1:$998,4,0),"")</f>
        <v/>
      </c>
      <c r="C49" s="59" t="str">
        <f>IFERROR(VLOOKUP($A49,Admission!$1:$998,5,0),"")</f>
        <v/>
      </c>
      <c r="D49" s="59"/>
      <c r="E49" s="59" t="str">
        <f>IFERROR(VLOOKUP($A49,Admission!$1:$998,3,0),"")</f>
        <v/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1:21" ht="15.75" customHeight="1" x14ac:dyDescent="0.15">
      <c r="A50" s="58"/>
      <c r="B50" s="59" t="str">
        <f>IFERROR(VLOOKUP($A50,Admission!$1:$998,4,0),"")</f>
        <v/>
      </c>
      <c r="C50" s="59" t="str">
        <f>IFERROR(VLOOKUP($A50,Admission!$1:$998,5,0),"")</f>
        <v/>
      </c>
      <c r="D50" s="59"/>
      <c r="E50" s="59" t="str">
        <f>IFERROR(VLOOKUP($A50,Admission!$1:$998,3,0),"")</f>
        <v/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1:21" ht="15.75" customHeight="1" x14ac:dyDescent="0.15">
      <c r="A51" s="58"/>
      <c r="B51" s="59" t="str">
        <f>IFERROR(VLOOKUP($A51,Admission!$1:$998,4,0),"")</f>
        <v/>
      </c>
      <c r="C51" s="59" t="str">
        <f>IFERROR(VLOOKUP($A51,Admission!$1:$998,5,0),"")</f>
        <v/>
      </c>
      <c r="D51" s="59"/>
      <c r="E51" s="59" t="str">
        <f>IFERROR(VLOOKUP($A51,Admission!$1:$998,3,0),"")</f>
        <v/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</row>
    <row r="52" spans="1:21" ht="15.75" customHeight="1" x14ac:dyDescent="0.15">
      <c r="A52" s="58"/>
      <c r="B52" s="59" t="str">
        <f>IFERROR(VLOOKUP($A52,Admission!$1:$998,4,0),"")</f>
        <v/>
      </c>
      <c r="C52" s="59" t="str">
        <f>IFERROR(VLOOKUP($A52,Admission!$1:$998,5,0),"")</f>
        <v/>
      </c>
      <c r="D52" s="59"/>
      <c r="E52" s="59" t="str">
        <f>IFERROR(VLOOKUP($A52,Admission!$1:$998,3,0),"")</f>
        <v/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ht="15.75" customHeight="1" x14ac:dyDescent="0.15">
      <c r="A53" s="58"/>
      <c r="B53" s="59" t="str">
        <f>IFERROR(VLOOKUP($A53,Admission!$1:$998,4,0),"")</f>
        <v/>
      </c>
      <c r="C53" s="59" t="str">
        <f>IFERROR(VLOOKUP($A53,Admission!$1:$998,5,0),"")</f>
        <v/>
      </c>
      <c r="D53" s="59"/>
      <c r="E53" s="59" t="str">
        <f>IFERROR(VLOOKUP($A53,Admission!$1:$998,3,0),"")</f>
        <v/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1:21" ht="15.75" customHeight="1" x14ac:dyDescent="0.15">
      <c r="A54" s="58"/>
      <c r="B54" s="59" t="str">
        <f>IFERROR(VLOOKUP($A54,Admission!$1:$998,4,0),"")</f>
        <v/>
      </c>
      <c r="C54" s="59" t="str">
        <f>IFERROR(VLOOKUP($A54,Admission!$1:$998,5,0),"")</f>
        <v/>
      </c>
      <c r="D54" s="59"/>
      <c r="E54" s="59" t="str">
        <f>IFERROR(VLOOKUP($A54,Admission!$1:$998,3,0),"")</f>
        <v/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1:21" ht="15.75" customHeight="1" x14ac:dyDescent="0.15">
      <c r="A55" s="58"/>
      <c r="B55" s="59" t="str">
        <f>IFERROR(VLOOKUP($A55,Admission!$1:$998,4,0),"")</f>
        <v/>
      </c>
      <c r="C55" s="59" t="str">
        <f>IFERROR(VLOOKUP($A55,Admission!$1:$998,5,0),"")</f>
        <v/>
      </c>
      <c r="D55" s="59"/>
      <c r="E55" s="59" t="str">
        <f>IFERROR(VLOOKUP($A55,Admission!$1:$998,3,0),"")</f>
        <v/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 spans="1:21" ht="15.75" customHeight="1" x14ac:dyDescent="0.15">
      <c r="A56" s="58"/>
      <c r="B56" s="59" t="str">
        <f>IFERROR(VLOOKUP($A56,Admission!$1:$998,4,0),"")</f>
        <v/>
      </c>
      <c r="C56" s="59" t="str">
        <f>IFERROR(VLOOKUP($A56,Admission!$1:$998,5,0),"")</f>
        <v/>
      </c>
      <c r="D56" s="59"/>
      <c r="E56" s="59" t="str">
        <f>IFERROR(VLOOKUP($A56,Admission!$1:$998,3,0),"")</f>
        <v/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1:21" ht="15.75" customHeight="1" x14ac:dyDescent="0.15">
      <c r="A57" s="58"/>
      <c r="B57" s="59" t="str">
        <f>IFERROR(VLOOKUP($A57,Admission!$1:$998,4,0),"")</f>
        <v/>
      </c>
      <c r="C57" s="59" t="str">
        <f>IFERROR(VLOOKUP($A57,Admission!$1:$998,5,0),"")</f>
        <v/>
      </c>
      <c r="D57" s="59"/>
      <c r="E57" s="59" t="str">
        <f>IFERROR(VLOOKUP($A57,Admission!$1:$998,3,0),"")</f>
        <v/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1:21" ht="15.75" customHeight="1" x14ac:dyDescent="0.15">
      <c r="A58" s="58"/>
      <c r="B58" s="59" t="str">
        <f>IFERROR(VLOOKUP($A58,Admission!$1:$998,4,0),"")</f>
        <v/>
      </c>
      <c r="C58" s="59" t="str">
        <f>IFERROR(VLOOKUP($A58,Admission!$1:$998,5,0),"")</f>
        <v/>
      </c>
      <c r="D58" s="59"/>
      <c r="E58" s="59" t="str">
        <f>IFERROR(VLOOKUP($A58,Admission!$1:$998,3,0),"")</f>
        <v/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1:21" ht="15.75" customHeight="1" x14ac:dyDescent="0.15">
      <c r="A59" s="58"/>
      <c r="B59" s="59" t="str">
        <f>IFERROR(VLOOKUP($A59,Admission!$1:$998,4,0),"")</f>
        <v/>
      </c>
      <c r="C59" s="59" t="str">
        <f>IFERROR(VLOOKUP($A59,Admission!$1:$998,5,0),"")</f>
        <v/>
      </c>
      <c r="D59" s="59"/>
      <c r="E59" s="59" t="str">
        <f>IFERROR(VLOOKUP($A59,Admission!$1:$998,3,0),"")</f>
        <v/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1:21" ht="15.75" customHeight="1" x14ac:dyDescent="0.15">
      <c r="A60" s="58"/>
      <c r="B60" s="59" t="str">
        <f>IFERROR(VLOOKUP($A60,Admission!$1:$998,4,0),"")</f>
        <v/>
      </c>
      <c r="C60" s="59" t="str">
        <f>IFERROR(VLOOKUP($A60,Admission!$1:$998,5,0),"")</f>
        <v/>
      </c>
      <c r="D60" s="59"/>
      <c r="E60" s="59" t="str">
        <f>IFERROR(VLOOKUP($A60,Admission!$1:$998,3,0),"")</f>
        <v/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</row>
    <row r="61" spans="1:21" ht="15.75" customHeight="1" x14ac:dyDescent="0.15">
      <c r="A61" s="58"/>
      <c r="B61" s="59" t="str">
        <f>IFERROR(VLOOKUP($A61,Admission!$1:$998,4,0),"")</f>
        <v/>
      </c>
      <c r="C61" s="59" t="str">
        <f>IFERROR(VLOOKUP($A61,Admission!$1:$998,5,0),"")</f>
        <v/>
      </c>
      <c r="D61" s="59"/>
      <c r="E61" s="59" t="str">
        <f>IFERROR(VLOOKUP($A61,Admission!$1:$998,3,0),"")</f>
        <v/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1:21" ht="15.75" customHeight="1" x14ac:dyDescent="0.15">
      <c r="A62" s="58"/>
      <c r="B62" s="59" t="str">
        <f>IFERROR(VLOOKUP($A62,Admission!$1:$998,4,0),"")</f>
        <v/>
      </c>
      <c r="C62" s="59" t="str">
        <f>IFERROR(VLOOKUP($A62,Admission!$1:$998,5,0),"")</f>
        <v/>
      </c>
      <c r="D62" s="59"/>
      <c r="E62" s="59" t="str">
        <f>IFERROR(VLOOKUP($A62,Admission!$1:$998,3,0),"")</f>
        <v/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1:21" ht="15.75" customHeight="1" x14ac:dyDescent="0.15">
      <c r="A63" s="58"/>
      <c r="B63" s="59" t="str">
        <f>IFERROR(VLOOKUP($A63,Admission!$1:$998,4,0),"")</f>
        <v/>
      </c>
      <c r="C63" s="59" t="str">
        <f>IFERROR(VLOOKUP($A63,Admission!$1:$998,5,0),"")</f>
        <v/>
      </c>
      <c r="D63" s="59"/>
      <c r="E63" s="59" t="str">
        <f>IFERROR(VLOOKUP($A63,Admission!$1:$998,3,0),"")</f>
        <v/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1:21" ht="15.75" customHeight="1" x14ac:dyDescent="0.15">
      <c r="A64" s="58"/>
      <c r="B64" s="59" t="str">
        <f>IFERROR(VLOOKUP($A64,Admission!$1:$998,4,0),"")</f>
        <v/>
      </c>
      <c r="C64" s="59" t="str">
        <f>IFERROR(VLOOKUP($A64,Admission!$1:$998,5,0),"")</f>
        <v/>
      </c>
      <c r="D64" s="59"/>
      <c r="E64" s="59" t="str">
        <f>IFERROR(VLOOKUP($A64,Admission!$1:$998,3,0),"")</f>
        <v/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</row>
    <row r="65" spans="1:21" ht="15.75" customHeight="1" x14ac:dyDescent="0.15">
      <c r="A65" s="58"/>
      <c r="B65" s="59" t="str">
        <f>IFERROR(VLOOKUP($A65,Admission!$1:$998,4,0),"")</f>
        <v/>
      </c>
      <c r="C65" s="59" t="str">
        <f>IFERROR(VLOOKUP($A65,Admission!$1:$998,5,0),"")</f>
        <v/>
      </c>
      <c r="D65" s="59"/>
      <c r="E65" s="59" t="str">
        <f>IFERROR(VLOOKUP($A65,Admission!$1:$998,3,0),"")</f>
        <v/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1:21" ht="15.75" customHeight="1" x14ac:dyDescent="0.15">
      <c r="A66" s="58"/>
      <c r="B66" s="59" t="str">
        <f>IFERROR(VLOOKUP($A66,Admission!$1:$998,4,0),"")</f>
        <v/>
      </c>
      <c r="C66" s="59" t="str">
        <f>IFERROR(VLOOKUP($A66,Admission!$1:$998,5,0),"")</f>
        <v/>
      </c>
      <c r="D66" s="59"/>
      <c r="E66" s="59" t="str">
        <f>IFERROR(VLOOKUP($A66,Admission!$1:$998,3,0),"")</f>
        <v/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1:21" ht="15.75" customHeight="1" x14ac:dyDescent="0.15">
      <c r="A67" s="58"/>
      <c r="B67" s="59" t="str">
        <f>IFERROR(VLOOKUP($A67,Admission!$1:$998,4,0),"")</f>
        <v/>
      </c>
      <c r="C67" s="59" t="str">
        <f>IFERROR(VLOOKUP($A67,Admission!$1:$998,5,0),"")</f>
        <v/>
      </c>
      <c r="D67" s="59"/>
      <c r="E67" s="59" t="str">
        <f>IFERROR(VLOOKUP($A67,Admission!$1:$998,3,0),"")</f>
        <v/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1:21" ht="15.75" customHeight="1" x14ac:dyDescent="0.15">
      <c r="A68" s="58"/>
      <c r="B68" s="59" t="str">
        <f>IFERROR(VLOOKUP($A68,Admission!$1:$998,4,0),"")</f>
        <v/>
      </c>
      <c r="C68" s="59" t="str">
        <f>IFERROR(VLOOKUP($A68,Admission!$1:$998,5,0),"")</f>
        <v/>
      </c>
      <c r="D68" s="59"/>
      <c r="E68" s="59" t="str">
        <f>IFERROR(VLOOKUP($A68,Admission!$1:$998,3,0),"")</f>
        <v/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</row>
    <row r="69" spans="1:21" ht="15.75" customHeight="1" x14ac:dyDescent="0.15">
      <c r="A69" s="58"/>
      <c r="B69" s="59" t="str">
        <f>IFERROR(VLOOKUP($A69,Admission!$1:$998,4,0),"")</f>
        <v/>
      </c>
      <c r="C69" s="59" t="str">
        <f>IFERROR(VLOOKUP($A69,Admission!$1:$998,5,0),"")</f>
        <v/>
      </c>
      <c r="D69" s="59"/>
      <c r="E69" s="59" t="str">
        <f>IFERROR(VLOOKUP($A69,Admission!$1:$998,3,0),"")</f>
        <v/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1:21" ht="15.75" customHeight="1" x14ac:dyDescent="0.15">
      <c r="A70" s="58"/>
      <c r="B70" s="59" t="str">
        <f>IFERROR(VLOOKUP($A70,Admission!$1:$998,4,0),"")</f>
        <v/>
      </c>
      <c r="C70" s="59" t="str">
        <f>IFERROR(VLOOKUP($A70,Admission!$1:$998,5,0),"")</f>
        <v/>
      </c>
      <c r="D70" s="59"/>
      <c r="E70" s="59" t="str">
        <f>IFERROR(VLOOKUP($A70,Admission!$1:$998,3,0),"")</f>
        <v/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1:21" ht="15.75" customHeight="1" x14ac:dyDescent="0.15">
      <c r="A71" s="58"/>
      <c r="B71" s="59" t="str">
        <f>IFERROR(VLOOKUP($A71,Admission!$1:$998,4,0),"")</f>
        <v/>
      </c>
      <c r="C71" s="59" t="str">
        <f>IFERROR(VLOOKUP($A71,Admission!$1:$998,5,0),"")</f>
        <v/>
      </c>
      <c r="D71" s="59"/>
      <c r="E71" s="59" t="str">
        <f>IFERROR(VLOOKUP($A71,Admission!$1:$998,3,0),"")</f>
        <v/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1:21" ht="15.75" customHeight="1" x14ac:dyDescent="0.15">
      <c r="A72" s="58"/>
      <c r="B72" s="59" t="str">
        <f>IFERROR(VLOOKUP($A72,Admission!$1:$998,4,0),"")</f>
        <v/>
      </c>
      <c r="C72" s="59" t="str">
        <f>IFERROR(VLOOKUP($A72,Admission!$1:$998,5,0),"")</f>
        <v/>
      </c>
      <c r="D72" s="59"/>
      <c r="E72" s="59" t="str">
        <f>IFERROR(VLOOKUP($A72,Admission!$1:$998,3,0),"")</f>
        <v/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1:21" ht="15.75" customHeight="1" x14ac:dyDescent="0.15">
      <c r="A73" s="58"/>
      <c r="B73" s="59" t="str">
        <f>IFERROR(VLOOKUP($A73,Admission!$1:$998,4,0),"")</f>
        <v/>
      </c>
      <c r="C73" s="59" t="str">
        <f>IFERROR(VLOOKUP($A73,Admission!$1:$998,5,0),"")</f>
        <v/>
      </c>
      <c r="D73" s="59"/>
      <c r="E73" s="59" t="str">
        <f>IFERROR(VLOOKUP($A73,Admission!$1:$998,3,0),"")</f>
        <v/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</row>
    <row r="74" spans="1:21" ht="15.75" customHeight="1" x14ac:dyDescent="0.15">
      <c r="A74" s="58"/>
      <c r="B74" s="59" t="str">
        <f>IFERROR(VLOOKUP($A74,Admission!$1:$998,4,0),"")</f>
        <v/>
      </c>
      <c r="C74" s="59" t="str">
        <f>IFERROR(VLOOKUP($A74,Admission!$1:$998,5,0),"")</f>
        <v/>
      </c>
      <c r="D74" s="59"/>
      <c r="E74" s="59" t="str">
        <f>IFERROR(VLOOKUP($A74,Admission!$1:$998,3,0),"")</f>
        <v/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1:21" ht="15.75" customHeight="1" x14ac:dyDescent="0.15">
      <c r="A75" s="58"/>
      <c r="B75" s="59" t="str">
        <f>IFERROR(VLOOKUP($A75,Admission!$1:$998,4,0),"")</f>
        <v/>
      </c>
      <c r="C75" s="59" t="str">
        <f>IFERROR(VLOOKUP($A75,Admission!$1:$998,5,0),"")</f>
        <v/>
      </c>
      <c r="D75" s="59"/>
      <c r="E75" s="59" t="str">
        <f>IFERROR(VLOOKUP($A75,Admission!$1:$998,3,0),"")</f>
        <v/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1:21" ht="15.75" customHeight="1" x14ac:dyDescent="0.15">
      <c r="A76" s="58"/>
      <c r="B76" s="59" t="str">
        <f>IFERROR(VLOOKUP($A76,Admission!$1:$998,4,0),"")</f>
        <v/>
      </c>
      <c r="C76" s="59" t="str">
        <f>IFERROR(VLOOKUP($A76,Admission!$1:$998,5,0),"")</f>
        <v/>
      </c>
      <c r="D76" s="59"/>
      <c r="E76" s="59" t="str">
        <f>IFERROR(VLOOKUP($A76,Admission!$1:$998,3,0),"")</f>
        <v/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1:21" ht="15.75" customHeight="1" x14ac:dyDescent="0.15">
      <c r="A77" s="58"/>
      <c r="B77" s="59" t="str">
        <f>IFERROR(VLOOKUP($A77,Admission!$1:$998,4,0),"")</f>
        <v/>
      </c>
      <c r="C77" s="59" t="str">
        <f>IFERROR(VLOOKUP($A77,Admission!$1:$998,5,0),"")</f>
        <v/>
      </c>
      <c r="D77" s="59"/>
      <c r="E77" s="59" t="str">
        <f>IFERROR(VLOOKUP($A77,Admission!$1:$998,3,0),"")</f>
        <v/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1:21" ht="15.75" customHeight="1" x14ac:dyDescent="0.15">
      <c r="A78" s="58"/>
      <c r="B78" s="59" t="str">
        <f>IFERROR(VLOOKUP($A78,Admission!$1:$998,4,0),"")</f>
        <v/>
      </c>
      <c r="C78" s="59" t="str">
        <f>IFERROR(VLOOKUP($A78,Admission!$1:$998,5,0),"")</f>
        <v/>
      </c>
      <c r="D78" s="59"/>
      <c r="E78" s="59" t="str">
        <f>IFERROR(VLOOKUP($A78,Admission!$1:$998,3,0),"")</f>
        <v/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1:21" ht="15.75" customHeight="1" x14ac:dyDescent="0.15">
      <c r="A79" s="58"/>
      <c r="B79" s="59" t="str">
        <f>IFERROR(VLOOKUP($A79,Admission!$1:$998,4,0),"")</f>
        <v/>
      </c>
      <c r="C79" s="59" t="str">
        <f>IFERROR(VLOOKUP($A79,Admission!$1:$998,5,0),"")</f>
        <v/>
      </c>
      <c r="D79" s="59"/>
      <c r="E79" s="59" t="str">
        <f>IFERROR(VLOOKUP($A79,Admission!$1:$998,3,0),"")</f>
        <v/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1:21" ht="15.75" customHeight="1" x14ac:dyDescent="0.15">
      <c r="A80" s="58"/>
      <c r="B80" s="59" t="str">
        <f>IFERROR(VLOOKUP($A80,Admission!$1:$998,4,0),"")</f>
        <v/>
      </c>
      <c r="C80" s="59" t="str">
        <f>IFERROR(VLOOKUP($A80,Admission!$1:$998,5,0),"")</f>
        <v/>
      </c>
      <c r="D80" s="59"/>
      <c r="E80" s="59" t="str">
        <f>IFERROR(VLOOKUP($A80,Admission!$1:$998,3,0),"")</f>
        <v/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1:21" ht="15.75" customHeight="1" x14ac:dyDescent="0.15">
      <c r="A81" s="58"/>
      <c r="B81" s="59" t="str">
        <f>IFERROR(VLOOKUP($A81,Admission!$1:$998,4,0),"")</f>
        <v/>
      </c>
      <c r="C81" s="59" t="str">
        <f>IFERROR(VLOOKUP($A81,Admission!$1:$998,5,0),"")</f>
        <v/>
      </c>
      <c r="D81" s="59"/>
      <c r="E81" s="59" t="str">
        <f>IFERROR(VLOOKUP($A81,Admission!$1:$998,3,0),"")</f>
        <v/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1:21" ht="15.75" customHeight="1" x14ac:dyDescent="0.15">
      <c r="A82" s="58"/>
      <c r="B82" s="59" t="str">
        <f>IFERROR(VLOOKUP($A82,Admission!$1:$998,4,0),"")</f>
        <v/>
      </c>
      <c r="C82" s="59" t="str">
        <f>IFERROR(VLOOKUP($A82,Admission!$1:$998,5,0),"")</f>
        <v/>
      </c>
      <c r="D82" s="59"/>
      <c r="E82" s="59" t="str">
        <f>IFERROR(VLOOKUP($A82,Admission!$1:$998,3,0),"")</f>
        <v/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1:21" ht="15.75" customHeight="1" x14ac:dyDescent="0.15">
      <c r="A83" s="58"/>
      <c r="B83" s="59" t="str">
        <f>IFERROR(VLOOKUP($A83,Admission!$1:$998,4,0),"")</f>
        <v/>
      </c>
      <c r="C83" s="59" t="str">
        <f>IFERROR(VLOOKUP($A83,Admission!$1:$998,5,0),"")</f>
        <v/>
      </c>
      <c r="D83" s="59"/>
      <c r="E83" s="59" t="str">
        <f>IFERROR(VLOOKUP($A83,Admission!$1:$998,3,0),"")</f>
        <v/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1:21" ht="15.75" customHeight="1" x14ac:dyDescent="0.15">
      <c r="A84" s="58"/>
      <c r="B84" s="59" t="str">
        <f>IFERROR(VLOOKUP($A84,Admission!$1:$998,4,0),"")</f>
        <v/>
      </c>
      <c r="C84" s="59" t="str">
        <f>IFERROR(VLOOKUP($A84,Admission!$1:$998,5,0),"")</f>
        <v/>
      </c>
      <c r="D84" s="59"/>
      <c r="E84" s="59" t="str">
        <f>IFERROR(VLOOKUP($A84,Admission!$1:$998,3,0),"")</f>
        <v/>
      </c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1:21" ht="15.75" customHeight="1" x14ac:dyDescent="0.15">
      <c r="A85" s="58"/>
      <c r="B85" s="59" t="str">
        <f>IFERROR(VLOOKUP($A85,Admission!$1:$998,4,0),"")</f>
        <v/>
      </c>
      <c r="C85" s="59" t="str">
        <f>IFERROR(VLOOKUP($A85,Admission!$1:$998,5,0),"")</f>
        <v/>
      </c>
      <c r="D85" s="59"/>
      <c r="E85" s="59" t="str">
        <f>IFERROR(VLOOKUP($A85,Admission!$1:$998,3,0),"")</f>
        <v/>
      </c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1:21" ht="15.75" customHeight="1" x14ac:dyDescent="0.15">
      <c r="A86" s="58"/>
      <c r="B86" s="59" t="str">
        <f>IFERROR(VLOOKUP($A86,Admission!$1:$998,4,0),"")</f>
        <v/>
      </c>
      <c r="C86" s="59" t="str">
        <f>IFERROR(VLOOKUP($A86,Admission!$1:$998,5,0),"")</f>
        <v/>
      </c>
      <c r="D86" s="59"/>
      <c r="E86" s="59" t="str">
        <f>IFERROR(VLOOKUP($A86,Admission!$1:$998,3,0),"")</f>
        <v/>
      </c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1:21" ht="15.75" customHeight="1" x14ac:dyDescent="0.15">
      <c r="A87" s="58"/>
      <c r="B87" s="59" t="str">
        <f>IFERROR(VLOOKUP($A87,Admission!$1:$998,4,0),"")</f>
        <v/>
      </c>
      <c r="C87" s="59" t="str">
        <f>IFERROR(VLOOKUP($A87,Admission!$1:$998,5,0),"")</f>
        <v/>
      </c>
      <c r="D87" s="59"/>
      <c r="E87" s="59" t="str">
        <f>IFERROR(VLOOKUP($A87,Admission!$1:$998,3,0),"")</f>
        <v/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1:21" ht="15.75" customHeight="1" x14ac:dyDescent="0.15">
      <c r="A88" s="58"/>
      <c r="B88" s="59" t="str">
        <f>IFERROR(VLOOKUP($A88,Admission!$1:$998,4,0),"")</f>
        <v/>
      </c>
      <c r="C88" s="59" t="str">
        <f>IFERROR(VLOOKUP($A88,Admission!$1:$998,5,0),"")</f>
        <v/>
      </c>
      <c r="D88" s="59"/>
      <c r="E88" s="59" t="str">
        <f>IFERROR(VLOOKUP($A88,Admission!$1:$998,3,0),"")</f>
        <v/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1:21" ht="15.75" customHeight="1" x14ac:dyDescent="0.15">
      <c r="A89" s="58"/>
      <c r="B89" s="59" t="str">
        <f>IFERROR(VLOOKUP($A89,Admission!$1:$998,4,0),"")</f>
        <v/>
      </c>
      <c r="C89" s="59" t="str">
        <f>IFERROR(VLOOKUP($A89,Admission!$1:$998,5,0),"")</f>
        <v/>
      </c>
      <c r="D89" s="59"/>
      <c r="E89" s="59" t="str">
        <f>IFERROR(VLOOKUP($A89,Admission!$1:$998,3,0),"")</f>
        <v/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1:21" ht="15.75" customHeight="1" x14ac:dyDescent="0.15">
      <c r="A90" s="58"/>
      <c r="B90" s="59" t="str">
        <f>IFERROR(VLOOKUP($A90,Admission!$1:$998,4,0),"")</f>
        <v/>
      </c>
      <c r="C90" s="59" t="str">
        <f>IFERROR(VLOOKUP($A90,Admission!$1:$998,5,0),"")</f>
        <v/>
      </c>
      <c r="D90" s="59"/>
      <c r="E90" s="59" t="str">
        <f>IFERROR(VLOOKUP($A90,Admission!$1:$998,3,0),"")</f>
        <v/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1:21" ht="13" x14ac:dyDescent="0.15">
      <c r="A91" s="58"/>
      <c r="B91" s="59" t="str">
        <f>IFERROR(VLOOKUP($A91,Admission!$1:$998,4,0),"")</f>
        <v/>
      </c>
      <c r="C91" s="59" t="str">
        <f>IFERROR(VLOOKUP($A91,Admission!$1:$998,5,0),"")</f>
        <v/>
      </c>
      <c r="D91" s="59"/>
      <c r="E91" s="59" t="str">
        <f>IFERROR(VLOOKUP($A91,Admission!$1:$998,3,0),"")</f>
        <v/>
      </c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1:21" ht="13" x14ac:dyDescent="0.15">
      <c r="A92" s="58"/>
      <c r="B92" s="59" t="str">
        <f>IFERROR(VLOOKUP($A92,Admission!$1:$998,4,0),"")</f>
        <v/>
      </c>
      <c r="C92" s="59" t="str">
        <f>IFERROR(VLOOKUP($A92,Admission!$1:$998,5,0),"")</f>
        <v/>
      </c>
      <c r="D92" s="59"/>
      <c r="E92" s="59" t="str">
        <f>IFERROR(VLOOKUP($A92,Admission!$1:$998,3,0),"")</f>
        <v/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1:21" ht="13" x14ac:dyDescent="0.15">
      <c r="A93" s="58"/>
      <c r="B93" s="59" t="str">
        <f>IFERROR(VLOOKUP($A93,Admission!$1:$998,4,0),"")</f>
        <v/>
      </c>
      <c r="C93" s="59" t="str">
        <f>IFERROR(VLOOKUP($A93,Admission!$1:$998,5,0),"")</f>
        <v/>
      </c>
      <c r="D93" s="59"/>
      <c r="E93" s="59" t="str">
        <f>IFERROR(VLOOKUP($A93,Admission!$1:$998,3,0),"")</f>
        <v/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1:21" ht="13" x14ac:dyDescent="0.15">
      <c r="A94" s="58"/>
      <c r="B94" s="59" t="str">
        <f>IFERROR(VLOOKUP($A94,Admission!$1:$998,4,0),"")</f>
        <v/>
      </c>
      <c r="C94" s="59" t="str">
        <f>IFERROR(VLOOKUP($A94,Admission!$1:$998,5,0),"")</f>
        <v/>
      </c>
      <c r="D94" s="59"/>
      <c r="E94" s="59" t="str">
        <f>IFERROR(VLOOKUP($A94,Admission!$1:$998,3,0),"")</f>
        <v/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1:21" ht="13" x14ac:dyDescent="0.15">
      <c r="A95" s="58"/>
      <c r="B95" s="59" t="str">
        <f>IFERROR(VLOOKUP($A95,Admission!$1:$998,4,0),"")</f>
        <v/>
      </c>
      <c r="C95" s="59" t="str">
        <f>IFERROR(VLOOKUP($A95,Admission!$1:$998,5,0),"")</f>
        <v/>
      </c>
      <c r="D95" s="59"/>
      <c r="E95" s="59" t="str">
        <f>IFERROR(VLOOKUP($A95,Admission!$1:$998,3,0),"")</f>
        <v/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1:21" ht="13" x14ac:dyDescent="0.15">
      <c r="A96" s="58"/>
      <c r="B96" s="59" t="str">
        <f>IFERROR(VLOOKUP($A96,Admission!$1:$998,4,0),"")</f>
        <v/>
      </c>
      <c r="C96" s="59" t="str">
        <f>IFERROR(VLOOKUP($A96,Admission!$1:$998,5,0),"")</f>
        <v/>
      </c>
      <c r="D96" s="59"/>
      <c r="E96" s="59" t="str">
        <f>IFERROR(VLOOKUP($A96,Admission!$1:$998,3,0),"")</f>
        <v/>
      </c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1:21" ht="13" x14ac:dyDescent="0.15">
      <c r="A97" s="58"/>
      <c r="B97" s="59" t="str">
        <f>IFERROR(VLOOKUP($A97,Admission!$1:$998,4,0),"")</f>
        <v/>
      </c>
      <c r="C97" s="59" t="str">
        <f>IFERROR(VLOOKUP($A97,Admission!$1:$998,5,0),"")</f>
        <v/>
      </c>
      <c r="D97" s="59"/>
      <c r="E97" s="59" t="str">
        <f>IFERROR(VLOOKUP($A97,Admission!$1:$998,3,0),"")</f>
        <v/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1:21" ht="13" x14ac:dyDescent="0.15">
      <c r="A98" s="58"/>
      <c r="B98" s="59" t="str">
        <f>IFERROR(VLOOKUP($A98,Admission!$1:$998,4,0),"")</f>
        <v/>
      </c>
      <c r="C98" s="59" t="str">
        <f>IFERROR(VLOOKUP($A98,Admission!$1:$998,5,0),"")</f>
        <v/>
      </c>
      <c r="D98" s="59"/>
      <c r="E98" s="59" t="str">
        <f>IFERROR(VLOOKUP($A98,Admission!$1:$998,3,0),"")</f>
        <v/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1:21" ht="13" x14ac:dyDescent="0.15">
      <c r="A99" s="58"/>
      <c r="B99" s="59" t="str">
        <f>IFERROR(VLOOKUP($A99,Admission!$1:$998,4,0),"")</f>
        <v/>
      </c>
      <c r="C99" s="59" t="str">
        <f>IFERROR(VLOOKUP($A99,Admission!$1:$998,5,0),"")</f>
        <v/>
      </c>
      <c r="D99" s="59"/>
      <c r="E99" s="59" t="str">
        <f>IFERROR(VLOOKUP($A99,Admission!$1:$998,3,0),"")</f>
        <v/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1:21" ht="13" x14ac:dyDescent="0.15">
      <c r="A100" s="58"/>
      <c r="B100" s="59" t="str">
        <f>IFERROR(VLOOKUP($A100,Admission!$1:$998,4,0),"")</f>
        <v/>
      </c>
      <c r="C100" s="59" t="str">
        <f>IFERROR(VLOOKUP($A100,Admission!$1:$998,5,0),"")</f>
        <v/>
      </c>
      <c r="D100" s="59"/>
      <c r="E100" s="59" t="str">
        <f>IFERROR(VLOOKUP($A100,Admission!$1:$998,3,0),"")</f>
        <v/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1:21" ht="13" x14ac:dyDescent="0.15">
      <c r="A101" s="58"/>
      <c r="B101" s="59" t="str">
        <f>IFERROR(VLOOKUP($A101,Admission!$1:$998,4,0),"")</f>
        <v/>
      </c>
      <c r="C101" s="59" t="str">
        <f>IFERROR(VLOOKUP($A101,Admission!$1:$998,5,0),"")</f>
        <v/>
      </c>
      <c r="D101" s="59"/>
      <c r="E101" s="59" t="str">
        <f>IFERROR(VLOOKUP($A101,Admission!$1:$998,3,0),"")</f>
        <v/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1:21" ht="13" x14ac:dyDescent="0.15">
      <c r="A102" s="58"/>
      <c r="B102" s="59" t="str">
        <f>IFERROR(VLOOKUP($A102,Admission!$1:$998,4,0),"")</f>
        <v/>
      </c>
      <c r="C102" s="59" t="str">
        <f>IFERROR(VLOOKUP($A102,Admission!$1:$998,5,0),"")</f>
        <v/>
      </c>
      <c r="D102" s="59"/>
      <c r="E102" s="59" t="str">
        <f>IFERROR(VLOOKUP($A102,Admission!$1:$998,3,0),"")</f>
        <v/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1:21" ht="13" x14ac:dyDescent="0.15">
      <c r="A103" s="58"/>
      <c r="B103" s="59" t="str">
        <f>IFERROR(VLOOKUP($A103,Admission!$1:$998,4,0),"")</f>
        <v/>
      </c>
      <c r="C103" s="59" t="str">
        <f>IFERROR(VLOOKUP($A103,Admission!$1:$998,5,0),"")</f>
        <v/>
      </c>
      <c r="D103" s="59"/>
      <c r="E103" s="59" t="str">
        <f>IFERROR(VLOOKUP($A103,Admission!$1:$998,3,0),"")</f>
        <v/>
      </c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1:21" ht="13" x14ac:dyDescent="0.15">
      <c r="A104" s="58"/>
      <c r="B104" s="59" t="str">
        <f>IFERROR(VLOOKUP($A104,Admission!$1:$998,4,0),"")</f>
        <v/>
      </c>
      <c r="C104" s="59" t="str">
        <f>IFERROR(VLOOKUP($A104,Admission!$1:$998,5,0),"")</f>
        <v/>
      </c>
      <c r="D104" s="59"/>
      <c r="E104" s="59" t="str">
        <f>IFERROR(VLOOKUP($A104,Admission!$1:$998,3,0),"")</f>
        <v/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1:21" ht="13" x14ac:dyDescent="0.15">
      <c r="A105" s="58"/>
      <c r="B105" s="59" t="str">
        <f>IFERROR(VLOOKUP($A105,Admission!$1:$998,4,0),"")</f>
        <v/>
      </c>
      <c r="C105" s="59" t="str">
        <f>IFERROR(VLOOKUP($A105,Admission!$1:$998,5,0),"")</f>
        <v/>
      </c>
      <c r="D105" s="59"/>
      <c r="E105" s="59" t="str">
        <f>IFERROR(VLOOKUP($A105,Admission!$1:$998,3,0),"")</f>
        <v/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1:21" ht="13" x14ac:dyDescent="0.15">
      <c r="A106" s="58"/>
      <c r="B106" s="59" t="str">
        <f>IFERROR(VLOOKUP($A106,Admission!$1:$998,4,0),"")</f>
        <v/>
      </c>
      <c r="C106" s="59" t="str">
        <f>IFERROR(VLOOKUP($A106,Admission!$1:$998,5,0),"")</f>
        <v/>
      </c>
      <c r="D106" s="59"/>
      <c r="E106" s="59" t="str">
        <f>IFERROR(VLOOKUP($A106,Admission!$1:$998,3,0),"")</f>
        <v/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1:21" ht="13" x14ac:dyDescent="0.15">
      <c r="A107" s="58"/>
      <c r="B107" s="59" t="str">
        <f>IFERROR(VLOOKUP($A107,Admission!$1:$998,4,0),"")</f>
        <v/>
      </c>
      <c r="C107" s="59" t="str">
        <f>IFERROR(VLOOKUP($A107,Admission!$1:$998,5,0),"")</f>
        <v/>
      </c>
      <c r="D107" s="59"/>
      <c r="E107" s="59" t="str">
        <f>IFERROR(VLOOKUP($A107,Admission!$1:$998,3,0),"")</f>
        <v/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 ht="13" x14ac:dyDescent="0.15">
      <c r="A108" s="58"/>
      <c r="B108" s="59" t="str">
        <f>IFERROR(VLOOKUP($A108,Admission!$1:$998,4,0),"")</f>
        <v/>
      </c>
      <c r="C108" s="59" t="str">
        <f>IFERROR(VLOOKUP($A108,Admission!$1:$998,5,0),"")</f>
        <v/>
      </c>
      <c r="D108" s="59"/>
      <c r="E108" s="59" t="str">
        <f>IFERROR(VLOOKUP($A108,Admission!$1:$998,3,0),"")</f>
        <v/>
      </c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1:21" ht="13" x14ac:dyDescent="0.15">
      <c r="A109" s="58"/>
      <c r="B109" s="59" t="str">
        <f>IFERROR(VLOOKUP($A109,Admission!$1:$998,4,0),"")</f>
        <v/>
      </c>
      <c r="C109" s="59" t="str">
        <f>IFERROR(VLOOKUP($A109,Admission!$1:$998,5,0),"")</f>
        <v/>
      </c>
      <c r="D109" s="59"/>
      <c r="E109" s="59" t="str">
        <f>IFERROR(VLOOKUP($A109,Admission!$1:$998,3,0),"")</f>
        <v/>
      </c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1:21" ht="13" x14ac:dyDescent="0.15">
      <c r="A110" s="58"/>
      <c r="B110" s="59" t="str">
        <f>IFERROR(VLOOKUP($A110,Admission!$1:$998,4,0),"")</f>
        <v/>
      </c>
      <c r="C110" s="59" t="str">
        <f>IFERROR(VLOOKUP($A110,Admission!$1:$998,5,0),"")</f>
        <v/>
      </c>
      <c r="D110" s="59"/>
      <c r="E110" s="59" t="str">
        <f>IFERROR(VLOOKUP($A110,Admission!$1:$998,3,0),"")</f>
        <v/>
      </c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ht="13" x14ac:dyDescent="0.15">
      <c r="A111" s="58"/>
      <c r="B111" s="59" t="str">
        <f>IFERROR(VLOOKUP($A111,Admission!$1:$998,4,0),"")</f>
        <v/>
      </c>
      <c r="C111" s="59" t="str">
        <f>IFERROR(VLOOKUP($A111,Admission!$1:$998,5,0),"")</f>
        <v/>
      </c>
      <c r="D111" s="59"/>
      <c r="E111" s="59" t="str">
        <f>IFERROR(VLOOKUP($A111,Admission!$1:$998,3,0),"")</f>
        <v/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1:21" ht="13" x14ac:dyDescent="0.15">
      <c r="A112" s="58"/>
      <c r="B112" s="59" t="str">
        <f>IFERROR(VLOOKUP($A112,Admission!$1:$998,4,0),"")</f>
        <v/>
      </c>
      <c r="C112" s="59" t="str">
        <f>IFERROR(VLOOKUP($A112,Admission!$1:$998,5,0),"")</f>
        <v/>
      </c>
      <c r="D112" s="59"/>
      <c r="E112" s="59" t="str">
        <f>IFERROR(VLOOKUP($A112,Admission!$1:$998,3,0),"")</f>
        <v/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1:21" ht="13" x14ac:dyDescent="0.15">
      <c r="A113" s="58"/>
      <c r="B113" s="59" t="str">
        <f>IFERROR(VLOOKUP($A113,Admission!$1:$998,4,0),"")</f>
        <v/>
      </c>
      <c r="C113" s="59" t="str">
        <f>IFERROR(VLOOKUP($A113,Admission!$1:$998,5,0),"")</f>
        <v/>
      </c>
      <c r="D113" s="59"/>
      <c r="E113" s="59" t="str">
        <f>IFERROR(VLOOKUP($A113,Admission!$1:$998,3,0),"")</f>
        <v/>
      </c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1:21" ht="13" x14ac:dyDescent="0.15">
      <c r="A114" s="58"/>
      <c r="B114" s="59" t="str">
        <f>IFERROR(VLOOKUP($A114,Admission!$1:$998,4,0),"")</f>
        <v/>
      </c>
      <c r="C114" s="59" t="str">
        <f>IFERROR(VLOOKUP($A114,Admission!$1:$998,5,0),"")</f>
        <v/>
      </c>
      <c r="D114" s="59"/>
      <c r="E114" s="59" t="str">
        <f>IFERROR(VLOOKUP($A114,Admission!$1:$998,3,0),"")</f>
        <v/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1:21" ht="13" x14ac:dyDescent="0.15">
      <c r="A115" s="58"/>
      <c r="B115" s="59" t="str">
        <f>IFERROR(VLOOKUP($A115,Admission!$1:$998,4,0),"")</f>
        <v/>
      </c>
      <c r="C115" s="59" t="str">
        <f>IFERROR(VLOOKUP($A115,Admission!$1:$998,5,0),"")</f>
        <v/>
      </c>
      <c r="D115" s="59"/>
      <c r="E115" s="59" t="str">
        <f>IFERROR(VLOOKUP($A115,Admission!$1:$998,3,0),"")</f>
        <v/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1:21" ht="13" x14ac:dyDescent="0.15">
      <c r="A116" s="58"/>
      <c r="B116" s="59" t="str">
        <f>IFERROR(VLOOKUP($A116,Admission!$1:$998,4,0),"")</f>
        <v/>
      </c>
      <c r="C116" s="59" t="str">
        <f>IFERROR(VLOOKUP($A116,Admission!$1:$998,5,0),"")</f>
        <v/>
      </c>
      <c r="D116" s="59"/>
      <c r="E116" s="59" t="str">
        <f>IFERROR(VLOOKUP($A116,Admission!$1:$998,3,0),"")</f>
        <v/>
      </c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1:21" ht="13" x14ac:dyDescent="0.15">
      <c r="A117" s="58"/>
      <c r="B117" s="59" t="str">
        <f>IFERROR(VLOOKUP($A117,Admission!$1:$998,4,0),"")</f>
        <v/>
      </c>
      <c r="C117" s="59" t="str">
        <f>IFERROR(VLOOKUP($A117,Admission!$1:$998,5,0),"")</f>
        <v/>
      </c>
      <c r="D117" s="59"/>
      <c r="E117" s="59" t="str">
        <f>IFERROR(VLOOKUP($A117,Admission!$1:$998,3,0),"")</f>
        <v/>
      </c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1:21" ht="13" x14ac:dyDescent="0.15">
      <c r="A118" s="58"/>
      <c r="B118" s="59" t="str">
        <f>IFERROR(VLOOKUP($A118,Admission!$1:$998,4,0),"")</f>
        <v/>
      </c>
      <c r="C118" s="59" t="str">
        <f>IFERROR(VLOOKUP($A118,Admission!$1:$998,5,0),"")</f>
        <v/>
      </c>
      <c r="D118" s="59"/>
      <c r="E118" s="59" t="str">
        <f>IFERROR(VLOOKUP($A118,Admission!$1:$998,3,0),"")</f>
        <v/>
      </c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1:21" ht="13" x14ac:dyDescent="0.15">
      <c r="A119" s="58"/>
      <c r="B119" s="59" t="str">
        <f>IFERROR(VLOOKUP($A119,Admission!$1:$998,4,0),"")</f>
        <v/>
      </c>
      <c r="C119" s="59" t="str">
        <f>IFERROR(VLOOKUP($A119,Admission!$1:$998,5,0),"")</f>
        <v/>
      </c>
      <c r="D119" s="59"/>
      <c r="E119" s="59" t="str">
        <f>IFERROR(VLOOKUP($A119,Admission!$1:$998,3,0),"")</f>
        <v/>
      </c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1:21" ht="13" x14ac:dyDescent="0.15">
      <c r="A120" s="62"/>
      <c r="B120" s="59" t="str">
        <f>IFERROR(VLOOKUP($A120,Admission!$1:$998,4,0),"")</f>
        <v/>
      </c>
      <c r="C120" s="59" t="str">
        <f>IFERROR(VLOOKUP($A120,Admission!$1:$998,5,0),"")</f>
        <v/>
      </c>
      <c r="D120" s="59"/>
      <c r="E120" s="59" t="str">
        <f>IFERROR(VLOOKUP($A120,Admission!$1:$998,3,0),"")</f>
        <v/>
      </c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1:21" ht="13" x14ac:dyDescent="0.15">
      <c r="A121" s="62"/>
      <c r="B121" s="59" t="str">
        <f>IFERROR(VLOOKUP($A121,Admission!$1:$998,4,0),"")</f>
        <v/>
      </c>
      <c r="C121" s="59" t="str">
        <f>IFERROR(VLOOKUP($A121,Admission!$1:$998,5,0),"")</f>
        <v/>
      </c>
      <c r="D121" s="59"/>
      <c r="E121" s="59" t="str">
        <f>IFERROR(VLOOKUP($A121,Admission!$1:$998,3,0),"")</f>
        <v/>
      </c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1:21" ht="13" x14ac:dyDescent="0.15">
      <c r="A122" s="62"/>
      <c r="B122" s="59" t="str">
        <f>IFERROR(VLOOKUP($A122,Admission!$1:$998,4,0),"")</f>
        <v/>
      </c>
      <c r="C122" s="59" t="str">
        <f>IFERROR(VLOOKUP($A122,Admission!$1:$998,5,0),"")</f>
        <v/>
      </c>
      <c r="D122" s="59"/>
      <c r="E122" s="59" t="str">
        <f>IFERROR(VLOOKUP($A122,Admission!$1:$998,3,0),"")</f>
        <v/>
      </c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1:21" ht="13" x14ac:dyDescent="0.15">
      <c r="A123" s="62"/>
      <c r="B123" s="59" t="str">
        <f>IFERROR(VLOOKUP($A123,Admission!$1:$998,4,0),"")</f>
        <v/>
      </c>
      <c r="C123" s="59" t="str">
        <f>IFERROR(VLOOKUP($A123,Admission!$1:$998,5,0),"")</f>
        <v/>
      </c>
      <c r="D123" s="59"/>
      <c r="E123" s="59" t="str">
        <f>IFERROR(VLOOKUP($A123,Admission!$1:$998,3,0),"")</f>
        <v/>
      </c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1:21" ht="13" x14ac:dyDescent="0.15">
      <c r="A124" s="62"/>
      <c r="B124" s="59" t="str">
        <f>IFERROR(VLOOKUP($A124,Admission!$1:$998,4,0),"")</f>
        <v/>
      </c>
      <c r="C124" s="59" t="str">
        <f>IFERROR(VLOOKUP($A124,Admission!$1:$998,5,0),"")</f>
        <v/>
      </c>
      <c r="D124" s="59"/>
      <c r="E124" s="59" t="str">
        <f>IFERROR(VLOOKUP($A124,Admission!$1:$998,3,0),"")</f>
        <v/>
      </c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1:21" ht="13" x14ac:dyDescent="0.15">
      <c r="A125" s="62"/>
      <c r="B125" s="59" t="str">
        <f>IFERROR(VLOOKUP($A125,Admission!$1:$998,4,0),"")</f>
        <v/>
      </c>
      <c r="C125" s="59" t="str">
        <f>IFERROR(VLOOKUP($A125,Admission!$1:$998,5,0),"")</f>
        <v/>
      </c>
      <c r="D125" s="59"/>
      <c r="E125" s="59" t="str">
        <f>IFERROR(VLOOKUP($A125,Admission!$1:$998,3,0),"")</f>
        <v/>
      </c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1:21" ht="13" x14ac:dyDescent="0.15">
      <c r="A126" s="62"/>
      <c r="B126" s="59" t="str">
        <f>IFERROR(VLOOKUP($A126,Admission!$1:$998,4,0),"")</f>
        <v/>
      </c>
      <c r="C126" s="59" t="str">
        <f>IFERROR(VLOOKUP($A126,Admission!$1:$998,5,0),"")</f>
        <v/>
      </c>
      <c r="D126" s="59"/>
      <c r="E126" s="59" t="str">
        <f>IFERROR(VLOOKUP($A126,Admission!$1:$998,3,0),"")</f>
        <v/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1:21" ht="13" x14ac:dyDescent="0.15">
      <c r="A127" s="62"/>
      <c r="B127" s="59" t="str">
        <f>IFERROR(VLOOKUP($A127,Admission!$1:$998,4,0),"")</f>
        <v/>
      </c>
      <c r="C127" s="59" t="str">
        <f>IFERROR(VLOOKUP($A127,Admission!$1:$998,5,0),"")</f>
        <v/>
      </c>
      <c r="D127" s="59"/>
      <c r="E127" s="59" t="str">
        <f>IFERROR(VLOOKUP($A127,Admission!$1:$998,3,0),"")</f>
        <v/>
      </c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1:21" ht="13" x14ac:dyDescent="0.15">
      <c r="A128" s="62"/>
      <c r="B128" s="59" t="str">
        <f>IFERROR(VLOOKUP($A128,Admission!$1:$998,4,0),"")</f>
        <v/>
      </c>
      <c r="C128" s="59" t="str">
        <f>IFERROR(VLOOKUP($A128,Admission!$1:$998,5,0),"")</f>
        <v/>
      </c>
      <c r="D128" s="59"/>
      <c r="E128" s="59" t="str">
        <f>IFERROR(VLOOKUP($A128,Admission!$1:$998,3,0),"")</f>
        <v/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1:21" ht="13" x14ac:dyDescent="0.15">
      <c r="A129" s="62"/>
      <c r="B129" s="59" t="str">
        <f>IFERROR(VLOOKUP($A129,Admission!$1:$998,4,0),"")</f>
        <v/>
      </c>
      <c r="C129" s="59" t="str">
        <f>IFERROR(VLOOKUP($A129,Admission!$1:$998,5,0),"")</f>
        <v/>
      </c>
      <c r="D129" s="59"/>
      <c r="E129" s="59" t="str">
        <f>IFERROR(VLOOKUP($A129,Admission!$1:$998,3,0),"")</f>
        <v/>
      </c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1:21" ht="13" x14ac:dyDescent="0.15">
      <c r="A130" s="62"/>
      <c r="B130" s="59" t="str">
        <f>IFERROR(VLOOKUP($A130,Admission!$1:$998,4,0),"")</f>
        <v/>
      </c>
      <c r="C130" s="59" t="str">
        <f>IFERROR(VLOOKUP($A130,Admission!$1:$998,5,0),"")</f>
        <v/>
      </c>
      <c r="D130" s="59"/>
      <c r="E130" s="59" t="str">
        <f>IFERROR(VLOOKUP($A130,Admission!$1:$998,3,0),"")</f>
        <v/>
      </c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1:21" ht="13" x14ac:dyDescent="0.15">
      <c r="A131" s="62"/>
      <c r="B131" s="59" t="str">
        <f>IFERROR(VLOOKUP($A131,Admission!$1:$998,4,0),"")</f>
        <v/>
      </c>
      <c r="C131" s="59" t="str">
        <f>IFERROR(VLOOKUP($A131,Admission!$1:$998,5,0),"")</f>
        <v/>
      </c>
      <c r="D131" s="59"/>
      <c r="E131" s="59" t="str">
        <f>IFERROR(VLOOKUP($A131,Admission!$1:$998,3,0),"")</f>
        <v/>
      </c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1:21" ht="13" x14ac:dyDescent="0.15">
      <c r="A132" s="62"/>
      <c r="B132" s="59" t="str">
        <f>IFERROR(VLOOKUP($A132,Admission!$1:$998,4,0),"")</f>
        <v/>
      </c>
      <c r="C132" s="59" t="str">
        <f>IFERROR(VLOOKUP($A132,Admission!$1:$998,5,0),"")</f>
        <v/>
      </c>
      <c r="D132" s="59"/>
      <c r="E132" s="59" t="str">
        <f>IFERROR(VLOOKUP($A132,Admission!$1:$998,3,0),"")</f>
        <v/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1:21" ht="13" x14ac:dyDescent="0.15">
      <c r="A133" s="62"/>
      <c r="B133" s="59" t="str">
        <f>IFERROR(VLOOKUP($A133,Admission!$1:$998,4,0),"")</f>
        <v/>
      </c>
      <c r="C133" s="59" t="str">
        <f>IFERROR(VLOOKUP($A133,Admission!$1:$998,5,0),"")</f>
        <v/>
      </c>
      <c r="D133" s="59"/>
      <c r="E133" s="59" t="str">
        <f>IFERROR(VLOOKUP($A133,Admission!$1:$998,3,0),"")</f>
        <v/>
      </c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1:21" ht="13" x14ac:dyDescent="0.15">
      <c r="A134" s="62"/>
      <c r="B134" s="59" t="str">
        <f>IFERROR(VLOOKUP($A134,Admission!$1:$998,4,0),"")</f>
        <v/>
      </c>
      <c r="C134" s="59" t="str">
        <f>IFERROR(VLOOKUP($A134,Admission!$1:$998,5,0),"")</f>
        <v/>
      </c>
      <c r="D134" s="59"/>
      <c r="E134" s="59" t="str">
        <f>IFERROR(VLOOKUP($A134,Admission!$1:$998,3,0),"")</f>
        <v/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1:21" ht="13" x14ac:dyDescent="0.15">
      <c r="A135" s="62"/>
      <c r="B135" s="59" t="str">
        <f>IFERROR(VLOOKUP($A135,Admission!$1:$998,4,0),"")</f>
        <v/>
      </c>
      <c r="C135" s="59" t="str">
        <f>IFERROR(VLOOKUP($A135,Admission!$1:$998,5,0),"")</f>
        <v/>
      </c>
      <c r="D135" s="59"/>
      <c r="E135" s="59" t="str">
        <f>IFERROR(VLOOKUP($A135,Admission!$1:$998,3,0),"")</f>
        <v/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1:21" ht="13" x14ac:dyDescent="0.15">
      <c r="A136" s="62"/>
      <c r="B136" s="59" t="str">
        <f>IFERROR(VLOOKUP($A136,Admission!$1:$998,4,0),"")</f>
        <v/>
      </c>
      <c r="C136" s="59" t="str">
        <f>IFERROR(VLOOKUP($A136,Admission!$1:$998,5,0),"")</f>
        <v/>
      </c>
      <c r="D136" s="59"/>
      <c r="E136" s="59" t="str">
        <f>IFERROR(VLOOKUP($A136,Admission!$1:$998,3,0),"")</f>
        <v/>
      </c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1:21" ht="13" x14ac:dyDescent="0.15">
      <c r="A137" s="62"/>
      <c r="B137" s="59" t="str">
        <f>IFERROR(VLOOKUP($A137,Admission!$1:$998,4,0),"")</f>
        <v/>
      </c>
      <c r="C137" s="59" t="str">
        <f>IFERROR(VLOOKUP($A137,Admission!$1:$998,5,0),"")</f>
        <v/>
      </c>
      <c r="D137" s="59"/>
      <c r="E137" s="59" t="str">
        <f>IFERROR(VLOOKUP($A137,Admission!$1:$998,3,0),"")</f>
        <v/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1:21" ht="13" x14ac:dyDescent="0.15">
      <c r="A138" s="62"/>
      <c r="B138" s="59" t="str">
        <f>IFERROR(VLOOKUP($A138,Admission!$1:$998,4,0),"")</f>
        <v/>
      </c>
      <c r="C138" s="59" t="str">
        <f>IFERROR(VLOOKUP($A138,Admission!$1:$998,5,0),"")</f>
        <v/>
      </c>
      <c r="D138" s="59"/>
      <c r="E138" s="59" t="str">
        <f>IFERROR(VLOOKUP($A138,Admission!$1:$998,3,0),"")</f>
        <v/>
      </c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1:21" ht="13" x14ac:dyDescent="0.15">
      <c r="A139" s="62"/>
      <c r="B139" s="59" t="str">
        <f>IFERROR(VLOOKUP($A139,Admission!$1:$998,4,0),"")</f>
        <v/>
      </c>
      <c r="C139" s="59" t="str">
        <f>IFERROR(VLOOKUP($A139,Admission!$1:$998,5,0),"")</f>
        <v/>
      </c>
      <c r="D139" s="59"/>
      <c r="E139" s="59" t="str">
        <f>IFERROR(VLOOKUP($A139,Admission!$1:$998,3,0),"")</f>
        <v/>
      </c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1:21" ht="13" x14ac:dyDescent="0.15">
      <c r="A140" s="62"/>
      <c r="B140" s="59" t="str">
        <f>IFERROR(VLOOKUP($A140,Admission!$1:$998,4,0),"")</f>
        <v/>
      </c>
      <c r="C140" s="59" t="str">
        <f>IFERROR(VLOOKUP($A140,Admission!$1:$998,5,0),"")</f>
        <v/>
      </c>
      <c r="D140" s="59"/>
      <c r="E140" s="59" t="str">
        <f>IFERROR(VLOOKUP($A140,Admission!$1:$998,3,0),"")</f>
        <v/>
      </c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1:21" ht="13" x14ac:dyDescent="0.15">
      <c r="A141" s="62"/>
      <c r="B141" s="59" t="str">
        <f>IFERROR(VLOOKUP($A141,Admission!$1:$998,4,0),"")</f>
        <v/>
      </c>
      <c r="C141" s="59" t="str">
        <f>IFERROR(VLOOKUP($A141,Admission!$1:$998,5,0),"")</f>
        <v/>
      </c>
      <c r="D141" s="59"/>
      <c r="E141" s="59" t="str">
        <f>IFERROR(VLOOKUP($A141,Admission!$1:$998,3,0),"")</f>
        <v/>
      </c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1:21" ht="13" x14ac:dyDescent="0.15">
      <c r="A142" s="62"/>
      <c r="B142" s="59" t="str">
        <f>IFERROR(VLOOKUP($A142,Admission!$1:$998,4,0),"")</f>
        <v/>
      </c>
      <c r="C142" s="59" t="str">
        <f>IFERROR(VLOOKUP($A142,Admission!$1:$998,5,0),"")</f>
        <v/>
      </c>
      <c r="D142" s="59"/>
      <c r="E142" s="59" t="str">
        <f>IFERROR(VLOOKUP($A142,Admission!$1:$998,3,0),"")</f>
        <v/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1:21" ht="13" x14ac:dyDescent="0.15">
      <c r="A143" s="62"/>
      <c r="B143" s="59" t="str">
        <f>IFERROR(VLOOKUP($A143,Admission!$1:$998,4,0),"")</f>
        <v/>
      </c>
      <c r="C143" s="59" t="str">
        <f>IFERROR(VLOOKUP($A143,Admission!$1:$998,5,0),"")</f>
        <v/>
      </c>
      <c r="D143" s="59"/>
      <c r="E143" s="59" t="str">
        <f>IFERROR(VLOOKUP($A143,Admission!$1:$998,3,0),"")</f>
        <v/>
      </c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1:21" ht="13" x14ac:dyDescent="0.15">
      <c r="A144" s="62"/>
      <c r="B144" s="59" t="str">
        <f>IFERROR(VLOOKUP($A144,Admission!$1:$998,4,0),"")</f>
        <v/>
      </c>
      <c r="C144" s="59" t="str">
        <f>IFERROR(VLOOKUP($A144,Admission!$1:$998,5,0),"")</f>
        <v/>
      </c>
      <c r="D144" s="59"/>
      <c r="E144" s="59" t="str">
        <f>IFERROR(VLOOKUP($A144,Admission!$1:$998,3,0),"")</f>
        <v/>
      </c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1:21" ht="13" x14ac:dyDescent="0.15">
      <c r="A145" s="62"/>
      <c r="B145" s="59" t="str">
        <f>IFERROR(VLOOKUP($A145,Admission!$1:$998,4,0),"")</f>
        <v/>
      </c>
      <c r="C145" s="59" t="str">
        <f>IFERROR(VLOOKUP($A145,Admission!$1:$998,5,0),"")</f>
        <v/>
      </c>
      <c r="D145" s="59"/>
      <c r="E145" s="59" t="str">
        <f>IFERROR(VLOOKUP($A145,Admission!$1:$998,3,0),"")</f>
        <v/>
      </c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spans="1:21" ht="13" x14ac:dyDescent="0.15">
      <c r="A146" s="62"/>
      <c r="B146" s="59" t="str">
        <f>IFERROR(VLOOKUP($A146,Admission!$1:$998,4,0),"")</f>
        <v/>
      </c>
      <c r="C146" s="59" t="str">
        <f>IFERROR(VLOOKUP($A146,Admission!$1:$998,5,0),"")</f>
        <v/>
      </c>
      <c r="D146" s="59"/>
      <c r="E146" s="59" t="str">
        <f>IFERROR(VLOOKUP($A146,Admission!$1:$998,3,0),"")</f>
        <v/>
      </c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1:21" ht="13" x14ac:dyDescent="0.15">
      <c r="A147" s="62"/>
      <c r="B147" s="59" t="str">
        <f>IFERROR(VLOOKUP($A147,Admission!$1:$998,4,0),"")</f>
        <v/>
      </c>
      <c r="C147" s="59" t="str">
        <f>IFERROR(VLOOKUP($A147,Admission!$1:$998,5,0),"")</f>
        <v/>
      </c>
      <c r="D147" s="59"/>
      <c r="E147" s="59" t="str">
        <f>IFERROR(VLOOKUP($A147,Admission!$1:$998,3,0),"")</f>
        <v/>
      </c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spans="1:21" ht="13" x14ac:dyDescent="0.15">
      <c r="A148" s="62"/>
      <c r="E148" s="23" t="str">
        <f>IFERROR(VLOOKUP($A148,Admission!150:1145,3,0),"")</f>
        <v/>
      </c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1:21" ht="13" x14ac:dyDescent="0.15">
      <c r="A149" s="62"/>
      <c r="E149" s="23" t="str">
        <f>IFERROR(VLOOKUP($A149,Admission!151:1146,3,0),"")</f>
        <v/>
      </c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1:21" ht="13" x14ac:dyDescent="0.15">
      <c r="A150" s="62"/>
      <c r="E150" s="23" t="str">
        <f>IFERROR(VLOOKUP($A150,Admission!152:1147,3,0),"")</f>
        <v/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spans="1:21" ht="13" x14ac:dyDescent="0.15">
      <c r="A151" s="62"/>
      <c r="E151" s="23" t="str">
        <f>IFERROR(VLOOKUP($A151,Admission!153:1148,3,0),"")</f>
        <v/>
      </c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 spans="1:21" ht="13" x14ac:dyDescent="0.15">
      <c r="A152" s="62"/>
      <c r="E152" s="23" t="str">
        <f>IFERROR(VLOOKUP($A152,Admission!154:1149,3,0),"")</f>
        <v/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 spans="1:21" ht="13" x14ac:dyDescent="0.15">
      <c r="A153" s="62"/>
      <c r="E153" s="23" t="str">
        <f>IFERROR(VLOOKUP($A153,Admission!155:1150,3,0),"")</f>
        <v/>
      </c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 spans="1:21" ht="13" x14ac:dyDescent="0.15">
      <c r="A154" s="62"/>
      <c r="E154" s="23" t="str">
        <f>IFERROR(VLOOKUP($A154,Admission!156:1151,3,0),"")</f>
        <v/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 spans="1:21" ht="13" x14ac:dyDescent="0.15">
      <c r="A155" s="62"/>
      <c r="E155" s="23" t="str">
        <f>IFERROR(VLOOKUP($A155,Admission!157:1152,3,0),"")</f>
        <v/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 spans="1:21" ht="13" x14ac:dyDescent="0.15">
      <c r="A156" s="62"/>
      <c r="E156" s="23" t="str">
        <f>IFERROR(VLOOKUP($A156,Admission!158:1153,3,0),"")</f>
        <v/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 spans="1:21" ht="13" x14ac:dyDescent="0.15">
      <c r="A157" s="62"/>
      <c r="E157" s="23" t="str">
        <f>IFERROR(VLOOKUP($A157,Admission!159:1154,3,0),"")</f>
        <v/>
      </c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 spans="1:21" ht="13" x14ac:dyDescent="0.15">
      <c r="A158" s="62"/>
      <c r="E158" s="23" t="str">
        <f>IFERROR(VLOOKUP($A158,Admission!160:1155,3,0),"")</f>
        <v/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 spans="1:21" ht="13" x14ac:dyDescent="0.15">
      <c r="A159" s="62"/>
      <c r="E159" s="23" t="str">
        <f>IFERROR(VLOOKUP($A159,Admission!161:1156,3,0),"")</f>
        <v/>
      </c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 spans="1:21" ht="13" x14ac:dyDescent="0.15">
      <c r="A160" s="62"/>
      <c r="E160" s="23" t="str">
        <f>IFERROR(VLOOKUP($A160,Admission!162:1157,3,0),"")</f>
        <v/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</row>
    <row r="161" spans="1:21" ht="13" x14ac:dyDescent="0.15">
      <c r="A161" s="62"/>
      <c r="E161" s="23" t="str">
        <f>IFERROR(VLOOKUP($A161,Admission!163:1158,3,0),"")</f>
        <v/>
      </c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 spans="1:21" ht="13" x14ac:dyDescent="0.15">
      <c r="A162" s="62"/>
      <c r="E162" s="23" t="str">
        <f>IFERROR(VLOOKUP($A162,Admission!164:1159,3,0),"")</f>
        <v/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</row>
    <row r="163" spans="1:21" ht="13" x14ac:dyDescent="0.15">
      <c r="A163" s="62"/>
      <c r="E163" s="23" t="str">
        <f>IFERROR(VLOOKUP($A163,Admission!165:1160,3,0),"")</f>
        <v/>
      </c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 spans="1:21" ht="13" x14ac:dyDescent="0.15">
      <c r="A164" s="62"/>
      <c r="E164" s="23" t="str">
        <f>IFERROR(VLOOKUP($A164,Admission!166:1161,3,0),"")</f>
        <v/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 spans="1:21" ht="13" x14ac:dyDescent="0.15">
      <c r="A165" s="62"/>
      <c r="E165" s="23" t="str">
        <f>IFERROR(VLOOKUP($A165,Admission!167:1162,3,0),"")</f>
        <v/>
      </c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 spans="1:21" ht="13" x14ac:dyDescent="0.15">
      <c r="A166" s="62"/>
      <c r="E166" s="23" t="str">
        <f>IFERROR(VLOOKUP($A166,Admission!168:1163,3,0),"")</f>
        <v/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</row>
    <row r="167" spans="1:21" ht="13" x14ac:dyDescent="0.15">
      <c r="A167" s="62"/>
      <c r="E167" s="23" t="str">
        <f>IFERROR(VLOOKUP($A167,Admission!169:1164,3,0),"")</f>
        <v/>
      </c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</row>
    <row r="168" spans="1:21" ht="13" x14ac:dyDescent="0.15">
      <c r="A168" s="62"/>
      <c r="E168" s="23" t="str">
        <f>IFERROR(VLOOKUP($A168,Admission!170:1165,3,0),"")</f>
        <v/>
      </c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</row>
    <row r="169" spans="1:21" ht="13" x14ac:dyDescent="0.15">
      <c r="A169" s="62"/>
      <c r="E169" s="23" t="str">
        <f>IFERROR(VLOOKUP($A169,Admission!171:1166,3,0),"")</f>
        <v/>
      </c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</row>
    <row r="170" spans="1:21" ht="13" x14ac:dyDescent="0.15">
      <c r="A170" s="62"/>
      <c r="E170" s="23" t="str">
        <f>IFERROR(VLOOKUP($A170,Admission!172:1167,3,0),"")</f>
        <v/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 spans="1:21" ht="13" x14ac:dyDescent="0.15">
      <c r="A171" s="62"/>
      <c r="E171" s="23" t="str">
        <f>IFERROR(VLOOKUP($A171,Admission!173:1168,3,0),"")</f>
        <v/>
      </c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</row>
    <row r="172" spans="1:21" ht="13" x14ac:dyDescent="0.15">
      <c r="A172" s="62"/>
      <c r="E172" s="23" t="str">
        <f>IFERROR(VLOOKUP($A172,Admission!174:1169,3,0),"")</f>
        <v/>
      </c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</row>
    <row r="173" spans="1:21" ht="13" x14ac:dyDescent="0.15">
      <c r="A173" s="62"/>
      <c r="E173" s="23" t="str">
        <f>IFERROR(VLOOKUP($A173,Admission!175:1170,3,0),"")</f>
        <v/>
      </c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</row>
    <row r="174" spans="1:21" ht="13" x14ac:dyDescent="0.15">
      <c r="A174" s="62"/>
      <c r="E174" s="23" t="str">
        <f>IFERROR(VLOOKUP($A174,Admission!176:1171,3,0),"")</f>
        <v/>
      </c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 spans="1:21" ht="13" x14ac:dyDescent="0.15">
      <c r="A175" s="62"/>
      <c r="E175" s="23" t="str">
        <f>IFERROR(VLOOKUP($A175,Admission!177:1172,3,0),"")</f>
        <v/>
      </c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 spans="1:21" ht="13" x14ac:dyDescent="0.15">
      <c r="A176" s="62"/>
      <c r="E176" s="23" t="str">
        <f>IFERROR(VLOOKUP($A176,Admission!178:1173,3,0),"")</f>
        <v/>
      </c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spans="1:21" ht="13" x14ac:dyDescent="0.15">
      <c r="A177" s="62"/>
      <c r="E177" s="23" t="str">
        <f>IFERROR(VLOOKUP($A177,Admission!178:1174,3,0),"")</f>
        <v/>
      </c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spans="1:21" ht="13" x14ac:dyDescent="0.15">
      <c r="A178" s="62"/>
      <c r="E178" s="23" t="str">
        <f>IFERROR(VLOOKUP($A178,Admission!178:1175,3,0),"")</f>
        <v/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</row>
    <row r="179" spans="1:21" ht="13" x14ac:dyDescent="0.15">
      <c r="A179" s="62"/>
      <c r="E179" s="23" t="str">
        <f>IFERROR(VLOOKUP($A179,Admission!178:1176,3,0),"")</f>
        <v/>
      </c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</row>
    <row r="180" spans="1:21" ht="13" x14ac:dyDescent="0.15">
      <c r="A180" s="62"/>
      <c r="E180" s="23" t="str">
        <f>IFERROR(VLOOKUP($A180,Admission!178:1177,3,0),"")</f>
        <v/>
      </c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spans="1:21" ht="13" x14ac:dyDescent="0.15">
      <c r="A181" s="62"/>
      <c r="E181" s="23" t="str">
        <f>IFERROR(VLOOKUP($A181,Admission!179:1178,3,0),"")</f>
        <v/>
      </c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 spans="1:21" ht="13" x14ac:dyDescent="0.15">
      <c r="A182" s="62"/>
      <c r="E182" s="23" t="str">
        <f>IFERROR(VLOOKUP($A182,Admission!180:1179,3,0),"")</f>
        <v/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</row>
    <row r="183" spans="1:21" ht="13" x14ac:dyDescent="0.15">
      <c r="A183" s="62"/>
      <c r="E183" s="23" t="str">
        <f>IFERROR(VLOOKUP($A183,Admission!181:1180,3,0),"")</f>
        <v/>
      </c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</row>
    <row r="184" spans="1:21" ht="13" x14ac:dyDescent="0.15">
      <c r="A184" s="62"/>
      <c r="E184" s="23" t="str">
        <f>IFERROR(VLOOKUP($A184,Admission!182:1181,3,0),"")</f>
        <v/>
      </c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</row>
    <row r="185" spans="1:21" ht="13" x14ac:dyDescent="0.15">
      <c r="A185" s="62"/>
      <c r="E185" s="23" t="str">
        <f>IFERROR(VLOOKUP($A185,Admission!183:1182,3,0),"")</f>
        <v/>
      </c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</row>
    <row r="186" spans="1:21" ht="13" x14ac:dyDescent="0.15">
      <c r="A186" s="62"/>
      <c r="E186" s="23" t="str">
        <f>IFERROR(VLOOKUP($A186,Admission!184:1183,3,0),"")</f>
        <v/>
      </c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</row>
    <row r="187" spans="1:21" ht="13" x14ac:dyDescent="0.15">
      <c r="A187" s="62"/>
      <c r="E187" s="23" t="str">
        <f>IFERROR(VLOOKUP($A187,Admission!181:1184,3,0),"")</f>
        <v/>
      </c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</row>
    <row r="188" spans="1:21" ht="13" x14ac:dyDescent="0.15">
      <c r="A188" s="62"/>
      <c r="E188" s="23" t="str">
        <f>IFERROR(VLOOKUP($A188,Admission!178:1185,3,0),"")</f>
        <v/>
      </c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</row>
    <row r="189" spans="1:21" ht="13" x14ac:dyDescent="0.15">
      <c r="A189" s="62"/>
      <c r="E189" s="23" t="str">
        <f>IFERROR(VLOOKUP($A189,Admission!179:1186,3,0),"")</f>
        <v/>
      </c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</row>
    <row r="190" spans="1:21" ht="13" x14ac:dyDescent="0.15">
      <c r="A190" s="62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</row>
    <row r="191" spans="1:21" ht="13" x14ac:dyDescent="0.15">
      <c r="A191" s="62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</row>
    <row r="192" spans="1:21" ht="13" x14ac:dyDescent="0.15">
      <c r="A192" s="62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</row>
    <row r="193" spans="1:21" ht="13" x14ac:dyDescent="0.15">
      <c r="A193" s="6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</row>
    <row r="194" spans="1:21" ht="13" x14ac:dyDescent="0.15">
      <c r="A194" s="6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</row>
    <row r="195" spans="1:21" ht="13" x14ac:dyDescent="0.15">
      <c r="A195" s="6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</row>
    <row r="196" spans="1:21" ht="13" x14ac:dyDescent="0.15">
      <c r="A196" s="6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</row>
    <row r="197" spans="1:21" ht="13" x14ac:dyDescent="0.15">
      <c r="A197" s="6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</row>
    <row r="198" spans="1:21" ht="13" x14ac:dyDescent="0.15">
      <c r="A198" s="6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</row>
    <row r="199" spans="1:21" ht="13" x14ac:dyDescent="0.15">
      <c r="A199" s="6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</row>
    <row r="200" spans="1:21" ht="13" x14ac:dyDescent="0.15">
      <c r="A200" s="6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</row>
    <row r="201" spans="1:21" ht="13" x14ac:dyDescent="0.15">
      <c r="A201" s="6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</row>
    <row r="202" spans="1:21" ht="13" x14ac:dyDescent="0.15">
      <c r="A202" s="6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</row>
    <row r="203" spans="1:21" ht="13" x14ac:dyDescent="0.15">
      <c r="A203" s="6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</row>
    <row r="204" spans="1:21" ht="13" x14ac:dyDescent="0.15">
      <c r="A204" s="6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</row>
    <row r="205" spans="1:21" ht="13" x14ac:dyDescent="0.15">
      <c r="A205" s="6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</row>
    <row r="206" spans="1:21" ht="13" x14ac:dyDescent="0.15">
      <c r="A206" s="6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</row>
    <row r="207" spans="1:21" ht="13" x14ac:dyDescent="0.15">
      <c r="A207" s="6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</row>
    <row r="208" spans="1:21" ht="13" x14ac:dyDescent="0.15">
      <c r="A208" s="6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</row>
    <row r="209" spans="1:21" ht="13" x14ac:dyDescent="0.15">
      <c r="A209" s="6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</row>
    <row r="210" spans="1:21" ht="13" x14ac:dyDescent="0.15">
      <c r="A210" s="6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</row>
    <row r="211" spans="1:21" ht="13" x14ac:dyDescent="0.15">
      <c r="A211" s="6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</row>
    <row r="212" spans="1:21" ht="13" x14ac:dyDescent="0.15">
      <c r="A212" s="6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</row>
    <row r="213" spans="1:21" ht="13" x14ac:dyDescent="0.15">
      <c r="A213" s="6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</row>
    <row r="214" spans="1:21" ht="13" x14ac:dyDescent="0.15">
      <c r="A214" s="6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</row>
    <row r="215" spans="1:21" ht="13" x14ac:dyDescent="0.15">
      <c r="A215" s="6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</row>
    <row r="216" spans="1:21" ht="13" x14ac:dyDescent="0.15">
      <c r="A216" s="6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</row>
    <row r="217" spans="1:21" ht="13" x14ac:dyDescent="0.15">
      <c r="A217" s="6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</row>
    <row r="218" spans="1:21" ht="13" x14ac:dyDescent="0.15">
      <c r="A218" s="6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</row>
    <row r="219" spans="1:21" ht="13" x14ac:dyDescent="0.15">
      <c r="A219" s="6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</row>
    <row r="220" spans="1:21" ht="13" x14ac:dyDescent="0.15">
      <c r="A220" s="6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</row>
    <row r="221" spans="1:21" ht="13" x14ac:dyDescent="0.15">
      <c r="A221" s="6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</row>
    <row r="222" spans="1:21" ht="13" x14ac:dyDescent="0.15">
      <c r="A222" s="6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</row>
    <row r="223" spans="1:21" ht="13" x14ac:dyDescent="0.15">
      <c r="A223" s="6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</row>
    <row r="224" spans="1:21" ht="13" x14ac:dyDescent="0.15">
      <c r="A224" s="6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</row>
    <row r="225" spans="1:21" ht="13" x14ac:dyDescent="0.15">
      <c r="A225" s="6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</row>
    <row r="226" spans="1:21" ht="13" x14ac:dyDescent="0.15">
      <c r="A226" s="6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</row>
    <row r="227" spans="1:21" ht="13" x14ac:dyDescent="0.15">
      <c r="A227" s="6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</row>
    <row r="228" spans="1:21" ht="13" x14ac:dyDescent="0.15">
      <c r="A228" s="6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</row>
    <row r="229" spans="1:21" ht="13" x14ac:dyDescent="0.15">
      <c r="A229" s="6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</row>
    <row r="230" spans="1:21" ht="13" x14ac:dyDescent="0.15">
      <c r="A230" s="6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</row>
    <row r="231" spans="1:21" ht="13" x14ac:dyDescent="0.15">
      <c r="A231" s="6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</row>
    <row r="232" spans="1:21" ht="13" x14ac:dyDescent="0.15">
      <c r="A232" s="6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</row>
    <row r="233" spans="1:21" ht="13" x14ac:dyDescent="0.15">
      <c r="A233" s="6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</row>
    <row r="234" spans="1:21" ht="13" x14ac:dyDescent="0.15">
      <c r="A234" s="6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</row>
    <row r="235" spans="1:21" ht="13" x14ac:dyDescent="0.15">
      <c r="A235" s="6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</row>
    <row r="236" spans="1:21" ht="13" x14ac:dyDescent="0.15">
      <c r="A236" s="6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</row>
    <row r="237" spans="1:21" ht="13" x14ac:dyDescent="0.15">
      <c r="A237" s="6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</row>
    <row r="238" spans="1:21" ht="13" x14ac:dyDescent="0.15">
      <c r="A238" s="6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</row>
    <row r="239" spans="1:21" ht="13" x14ac:dyDescent="0.15">
      <c r="A239" s="6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</row>
    <row r="240" spans="1:21" ht="13" x14ac:dyDescent="0.15">
      <c r="A240" s="6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</row>
    <row r="241" spans="1:21" ht="13" x14ac:dyDescent="0.15">
      <c r="A241" s="6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</row>
    <row r="242" spans="1:21" ht="13" x14ac:dyDescent="0.15">
      <c r="A242" s="6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</row>
    <row r="243" spans="1:21" ht="13" x14ac:dyDescent="0.15">
      <c r="A243" s="6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</row>
    <row r="244" spans="1:21" ht="13" x14ac:dyDescent="0.15">
      <c r="A244" s="6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</row>
    <row r="245" spans="1:21" ht="13" x14ac:dyDescent="0.15">
      <c r="A245" s="6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</row>
    <row r="246" spans="1:21" ht="13" x14ac:dyDescent="0.15">
      <c r="A246" s="6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</row>
    <row r="247" spans="1:21" ht="13" x14ac:dyDescent="0.15">
      <c r="A247" s="6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</row>
    <row r="248" spans="1:21" ht="13" x14ac:dyDescent="0.15">
      <c r="A248" s="6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</row>
    <row r="249" spans="1:21" ht="13" x14ac:dyDescent="0.15">
      <c r="A249" s="6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</row>
    <row r="250" spans="1:21" ht="13" x14ac:dyDescent="0.15">
      <c r="A250" s="6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</row>
    <row r="251" spans="1:21" ht="13" x14ac:dyDescent="0.15">
      <c r="A251" s="6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</row>
    <row r="252" spans="1:21" ht="13" x14ac:dyDescent="0.15">
      <c r="A252" s="6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</row>
    <row r="253" spans="1:21" ht="13" x14ac:dyDescent="0.15">
      <c r="A253" s="6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</row>
    <row r="254" spans="1:21" ht="13" x14ac:dyDescent="0.15">
      <c r="A254" s="6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</row>
    <row r="255" spans="1:21" ht="13" x14ac:dyDescent="0.15">
      <c r="A255" s="6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</row>
    <row r="256" spans="1:21" ht="13" x14ac:dyDescent="0.15">
      <c r="A256" s="6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</row>
    <row r="257" spans="1:21" ht="13" x14ac:dyDescent="0.15">
      <c r="A257" s="6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</row>
    <row r="258" spans="1:21" ht="13" x14ac:dyDescent="0.15">
      <c r="A258" s="6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</row>
    <row r="259" spans="1:21" ht="13" x14ac:dyDescent="0.15">
      <c r="A259" s="6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</row>
    <row r="260" spans="1:21" ht="13" x14ac:dyDescent="0.15">
      <c r="A260" s="6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</row>
    <row r="261" spans="1:21" ht="13" x14ac:dyDescent="0.15">
      <c r="A261" s="6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</row>
    <row r="262" spans="1:21" ht="13" x14ac:dyDescent="0.15">
      <c r="A262" s="6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</row>
    <row r="263" spans="1:21" ht="13" x14ac:dyDescent="0.15">
      <c r="A263" s="6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</row>
    <row r="264" spans="1:21" ht="13" x14ac:dyDescent="0.15">
      <c r="A264" s="6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</row>
    <row r="265" spans="1:21" ht="13" x14ac:dyDescent="0.15">
      <c r="A265" s="6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</row>
    <row r="266" spans="1:21" ht="13" x14ac:dyDescent="0.15">
      <c r="A266" s="6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</row>
    <row r="267" spans="1:21" ht="13" x14ac:dyDescent="0.15">
      <c r="A267" s="6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</row>
    <row r="268" spans="1:21" ht="13" x14ac:dyDescent="0.15">
      <c r="A268" s="6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</row>
    <row r="269" spans="1:21" ht="13" x14ac:dyDescent="0.15">
      <c r="A269" s="6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</row>
    <row r="270" spans="1:21" ht="13" x14ac:dyDescent="0.15">
      <c r="A270" s="6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</row>
    <row r="271" spans="1:21" ht="13" x14ac:dyDescent="0.15">
      <c r="A271" s="6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</row>
    <row r="272" spans="1:21" ht="13" x14ac:dyDescent="0.15">
      <c r="A272" s="6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</row>
    <row r="273" spans="1:21" ht="13" x14ac:dyDescent="0.15">
      <c r="A273" s="6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</row>
    <row r="274" spans="1:21" ht="13" x14ac:dyDescent="0.15">
      <c r="A274" s="6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</row>
    <row r="275" spans="1:21" ht="13" x14ac:dyDescent="0.15">
      <c r="A275" s="6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</row>
    <row r="276" spans="1:21" ht="13" x14ac:dyDescent="0.15">
      <c r="A276" s="6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</row>
    <row r="277" spans="1:21" ht="13" x14ac:dyDescent="0.15">
      <c r="A277" s="6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</row>
    <row r="278" spans="1:21" ht="13" x14ac:dyDescent="0.15">
      <c r="A278" s="6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</row>
    <row r="279" spans="1:21" ht="13" x14ac:dyDescent="0.15">
      <c r="A279" s="6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</row>
    <row r="280" spans="1:21" ht="13" x14ac:dyDescent="0.15">
      <c r="A280" s="6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</row>
    <row r="281" spans="1:21" ht="13" x14ac:dyDescent="0.15">
      <c r="A281" s="6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</row>
    <row r="282" spans="1:21" ht="13" x14ac:dyDescent="0.15">
      <c r="A282" s="6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</row>
    <row r="283" spans="1:21" ht="13" x14ac:dyDescent="0.15">
      <c r="A283" s="6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</row>
    <row r="284" spans="1:21" ht="13" x14ac:dyDescent="0.15">
      <c r="A284" s="6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</row>
    <row r="285" spans="1:21" ht="13" x14ac:dyDescent="0.15">
      <c r="A285" s="6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</row>
    <row r="286" spans="1:21" ht="13" x14ac:dyDescent="0.15">
      <c r="A286" s="6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</row>
    <row r="287" spans="1:21" ht="13" x14ac:dyDescent="0.15">
      <c r="A287" s="6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</row>
    <row r="288" spans="1:21" ht="13" x14ac:dyDescent="0.15">
      <c r="A288" s="6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</row>
    <row r="289" spans="1:21" ht="13" x14ac:dyDescent="0.15">
      <c r="A289" s="6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</row>
    <row r="290" spans="1:21" ht="13" x14ac:dyDescent="0.15">
      <c r="A290" s="6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</row>
    <row r="291" spans="1:21" ht="13" x14ac:dyDescent="0.15">
      <c r="A291" s="6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</row>
    <row r="292" spans="1:21" ht="13" x14ac:dyDescent="0.15">
      <c r="A292" s="6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</row>
    <row r="293" spans="1:21" ht="13" x14ac:dyDescent="0.15">
      <c r="A293" s="6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</row>
    <row r="294" spans="1:21" ht="13" x14ac:dyDescent="0.15">
      <c r="A294" s="6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</row>
    <row r="295" spans="1:21" ht="13" x14ac:dyDescent="0.15">
      <c r="A295" s="6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</row>
    <row r="296" spans="1:21" ht="13" x14ac:dyDescent="0.15">
      <c r="A296" s="6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</row>
    <row r="297" spans="1:21" ht="13" x14ac:dyDescent="0.15">
      <c r="A297" s="6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</row>
    <row r="298" spans="1:21" ht="13" x14ac:dyDescent="0.15">
      <c r="A298" s="6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</row>
    <row r="299" spans="1:21" ht="13" x14ac:dyDescent="0.15">
      <c r="A299" s="6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</row>
    <row r="300" spans="1:21" ht="13" x14ac:dyDescent="0.15">
      <c r="A300" s="6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</row>
    <row r="301" spans="1:21" ht="13" x14ac:dyDescent="0.15">
      <c r="A301" s="6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</row>
    <row r="302" spans="1:21" ht="13" x14ac:dyDescent="0.15">
      <c r="A302" s="6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</row>
    <row r="303" spans="1:21" ht="13" x14ac:dyDescent="0.15">
      <c r="A303" s="6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</row>
    <row r="304" spans="1:21" ht="13" x14ac:dyDescent="0.15">
      <c r="A304" s="6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</row>
    <row r="305" spans="1:21" ht="13" x14ac:dyDescent="0.15">
      <c r="A305" s="6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</row>
    <row r="306" spans="1:21" ht="13" x14ac:dyDescent="0.15">
      <c r="A306" s="6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</row>
    <row r="307" spans="1:21" ht="13" x14ac:dyDescent="0.15">
      <c r="A307" s="6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</row>
    <row r="308" spans="1:21" ht="13" x14ac:dyDescent="0.15">
      <c r="A308" s="6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</row>
    <row r="309" spans="1:21" ht="13" x14ac:dyDescent="0.15">
      <c r="A309" s="6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</row>
    <row r="310" spans="1:21" ht="13" x14ac:dyDescent="0.15">
      <c r="A310" s="6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</row>
    <row r="311" spans="1:21" ht="13" x14ac:dyDescent="0.15">
      <c r="A311" s="6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</row>
    <row r="312" spans="1:21" ht="13" x14ac:dyDescent="0.15">
      <c r="A312" s="6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</row>
    <row r="313" spans="1:21" ht="13" x14ac:dyDescent="0.15">
      <c r="A313" s="6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</row>
    <row r="314" spans="1:21" ht="13" x14ac:dyDescent="0.15">
      <c r="A314" s="6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</row>
    <row r="315" spans="1:21" ht="13" x14ac:dyDescent="0.15">
      <c r="A315" s="6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</row>
    <row r="316" spans="1:21" ht="13" x14ac:dyDescent="0.15">
      <c r="A316" s="6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</row>
    <row r="317" spans="1:21" ht="13" x14ac:dyDescent="0.15">
      <c r="A317" s="6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</row>
    <row r="318" spans="1:21" ht="13" x14ac:dyDescent="0.15">
      <c r="A318" s="6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</row>
    <row r="319" spans="1:21" ht="13" x14ac:dyDescent="0.15">
      <c r="A319" s="6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</row>
    <row r="320" spans="1:21" ht="13" x14ac:dyDescent="0.15">
      <c r="A320" s="6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</row>
    <row r="321" spans="1:21" ht="13" x14ac:dyDescent="0.15">
      <c r="A321" s="6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</row>
    <row r="322" spans="1:21" ht="13" x14ac:dyDescent="0.15">
      <c r="A322" s="6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</row>
    <row r="323" spans="1:21" ht="13" x14ac:dyDescent="0.15">
      <c r="A323" s="6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</row>
    <row r="324" spans="1:21" ht="13" x14ac:dyDescent="0.15">
      <c r="A324" s="6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</row>
    <row r="325" spans="1:21" ht="13" x14ac:dyDescent="0.15">
      <c r="A325" s="6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</row>
    <row r="326" spans="1:21" ht="13" x14ac:dyDescent="0.15">
      <c r="A326" s="6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</row>
    <row r="327" spans="1:21" ht="13" x14ac:dyDescent="0.15">
      <c r="A327" s="6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</row>
    <row r="328" spans="1:21" ht="13" x14ac:dyDescent="0.15">
      <c r="A328" s="6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</row>
    <row r="329" spans="1:21" ht="13" x14ac:dyDescent="0.15">
      <c r="A329" s="6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</row>
    <row r="330" spans="1:21" ht="13" x14ac:dyDescent="0.15">
      <c r="A330" s="6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</row>
    <row r="331" spans="1:21" ht="13" x14ac:dyDescent="0.15">
      <c r="A331" s="6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</row>
    <row r="332" spans="1:21" ht="13" x14ac:dyDescent="0.15">
      <c r="A332" s="6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</row>
    <row r="333" spans="1:21" ht="13" x14ac:dyDescent="0.15">
      <c r="A333" s="6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</row>
    <row r="334" spans="1:21" ht="13" x14ac:dyDescent="0.15">
      <c r="A334" s="6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</row>
    <row r="335" spans="1:21" ht="13" x14ac:dyDescent="0.15">
      <c r="A335" s="6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</row>
    <row r="336" spans="1:21" ht="13" x14ac:dyDescent="0.15">
      <c r="A336" s="6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</row>
    <row r="337" spans="1:21" ht="13" x14ac:dyDescent="0.15">
      <c r="A337" s="6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</row>
    <row r="338" spans="1:21" ht="13" x14ac:dyDescent="0.15">
      <c r="A338" s="6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</row>
    <row r="339" spans="1:21" ht="13" x14ac:dyDescent="0.15">
      <c r="A339" s="6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</row>
    <row r="340" spans="1:21" ht="13" x14ac:dyDescent="0.15">
      <c r="A340" s="6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</row>
    <row r="341" spans="1:21" ht="13" x14ac:dyDescent="0.15">
      <c r="A341" s="6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</row>
    <row r="342" spans="1:21" ht="13" x14ac:dyDescent="0.15">
      <c r="A342" s="6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</row>
    <row r="343" spans="1:21" ht="13" x14ac:dyDescent="0.15">
      <c r="A343" s="6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</row>
    <row r="344" spans="1:21" ht="13" x14ac:dyDescent="0.15">
      <c r="A344" s="6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</row>
    <row r="345" spans="1:21" ht="13" x14ac:dyDescent="0.15">
      <c r="A345" s="6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</row>
    <row r="346" spans="1:21" ht="13" x14ac:dyDescent="0.15">
      <c r="A346" s="6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</row>
    <row r="347" spans="1:21" ht="13" x14ac:dyDescent="0.15">
      <c r="A347" s="6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</row>
    <row r="348" spans="1:21" ht="13" x14ac:dyDescent="0.15">
      <c r="A348" s="6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</row>
    <row r="349" spans="1:21" ht="13" x14ac:dyDescent="0.15">
      <c r="A349" s="6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</row>
    <row r="350" spans="1:21" ht="13" x14ac:dyDescent="0.15">
      <c r="A350" s="6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</row>
    <row r="351" spans="1:21" ht="13" x14ac:dyDescent="0.15">
      <c r="A351" s="6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</row>
    <row r="352" spans="1:21" ht="13" x14ac:dyDescent="0.15">
      <c r="A352" s="6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</row>
    <row r="353" spans="1:21" ht="13" x14ac:dyDescent="0.15">
      <c r="A353" s="6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</row>
    <row r="354" spans="1:21" ht="13" x14ac:dyDescent="0.15">
      <c r="A354" s="6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</row>
    <row r="355" spans="1:21" ht="13" x14ac:dyDescent="0.15">
      <c r="A355" s="6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</row>
    <row r="356" spans="1:21" ht="13" x14ac:dyDescent="0.15">
      <c r="A356" s="6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</row>
    <row r="357" spans="1:21" ht="13" x14ac:dyDescent="0.15">
      <c r="A357" s="6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</row>
    <row r="358" spans="1:21" ht="13" x14ac:dyDescent="0.15">
      <c r="A358" s="6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</row>
    <row r="359" spans="1:21" ht="13" x14ac:dyDescent="0.15">
      <c r="A359" s="6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</row>
    <row r="360" spans="1:21" ht="13" x14ac:dyDescent="0.15">
      <c r="A360" s="6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</row>
    <row r="361" spans="1:21" ht="13" x14ac:dyDescent="0.15">
      <c r="A361" s="6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</row>
    <row r="362" spans="1:21" ht="13" x14ac:dyDescent="0.15">
      <c r="A362" s="6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</row>
    <row r="363" spans="1:21" ht="13" x14ac:dyDescent="0.15">
      <c r="A363" s="6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</row>
    <row r="364" spans="1:21" ht="13" x14ac:dyDescent="0.15">
      <c r="A364" s="6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</row>
    <row r="365" spans="1:21" ht="13" x14ac:dyDescent="0.15">
      <c r="A365" s="6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</row>
    <row r="366" spans="1:21" ht="13" x14ac:dyDescent="0.15">
      <c r="A366" s="6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</row>
    <row r="367" spans="1:21" ht="13" x14ac:dyDescent="0.15">
      <c r="A367" s="6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</row>
    <row r="368" spans="1:21" ht="13" x14ac:dyDescent="0.15">
      <c r="A368" s="6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</row>
    <row r="369" spans="1:21" ht="13" x14ac:dyDescent="0.15">
      <c r="A369" s="6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</row>
    <row r="370" spans="1:21" ht="13" x14ac:dyDescent="0.15">
      <c r="A370" s="6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</row>
    <row r="371" spans="1:21" ht="13" x14ac:dyDescent="0.15">
      <c r="A371" s="6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</row>
    <row r="372" spans="1:21" ht="13" x14ac:dyDescent="0.15">
      <c r="A372" s="6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</row>
    <row r="373" spans="1:21" ht="13" x14ac:dyDescent="0.15">
      <c r="A373" s="6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</row>
    <row r="374" spans="1:21" ht="13" x14ac:dyDescent="0.15">
      <c r="A374" s="6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</row>
    <row r="375" spans="1:21" ht="13" x14ac:dyDescent="0.15">
      <c r="A375" s="6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</row>
    <row r="376" spans="1:21" ht="13" x14ac:dyDescent="0.15">
      <c r="A376" s="6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</row>
    <row r="377" spans="1:21" ht="13" x14ac:dyDescent="0.15">
      <c r="A377" s="6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</row>
    <row r="378" spans="1:21" ht="13" x14ac:dyDescent="0.15">
      <c r="A378" s="6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</row>
    <row r="379" spans="1:21" ht="13" x14ac:dyDescent="0.15">
      <c r="A379" s="6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</row>
    <row r="380" spans="1:21" ht="13" x14ac:dyDescent="0.15">
      <c r="A380" s="6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</row>
    <row r="381" spans="1:21" ht="13" x14ac:dyDescent="0.15">
      <c r="A381" s="6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</row>
    <row r="382" spans="1:21" ht="13" x14ac:dyDescent="0.15">
      <c r="A382" s="6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</row>
    <row r="383" spans="1:21" ht="13" x14ac:dyDescent="0.15">
      <c r="A383" s="6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</row>
    <row r="384" spans="1:21" ht="13" x14ac:dyDescent="0.15">
      <c r="A384" s="6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</row>
    <row r="385" spans="1:21" ht="13" x14ac:dyDescent="0.15">
      <c r="A385" s="6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</row>
    <row r="386" spans="1:21" ht="13" x14ac:dyDescent="0.15">
      <c r="A386" s="6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</row>
    <row r="387" spans="1:21" ht="13" x14ac:dyDescent="0.15">
      <c r="A387" s="6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</row>
    <row r="388" spans="1:21" ht="13" x14ac:dyDescent="0.15">
      <c r="A388" s="6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</row>
    <row r="389" spans="1:21" ht="13" x14ac:dyDescent="0.15">
      <c r="A389" s="6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</row>
    <row r="390" spans="1:21" ht="13" x14ac:dyDescent="0.15">
      <c r="A390" s="6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</row>
    <row r="391" spans="1:21" ht="13" x14ac:dyDescent="0.15">
      <c r="A391" s="6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</row>
    <row r="392" spans="1:21" ht="13" x14ac:dyDescent="0.15">
      <c r="A392" s="6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</row>
    <row r="393" spans="1:21" ht="13" x14ac:dyDescent="0.15">
      <c r="A393" s="6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</row>
    <row r="394" spans="1:21" ht="13" x14ac:dyDescent="0.15">
      <c r="A394" s="6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</row>
    <row r="395" spans="1:21" ht="13" x14ac:dyDescent="0.15">
      <c r="A395" s="6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</row>
    <row r="396" spans="1:21" ht="13" x14ac:dyDescent="0.15">
      <c r="A396" s="6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</row>
    <row r="397" spans="1:21" ht="13" x14ac:dyDescent="0.15">
      <c r="A397" s="6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</row>
    <row r="398" spans="1:21" ht="13" x14ac:dyDescent="0.15">
      <c r="A398" s="6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</row>
    <row r="399" spans="1:21" ht="13" x14ac:dyDescent="0.15">
      <c r="A399" s="6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</row>
    <row r="400" spans="1:21" ht="13" x14ac:dyDescent="0.15">
      <c r="A400" s="6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</row>
    <row r="401" spans="1:21" ht="13" x14ac:dyDescent="0.15">
      <c r="A401" s="6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</row>
    <row r="402" spans="1:21" ht="13" x14ac:dyDescent="0.15">
      <c r="A402" s="6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</row>
    <row r="403" spans="1:21" ht="13" x14ac:dyDescent="0.15">
      <c r="A403" s="6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</row>
    <row r="404" spans="1:21" ht="13" x14ac:dyDescent="0.15">
      <c r="A404" s="6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</row>
    <row r="405" spans="1:21" ht="13" x14ac:dyDescent="0.15">
      <c r="A405" s="6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</row>
    <row r="406" spans="1:21" ht="13" x14ac:dyDescent="0.15">
      <c r="A406" s="6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</row>
    <row r="407" spans="1:21" ht="13" x14ac:dyDescent="0.15">
      <c r="A407" s="6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</row>
    <row r="408" spans="1:21" ht="13" x14ac:dyDescent="0.15">
      <c r="A408" s="6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</row>
    <row r="409" spans="1:21" ht="13" x14ac:dyDescent="0.15">
      <c r="A409" s="6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</row>
    <row r="410" spans="1:21" ht="13" x14ac:dyDescent="0.15">
      <c r="A410" s="6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</row>
    <row r="411" spans="1:21" ht="13" x14ac:dyDescent="0.15">
      <c r="A411" s="6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</row>
    <row r="412" spans="1:21" ht="13" x14ac:dyDescent="0.15">
      <c r="A412" s="6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</row>
    <row r="413" spans="1:21" ht="13" x14ac:dyDescent="0.15">
      <c r="A413" s="6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</row>
    <row r="414" spans="1:21" ht="13" x14ac:dyDescent="0.15">
      <c r="A414" s="6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</row>
    <row r="415" spans="1:21" ht="13" x14ac:dyDescent="0.15">
      <c r="A415" s="6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</row>
    <row r="416" spans="1:21" ht="13" x14ac:dyDescent="0.15">
      <c r="A416" s="6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</row>
    <row r="417" spans="1:21" ht="13" x14ac:dyDescent="0.15">
      <c r="A417" s="6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</row>
    <row r="418" spans="1:21" ht="13" x14ac:dyDescent="0.15">
      <c r="A418" s="6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</row>
    <row r="419" spans="1:21" ht="13" x14ac:dyDescent="0.15">
      <c r="A419" s="6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</row>
    <row r="420" spans="1:21" ht="13" x14ac:dyDescent="0.15">
      <c r="A420" s="6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</row>
    <row r="421" spans="1:21" ht="13" x14ac:dyDescent="0.15">
      <c r="A421" s="6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</row>
    <row r="422" spans="1:21" ht="13" x14ac:dyDescent="0.15">
      <c r="A422" s="6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</row>
    <row r="423" spans="1:21" ht="13" x14ac:dyDescent="0.15">
      <c r="A423" s="6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</row>
    <row r="424" spans="1:21" ht="13" x14ac:dyDescent="0.15">
      <c r="A424" s="6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</row>
    <row r="425" spans="1:21" ht="13" x14ac:dyDescent="0.15">
      <c r="A425" s="6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</row>
    <row r="426" spans="1:21" ht="13" x14ac:dyDescent="0.15">
      <c r="A426" s="6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</row>
    <row r="427" spans="1:21" ht="13" x14ac:dyDescent="0.15">
      <c r="A427" s="6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</row>
    <row r="428" spans="1:21" ht="13" x14ac:dyDescent="0.15">
      <c r="A428" s="6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</row>
    <row r="429" spans="1:21" ht="13" x14ac:dyDescent="0.15">
      <c r="A429" s="6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</row>
    <row r="430" spans="1:21" ht="13" x14ac:dyDescent="0.15">
      <c r="A430" s="6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</row>
    <row r="431" spans="1:21" ht="13" x14ac:dyDescent="0.15">
      <c r="A431" s="6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</row>
    <row r="432" spans="1:21" ht="13" x14ac:dyDescent="0.15">
      <c r="A432" s="6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</row>
    <row r="433" spans="1:21" ht="13" x14ac:dyDescent="0.15">
      <c r="A433" s="6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</row>
    <row r="434" spans="1:21" ht="13" x14ac:dyDescent="0.15">
      <c r="A434" s="6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</row>
    <row r="435" spans="1:21" ht="13" x14ac:dyDescent="0.15">
      <c r="A435" s="6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</row>
    <row r="436" spans="1:21" ht="13" x14ac:dyDescent="0.15">
      <c r="A436" s="6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</row>
    <row r="437" spans="1:21" ht="13" x14ac:dyDescent="0.15">
      <c r="A437" s="6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</row>
    <row r="438" spans="1:21" ht="13" x14ac:dyDescent="0.15">
      <c r="A438" s="6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</row>
    <row r="439" spans="1:21" ht="13" x14ac:dyDescent="0.15">
      <c r="A439" s="6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</row>
    <row r="440" spans="1:21" ht="13" x14ac:dyDescent="0.15">
      <c r="A440" s="6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</row>
    <row r="441" spans="1:21" ht="13" x14ac:dyDescent="0.15">
      <c r="A441" s="6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</row>
    <row r="442" spans="1:21" ht="13" x14ac:dyDescent="0.15">
      <c r="A442" s="6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</row>
    <row r="443" spans="1:21" ht="13" x14ac:dyDescent="0.15">
      <c r="A443" s="6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</row>
    <row r="444" spans="1:21" ht="13" x14ac:dyDescent="0.15">
      <c r="A444" s="6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</row>
    <row r="445" spans="1:21" ht="13" x14ac:dyDescent="0.15">
      <c r="A445" s="6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</row>
    <row r="446" spans="1:21" ht="13" x14ac:dyDescent="0.15">
      <c r="A446" s="6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</row>
    <row r="447" spans="1:21" ht="13" x14ac:dyDescent="0.15">
      <c r="A447" s="6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</row>
    <row r="448" spans="1:21" ht="13" x14ac:dyDescent="0.15">
      <c r="A448" s="6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</row>
    <row r="449" spans="1:21" ht="13" x14ac:dyDescent="0.15">
      <c r="A449" s="6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</row>
    <row r="450" spans="1:21" ht="13" x14ac:dyDescent="0.15">
      <c r="A450" s="6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</row>
    <row r="451" spans="1:21" ht="13" x14ac:dyDescent="0.15">
      <c r="A451" s="6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</row>
    <row r="452" spans="1:21" ht="13" x14ac:dyDescent="0.15">
      <c r="A452" s="6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</row>
    <row r="453" spans="1:21" ht="13" x14ac:dyDescent="0.15">
      <c r="A453" s="6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</row>
    <row r="454" spans="1:21" ht="13" x14ac:dyDescent="0.15">
      <c r="A454" s="6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</row>
    <row r="455" spans="1:21" ht="13" x14ac:dyDescent="0.15">
      <c r="A455" s="6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</row>
    <row r="456" spans="1:21" ht="13" x14ac:dyDescent="0.15">
      <c r="A456" s="6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</row>
    <row r="457" spans="1:21" ht="13" x14ac:dyDescent="0.15">
      <c r="A457" s="6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</row>
    <row r="458" spans="1:21" ht="13" x14ac:dyDescent="0.15">
      <c r="A458" s="6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</row>
    <row r="459" spans="1:21" ht="13" x14ac:dyDescent="0.15">
      <c r="A459" s="6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</row>
    <row r="460" spans="1:21" ht="13" x14ac:dyDescent="0.15">
      <c r="A460" s="6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</row>
    <row r="461" spans="1:21" ht="13" x14ac:dyDescent="0.15">
      <c r="A461" s="6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</row>
    <row r="462" spans="1:21" ht="13" x14ac:dyDescent="0.15">
      <c r="A462" s="6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</row>
    <row r="463" spans="1:21" ht="13" x14ac:dyDescent="0.15">
      <c r="A463" s="6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</row>
    <row r="464" spans="1:21" ht="13" x14ac:dyDescent="0.15">
      <c r="A464" s="6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</row>
    <row r="465" spans="1:21" ht="13" x14ac:dyDescent="0.15">
      <c r="A465" s="6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</row>
    <row r="466" spans="1:21" ht="13" x14ac:dyDescent="0.15">
      <c r="A466" s="6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</row>
    <row r="467" spans="1:21" ht="13" x14ac:dyDescent="0.15">
      <c r="A467" s="6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</row>
    <row r="468" spans="1:21" ht="13" x14ac:dyDescent="0.15">
      <c r="A468" s="6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</row>
    <row r="469" spans="1:21" ht="13" x14ac:dyDescent="0.15">
      <c r="A469" s="6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</row>
    <row r="470" spans="1:21" ht="13" x14ac:dyDescent="0.15">
      <c r="A470" s="6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</row>
    <row r="471" spans="1:21" ht="13" x14ac:dyDescent="0.15">
      <c r="A471" s="6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</row>
    <row r="472" spans="1:21" ht="13" x14ac:dyDescent="0.15">
      <c r="A472" s="6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</row>
    <row r="473" spans="1:21" ht="13" x14ac:dyDescent="0.15">
      <c r="A473" s="6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</row>
    <row r="474" spans="1:21" ht="13" x14ac:dyDescent="0.15">
      <c r="A474" s="6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</row>
    <row r="475" spans="1:21" ht="13" x14ac:dyDescent="0.15">
      <c r="A475" s="6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</row>
    <row r="476" spans="1:21" ht="13" x14ac:dyDescent="0.15">
      <c r="A476" s="6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</row>
    <row r="477" spans="1:21" ht="13" x14ac:dyDescent="0.15">
      <c r="A477" s="6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</row>
    <row r="478" spans="1:21" ht="13" x14ac:dyDescent="0.15">
      <c r="A478" s="6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</row>
    <row r="479" spans="1:21" ht="13" x14ac:dyDescent="0.15">
      <c r="A479" s="6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</row>
    <row r="480" spans="1:21" ht="13" x14ac:dyDescent="0.15">
      <c r="A480" s="6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</row>
    <row r="481" spans="1:21" ht="13" x14ac:dyDescent="0.15">
      <c r="A481" s="6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</row>
    <row r="482" spans="1:21" ht="13" x14ac:dyDescent="0.15">
      <c r="A482" s="6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</row>
    <row r="483" spans="1:21" ht="13" x14ac:dyDescent="0.15">
      <c r="A483" s="6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</row>
    <row r="484" spans="1:21" ht="13" x14ac:dyDescent="0.15">
      <c r="A484" s="6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</row>
    <row r="485" spans="1:21" ht="13" x14ac:dyDescent="0.15">
      <c r="A485" s="6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</row>
    <row r="486" spans="1:21" ht="13" x14ac:dyDescent="0.15">
      <c r="A486" s="6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</row>
    <row r="487" spans="1:21" ht="13" x14ac:dyDescent="0.15">
      <c r="A487" s="6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</row>
    <row r="488" spans="1:21" ht="13" x14ac:dyDescent="0.15">
      <c r="A488" s="6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</row>
    <row r="489" spans="1:21" ht="13" x14ac:dyDescent="0.15">
      <c r="A489" s="6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</row>
    <row r="490" spans="1:21" ht="13" x14ac:dyDescent="0.15">
      <c r="A490" s="6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</row>
    <row r="491" spans="1:21" ht="13" x14ac:dyDescent="0.15">
      <c r="A491" s="6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</row>
    <row r="492" spans="1:21" ht="13" x14ac:dyDescent="0.15">
      <c r="A492" s="6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</row>
    <row r="493" spans="1:21" ht="13" x14ac:dyDescent="0.15">
      <c r="A493" s="6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</row>
    <row r="494" spans="1:21" ht="13" x14ac:dyDescent="0.15">
      <c r="A494" s="6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</row>
    <row r="495" spans="1:21" ht="13" x14ac:dyDescent="0.15">
      <c r="A495" s="6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</row>
    <row r="496" spans="1:21" ht="13" x14ac:dyDescent="0.15">
      <c r="A496" s="6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</row>
    <row r="497" spans="1:21" ht="13" x14ac:dyDescent="0.15">
      <c r="A497" s="6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</row>
    <row r="498" spans="1:21" ht="13" x14ac:dyDescent="0.15">
      <c r="A498" s="6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</row>
    <row r="499" spans="1:21" ht="13" x14ac:dyDescent="0.15">
      <c r="A499" s="6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</row>
    <row r="500" spans="1:21" ht="13" x14ac:dyDescent="0.15">
      <c r="A500" s="6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</row>
    <row r="501" spans="1:21" ht="13" x14ac:dyDescent="0.15">
      <c r="A501" s="6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</row>
    <row r="502" spans="1:21" ht="13" x14ac:dyDescent="0.15">
      <c r="A502" s="6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</row>
    <row r="503" spans="1:21" ht="13" x14ac:dyDescent="0.15">
      <c r="A503" s="6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</row>
    <row r="504" spans="1:21" ht="13" x14ac:dyDescent="0.15">
      <c r="A504" s="6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</row>
    <row r="505" spans="1:21" ht="13" x14ac:dyDescent="0.15">
      <c r="A505" s="6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</row>
    <row r="506" spans="1:21" ht="13" x14ac:dyDescent="0.15">
      <c r="A506" s="6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</row>
    <row r="507" spans="1:21" ht="13" x14ac:dyDescent="0.15">
      <c r="A507" s="6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</row>
    <row r="508" spans="1:21" ht="13" x14ac:dyDescent="0.15">
      <c r="A508" s="6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</row>
    <row r="509" spans="1:21" ht="13" x14ac:dyDescent="0.15">
      <c r="A509" s="6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</row>
    <row r="510" spans="1:21" ht="13" x14ac:dyDescent="0.15">
      <c r="A510" s="6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</row>
    <row r="511" spans="1:21" ht="13" x14ac:dyDescent="0.15">
      <c r="A511" s="6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</row>
    <row r="512" spans="1:21" ht="13" x14ac:dyDescent="0.15">
      <c r="A512" s="6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</row>
    <row r="513" spans="1:21" ht="13" x14ac:dyDescent="0.15">
      <c r="A513" s="6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</row>
    <row r="514" spans="1:21" ht="13" x14ac:dyDescent="0.15">
      <c r="A514" s="6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</row>
    <row r="515" spans="1:21" ht="13" x14ac:dyDescent="0.15">
      <c r="A515" s="6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</row>
    <row r="516" spans="1:21" ht="13" x14ac:dyDescent="0.15">
      <c r="A516" s="6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</row>
    <row r="517" spans="1:21" ht="13" x14ac:dyDescent="0.15">
      <c r="A517" s="6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</row>
    <row r="518" spans="1:21" ht="13" x14ac:dyDescent="0.15">
      <c r="A518" s="6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</row>
    <row r="519" spans="1:21" ht="13" x14ac:dyDescent="0.15">
      <c r="A519" s="6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</row>
    <row r="520" spans="1:21" ht="13" x14ac:dyDescent="0.15">
      <c r="A520" s="6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</row>
    <row r="521" spans="1:21" ht="13" x14ac:dyDescent="0.15">
      <c r="A521" s="6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</row>
    <row r="522" spans="1:21" ht="13" x14ac:dyDescent="0.15">
      <c r="A522" s="6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</row>
    <row r="523" spans="1:21" ht="13" x14ac:dyDescent="0.15">
      <c r="A523" s="6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</row>
    <row r="524" spans="1:21" ht="13" x14ac:dyDescent="0.15">
      <c r="A524" s="6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</row>
    <row r="525" spans="1:21" ht="13" x14ac:dyDescent="0.15">
      <c r="A525" s="6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</row>
    <row r="526" spans="1:21" ht="13" x14ac:dyDescent="0.15">
      <c r="A526" s="6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</row>
    <row r="527" spans="1:21" ht="13" x14ac:dyDescent="0.15">
      <c r="A527" s="6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</row>
    <row r="528" spans="1:21" ht="13" x14ac:dyDescent="0.15">
      <c r="A528" s="6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</row>
    <row r="529" spans="1:21" ht="13" x14ac:dyDescent="0.15">
      <c r="A529" s="6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</row>
    <row r="530" spans="1:21" ht="13" x14ac:dyDescent="0.15">
      <c r="A530" s="6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</row>
    <row r="531" spans="1:21" ht="13" x14ac:dyDescent="0.15">
      <c r="A531" s="6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</row>
    <row r="532" spans="1:21" ht="13" x14ac:dyDescent="0.15">
      <c r="A532" s="6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</row>
    <row r="533" spans="1:21" ht="13" x14ac:dyDescent="0.15">
      <c r="A533" s="6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</row>
    <row r="534" spans="1:21" ht="13" x14ac:dyDescent="0.15">
      <c r="A534" s="6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</row>
    <row r="535" spans="1:21" ht="13" x14ac:dyDescent="0.15">
      <c r="A535" s="6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</row>
    <row r="536" spans="1:21" ht="13" x14ac:dyDescent="0.15">
      <c r="A536" s="6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</row>
    <row r="537" spans="1:21" ht="13" x14ac:dyDescent="0.15">
      <c r="A537" s="6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</row>
    <row r="538" spans="1:21" ht="13" x14ac:dyDescent="0.15">
      <c r="A538" s="6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</row>
    <row r="539" spans="1:21" ht="13" x14ac:dyDescent="0.15">
      <c r="A539" s="6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</row>
    <row r="540" spans="1:21" ht="13" x14ac:dyDescent="0.15">
      <c r="A540" s="6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</row>
    <row r="541" spans="1:21" ht="13" x14ac:dyDescent="0.15">
      <c r="A541" s="6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</row>
    <row r="542" spans="1:21" ht="13" x14ac:dyDescent="0.15">
      <c r="A542" s="6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</row>
    <row r="543" spans="1:21" ht="13" x14ac:dyDescent="0.15">
      <c r="A543" s="6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</row>
    <row r="544" spans="1:21" ht="13" x14ac:dyDescent="0.15">
      <c r="A544" s="6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</row>
    <row r="545" spans="1:21" ht="13" x14ac:dyDescent="0.15">
      <c r="A545" s="6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</row>
    <row r="546" spans="1:21" ht="13" x14ac:dyDescent="0.15">
      <c r="A546" s="6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</row>
    <row r="547" spans="1:21" ht="13" x14ac:dyDescent="0.15">
      <c r="A547" s="6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</row>
    <row r="548" spans="1:21" ht="13" x14ac:dyDescent="0.15">
      <c r="A548" s="6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</row>
    <row r="549" spans="1:21" ht="13" x14ac:dyDescent="0.15">
      <c r="A549" s="6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</row>
    <row r="550" spans="1:21" ht="13" x14ac:dyDescent="0.15">
      <c r="A550" s="6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</row>
    <row r="551" spans="1:21" ht="13" x14ac:dyDescent="0.15">
      <c r="A551" s="6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</row>
    <row r="552" spans="1:21" ht="13" x14ac:dyDescent="0.15">
      <c r="A552" s="6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</row>
    <row r="553" spans="1:21" ht="13" x14ac:dyDescent="0.15">
      <c r="A553" s="6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</row>
    <row r="554" spans="1:21" ht="13" x14ac:dyDescent="0.15">
      <c r="A554" s="6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</row>
    <row r="555" spans="1:21" ht="13" x14ac:dyDescent="0.15">
      <c r="A555" s="6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</row>
    <row r="556" spans="1:21" ht="13" x14ac:dyDescent="0.15">
      <c r="A556" s="6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</row>
    <row r="557" spans="1:21" ht="13" x14ac:dyDescent="0.15">
      <c r="A557" s="6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</row>
    <row r="558" spans="1:21" ht="13" x14ac:dyDescent="0.15">
      <c r="A558" s="6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</row>
    <row r="559" spans="1:21" ht="13" x14ac:dyDescent="0.15">
      <c r="A559" s="6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</row>
    <row r="560" spans="1:21" ht="13" x14ac:dyDescent="0.15">
      <c r="A560" s="6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</row>
    <row r="561" spans="1:21" ht="13" x14ac:dyDescent="0.15">
      <c r="A561" s="6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</row>
    <row r="562" spans="1:21" ht="13" x14ac:dyDescent="0.15">
      <c r="A562" s="6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</row>
    <row r="563" spans="1:21" ht="13" x14ac:dyDescent="0.15">
      <c r="A563" s="6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</row>
    <row r="564" spans="1:21" ht="13" x14ac:dyDescent="0.15">
      <c r="A564" s="6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</row>
    <row r="565" spans="1:21" ht="13" x14ac:dyDescent="0.15">
      <c r="A565" s="6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</row>
    <row r="566" spans="1:21" ht="13" x14ac:dyDescent="0.15">
      <c r="A566" s="6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</row>
    <row r="567" spans="1:21" ht="13" x14ac:dyDescent="0.15">
      <c r="A567" s="6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</row>
    <row r="568" spans="1:21" ht="13" x14ac:dyDescent="0.15">
      <c r="A568" s="6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</row>
    <row r="569" spans="1:21" ht="13" x14ac:dyDescent="0.15">
      <c r="A569" s="6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</row>
    <row r="570" spans="1:21" ht="13" x14ac:dyDescent="0.15">
      <c r="A570" s="6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</row>
    <row r="571" spans="1:21" ht="13" x14ac:dyDescent="0.15">
      <c r="A571" s="6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</row>
    <row r="572" spans="1:21" ht="13" x14ac:dyDescent="0.15">
      <c r="A572" s="6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</row>
    <row r="573" spans="1:21" ht="13" x14ac:dyDescent="0.15">
      <c r="A573" s="6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</row>
    <row r="574" spans="1:21" ht="13" x14ac:dyDescent="0.15">
      <c r="A574" s="6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</row>
    <row r="575" spans="1:21" ht="13" x14ac:dyDescent="0.15">
      <c r="A575" s="6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</row>
    <row r="576" spans="1:21" ht="13" x14ac:dyDescent="0.15">
      <c r="A576" s="6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</row>
    <row r="577" spans="1:21" ht="13" x14ac:dyDescent="0.15">
      <c r="A577" s="6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</row>
    <row r="578" spans="1:21" ht="13" x14ac:dyDescent="0.15">
      <c r="A578" s="6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</row>
    <row r="579" spans="1:21" ht="13" x14ac:dyDescent="0.15">
      <c r="A579" s="6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</row>
    <row r="580" spans="1:21" ht="13" x14ac:dyDescent="0.15">
      <c r="A580" s="6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</row>
    <row r="581" spans="1:21" ht="13" x14ac:dyDescent="0.15">
      <c r="A581" s="6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</row>
    <row r="582" spans="1:21" ht="13" x14ac:dyDescent="0.15">
      <c r="A582" s="6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</row>
    <row r="583" spans="1:21" ht="13" x14ac:dyDescent="0.15">
      <c r="A583" s="6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</row>
    <row r="584" spans="1:21" ht="13" x14ac:dyDescent="0.15">
      <c r="A584" s="6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</row>
    <row r="585" spans="1:21" ht="13" x14ac:dyDescent="0.15">
      <c r="A585" s="6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</row>
    <row r="586" spans="1:21" ht="13" x14ac:dyDescent="0.15">
      <c r="A586" s="6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</row>
    <row r="587" spans="1:21" ht="13" x14ac:dyDescent="0.15">
      <c r="A587" s="6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</row>
    <row r="588" spans="1:21" ht="13" x14ac:dyDescent="0.15">
      <c r="A588" s="6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</row>
    <row r="589" spans="1:21" ht="13" x14ac:dyDescent="0.15">
      <c r="A589" s="6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</row>
    <row r="590" spans="1:21" ht="13" x14ac:dyDescent="0.15">
      <c r="A590" s="6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</row>
    <row r="591" spans="1:21" ht="13" x14ac:dyDescent="0.15">
      <c r="A591" s="6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</row>
    <row r="592" spans="1:21" ht="13" x14ac:dyDescent="0.15">
      <c r="A592" s="6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</row>
    <row r="593" spans="1:21" ht="13" x14ac:dyDescent="0.15">
      <c r="A593" s="6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</row>
    <row r="594" spans="1:21" ht="13" x14ac:dyDescent="0.15">
      <c r="A594" s="6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</row>
    <row r="595" spans="1:21" ht="13" x14ac:dyDescent="0.15">
      <c r="A595" s="6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</row>
    <row r="596" spans="1:21" ht="13" x14ac:dyDescent="0.15">
      <c r="A596" s="6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</row>
    <row r="597" spans="1:21" ht="13" x14ac:dyDescent="0.15">
      <c r="A597" s="6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</row>
    <row r="598" spans="1:21" ht="13" x14ac:dyDescent="0.15">
      <c r="A598" s="6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</row>
    <row r="599" spans="1:21" ht="13" x14ac:dyDescent="0.15">
      <c r="A599" s="6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</row>
    <row r="600" spans="1:21" ht="13" x14ac:dyDescent="0.15">
      <c r="A600" s="6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</row>
    <row r="601" spans="1:21" ht="13" x14ac:dyDescent="0.15">
      <c r="A601" s="6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</row>
    <row r="602" spans="1:21" ht="13" x14ac:dyDescent="0.15">
      <c r="A602" s="6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</row>
    <row r="603" spans="1:21" ht="13" x14ac:dyDescent="0.15">
      <c r="A603" s="6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</row>
    <row r="604" spans="1:21" ht="13" x14ac:dyDescent="0.15">
      <c r="A604" s="6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</row>
    <row r="605" spans="1:21" ht="13" x14ac:dyDescent="0.15">
      <c r="A605" s="6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</row>
    <row r="606" spans="1:21" ht="13" x14ac:dyDescent="0.15">
      <c r="A606" s="6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</row>
    <row r="607" spans="1:21" ht="13" x14ac:dyDescent="0.15">
      <c r="A607" s="6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</row>
    <row r="608" spans="1:21" ht="13" x14ac:dyDescent="0.15">
      <c r="A608" s="6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</row>
    <row r="609" spans="1:21" ht="13" x14ac:dyDescent="0.15">
      <c r="A609" s="6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</row>
    <row r="610" spans="1:21" ht="13" x14ac:dyDescent="0.15">
      <c r="A610" s="6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</row>
    <row r="611" spans="1:21" ht="13" x14ac:dyDescent="0.15">
      <c r="A611" s="6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</row>
    <row r="612" spans="1:21" ht="13" x14ac:dyDescent="0.15">
      <c r="A612" s="6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</row>
    <row r="613" spans="1:21" ht="13" x14ac:dyDescent="0.15">
      <c r="A613" s="6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</row>
    <row r="614" spans="1:21" ht="13" x14ac:dyDescent="0.15">
      <c r="A614" s="6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</row>
    <row r="615" spans="1:21" ht="13" x14ac:dyDescent="0.15">
      <c r="A615" s="6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</row>
    <row r="616" spans="1:21" ht="13" x14ac:dyDescent="0.15">
      <c r="A616" s="6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</row>
    <row r="617" spans="1:21" ht="13" x14ac:dyDescent="0.15">
      <c r="A617" s="6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</row>
    <row r="618" spans="1:21" ht="13" x14ac:dyDescent="0.15">
      <c r="A618" s="6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</row>
    <row r="619" spans="1:21" ht="13" x14ac:dyDescent="0.15">
      <c r="A619" s="6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</row>
    <row r="620" spans="1:21" ht="13" x14ac:dyDescent="0.15">
      <c r="A620" s="6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</row>
    <row r="621" spans="1:21" ht="13" x14ac:dyDescent="0.15">
      <c r="A621" s="6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</row>
    <row r="622" spans="1:21" ht="13" x14ac:dyDescent="0.15">
      <c r="A622" s="6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</row>
    <row r="623" spans="1:21" ht="13" x14ac:dyDescent="0.15">
      <c r="A623" s="6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</row>
    <row r="624" spans="1:21" ht="13" x14ac:dyDescent="0.15">
      <c r="A624" s="6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</row>
    <row r="625" spans="1:21" ht="13" x14ac:dyDescent="0.15">
      <c r="A625" s="6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</row>
    <row r="626" spans="1:21" ht="13" x14ac:dyDescent="0.15">
      <c r="A626" s="6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</row>
    <row r="627" spans="1:21" ht="13" x14ac:dyDescent="0.15">
      <c r="A627" s="6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</row>
    <row r="628" spans="1:21" ht="13" x14ac:dyDescent="0.15">
      <c r="A628" s="6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</row>
    <row r="629" spans="1:21" ht="13" x14ac:dyDescent="0.15">
      <c r="A629" s="6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</row>
    <row r="630" spans="1:21" ht="13" x14ac:dyDescent="0.15">
      <c r="A630" s="6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</row>
    <row r="631" spans="1:21" ht="13" x14ac:dyDescent="0.15">
      <c r="A631" s="6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</row>
    <row r="632" spans="1:21" ht="13" x14ac:dyDescent="0.15">
      <c r="A632" s="6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</row>
    <row r="633" spans="1:21" ht="13" x14ac:dyDescent="0.15">
      <c r="A633" s="6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</row>
    <row r="634" spans="1:21" ht="13" x14ac:dyDescent="0.15">
      <c r="A634" s="6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</row>
    <row r="635" spans="1:21" ht="13" x14ac:dyDescent="0.15">
      <c r="A635" s="6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</row>
    <row r="636" spans="1:21" ht="13" x14ac:dyDescent="0.15">
      <c r="A636" s="6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</row>
    <row r="637" spans="1:21" ht="13" x14ac:dyDescent="0.15">
      <c r="A637" s="6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</row>
    <row r="638" spans="1:21" ht="13" x14ac:dyDescent="0.15">
      <c r="A638" s="6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</row>
    <row r="639" spans="1:21" ht="13" x14ac:dyDescent="0.15">
      <c r="A639" s="6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</row>
    <row r="640" spans="1:21" ht="13" x14ac:dyDescent="0.15">
      <c r="A640" s="6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</row>
    <row r="641" spans="1:21" ht="13" x14ac:dyDescent="0.15">
      <c r="A641" s="6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</row>
    <row r="642" spans="1:21" ht="13" x14ac:dyDescent="0.15">
      <c r="A642" s="6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</row>
    <row r="643" spans="1:21" ht="13" x14ac:dyDescent="0.15">
      <c r="A643" s="6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</row>
    <row r="644" spans="1:21" ht="13" x14ac:dyDescent="0.15">
      <c r="A644" s="6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</row>
    <row r="645" spans="1:21" ht="13" x14ac:dyDescent="0.15">
      <c r="A645" s="6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</row>
    <row r="646" spans="1:21" ht="13" x14ac:dyDescent="0.15">
      <c r="A646" s="6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</row>
    <row r="647" spans="1:21" ht="13" x14ac:dyDescent="0.15">
      <c r="A647" s="6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</row>
    <row r="648" spans="1:21" ht="13" x14ac:dyDescent="0.15">
      <c r="A648" s="6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</row>
    <row r="649" spans="1:21" ht="13" x14ac:dyDescent="0.15">
      <c r="A649" s="6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</row>
    <row r="650" spans="1:21" ht="13" x14ac:dyDescent="0.15">
      <c r="A650" s="6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</row>
    <row r="651" spans="1:21" ht="13" x14ac:dyDescent="0.15">
      <c r="A651" s="6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</row>
    <row r="652" spans="1:21" ht="13" x14ac:dyDescent="0.15">
      <c r="A652" s="6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</row>
    <row r="653" spans="1:21" ht="13" x14ac:dyDescent="0.15">
      <c r="A653" s="6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</row>
    <row r="654" spans="1:21" ht="13" x14ac:dyDescent="0.15">
      <c r="A654" s="6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</row>
    <row r="655" spans="1:21" ht="13" x14ac:dyDescent="0.15">
      <c r="A655" s="6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</row>
    <row r="656" spans="1:21" ht="13" x14ac:dyDescent="0.15">
      <c r="A656" s="6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</row>
    <row r="657" spans="1:21" ht="13" x14ac:dyDescent="0.15">
      <c r="A657" s="6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</row>
    <row r="658" spans="1:21" ht="13" x14ac:dyDescent="0.15">
      <c r="A658" s="6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</row>
    <row r="659" spans="1:21" ht="13" x14ac:dyDescent="0.15">
      <c r="A659" s="6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</row>
    <row r="660" spans="1:21" ht="13" x14ac:dyDescent="0.15">
      <c r="A660" s="6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</row>
    <row r="661" spans="1:21" ht="13" x14ac:dyDescent="0.15">
      <c r="A661" s="6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</row>
    <row r="662" spans="1:21" ht="13" x14ac:dyDescent="0.15">
      <c r="A662" s="6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</row>
    <row r="663" spans="1:21" ht="13" x14ac:dyDescent="0.15">
      <c r="A663" s="6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</row>
    <row r="664" spans="1:21" ht="13" x14ac:dyDescent="0.15">
      <c r="A664" s="6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</row>
    <row r="665" spans="1:21" ht="13" x14ac:dyDescent="0.15">
      <c r="A665" s="6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</row>
    <row r="666" spans="1:21" ht="13" x14ac:dyDescent="0.15">
      <c r="A666" s="6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</row>
    <row r="667" spans="1:21" ht="13" x14ac:dyDescent="0.15">
      <c r="A667" s="6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</row>
    <row r="668" spans="1:21" ht="13" x14ac:dyDescent="0.15">
      <c r="A668" s="6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</row>
    <row r="669" spans="1:21" ht="13" x14ac:dyDescent="0.15">
      <c r="A669" s="6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</row>
    <row r="670" spans="1:21" ht="13" x14ac:dyDescent="0.15">
      <c r="A670" s="6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</row>
    <row r="671" spans="1:21" ht="13" x14ac:dyDescent="0.15">
      <c r="A671" s="6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</row>
    <row r="672" spans="1:21" ht="13" x14ac:dyDescent="0.15">
      <c r="A672" s="6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</row>
    <row r="673" spans="1:21" ht="13" x14ac:dyDescent="0.15">
      <c r="A673" s="6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</row>
    <row r="674" spans="1:21" ht="13" x14ac:dyDescent="0.15">
      <c r="A674" s="6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</row>
    <row r="675" spans="1:21" ht="13" x14ac:dyDescent="0.15">
      <c r="A675" s="62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</row>
    <row r="676" spans="1:21" ht="13" x14ac:dyDescent="0.15">
      <c r="A676" s="62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</row>
    <row r="677" spans="1:21" ht="13" x14ac:dyDescent="0.15">
      <c r="A677" s="62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</row>
    <row r="678" spans="1:21" ht="13" x14ac:dyDescent="0.15">
      <c r="A678" s="62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</row>
    <row r="679" spans="1:21" ht="13" x14ac:dyDescent="0.15">
      <c r="A679" s="62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</row>
    <row r="680" spans="1:21" ht="13" x14ac:dyDescent="0.15">
      <c r="A680" s="62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</row>
    <row r="681" spans="1:21" ht="13" x14ac:dyDescent="0.15">
      <c r="A681" s="62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</row>
    <row r="682" spans="1:21" ht="13" x14ac:dyDescent="0.15">
      <c r="A682" s="62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</row>
    <row r="683" spans="1:21" ht="13" x14ac:dyDescent="0.15">
      <c r="A683" s="62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</row>
    <row r="684" spans="1:21" ht="13" x14ac:dyDescent="0.15">
      <c r="A684" s="62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</row>
    <row r="685" spans="1:21" ht="13" x14ac:dyDescent="0.15">
      <c r="A685" s="62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</row>
    <row r="686" spans="1:21" ht="13" x14ac:dyDescent="0.15">
      <c r="A686" s="62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</row>
    <row r="687" spans="1:21" ht="13" x14ac:dyDescent="0.15">
      <c r="A687" s="62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</row>
    <row r="688" spans="1:21" ht="13" x14ac:dyDescent="0.15">
      <c r="A688" s="62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</row>
    <row r="689" spans="1:21" ht="13" x14ac:dyDescent="0.15">
      <c r="A689" s="62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</row>
    <row r="690" spans="1:21" ht="13" x14ac:dyDescent="0.15">
      <c r="A690" s="62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</row>
    <row r="691" spans="1:21" ht="13" x14ac:dyDescent="0.15">
      <c r="A691" s="62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</row>
    <row r="692" spans="1:21" ht="13" x14ac:dyDescent="0.15">
      <c r="A692" s="62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</row>
    <row r="693" spans="1:21" ht="13" x14ac:dyDescent="0.15">
      <c r="A693" s="62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</row>
    <row r="694" spans="1:21" ht="13" x14ac:dyDescent="0.15">
      <c r="A694" s="62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</row>
    <row r="695" spans="1:21" ht="13" x14ac:dyDescent="0.15">
      <c r="A695" s="62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</row>
    <row r="696" spans="1:21" ht="13" x14ac:dyDescent="0.15">
      <c r="A696" s="62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</row>
    <row r="697" spans="1:21" ht="13" x14ac:dyDescent="0.15">
      <c r="A697" s="62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</row>
    <row r="698" spans="1:21" ht="13" x14ac:dyDescent="0.15">
      <c r="A698" s="62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</row>
    <row r="699" spans="1:21" ht="13" x14ac:dyDescent="0.15">
      <c r="A699" s="62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</row>
    <row r="700" spans="1:21" ht="13" x14ac:dyDescent="0.15">
      <c r="A700" s="62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</row>
    <row r="701" spans="1:21" ht="13" x14ac:dyDescent="0.15">
      <c r="A701" s="62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</row>
    <row r="702" spans="1:21" ht="13" x14ac:dyDescent="0.15">
      <c r="A702" s="62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</row>
    <row r="703" spans="1:21" ht="13" x14ac:dyDescent="0.15">
      <c r="A703" s="62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</row>
    <row r="704" spans="1:21" ht="13" x14ac:dyDescent="0.15">
      <c r="A704" s="62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</row>
    <row r="705" spans="1:21" ht="13" x14ac:dyDescent="0.15">
      <c r="A705" s="62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</row>
    <row r="706" spans="1:21" ht="13" x14ac:dyDescent="0.15">
      <c r="A706" s="62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</row>
    <row r="707" spans="1:21" ht="13" x14ac:dyDescent="0.15">
      <c r="A707" s="62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</row>
    <row r="708" spans="1:21" ht="13" x14ac:dyDescent="0.15">
      <c r="A708" s="62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</row>
    <row r="709" spans="1:21" ht="13" x14ac:dyDescent="0.15">
      <c r="A709" s="62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</row>
    <row r="710" spans="1:21" ht="13" x14ac:dyDescent="0.15">
      <c r="A710" s="62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</row>
    <row r="711" spans="1:21" ht="13" x14ac:dyDescent="0.15">
      <c r="A711" s="62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</row>
    <row r="712" spans="1:21" ht="13" x14ac:dyDescent="0.15">
      <c r="A712" s="62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</row>
    <row r="713" spans="1:21" ht="13" x14ac:dyDescent="0.15">
      <c r="A713" s="62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</row>
    <row r="714" spans="1:21" ht="13" x14ac:dyDescent="0.15">
      <c r="A714" s="62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</row>
    <row r="715" spans="1:21" ht="13" x14ac:dyDescent="0.15">
      <c r="A715" s="62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</row>
    <row r="716" spans="1:21" ht="13" x14ac:dyDescent="0.15">
      <c r="A716" s="62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</row>
    <row r="717" spans="1:21" ht="13" x14ac:dyDescent="0.15">
      <c r="A717" s="62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</row>
    <row r="718" spans="1:21" ht="13" x14ac:dyDescent="0.15">
      <c r="A718" s="62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</row>
    <row r="719" spans="1:21" ht="13" x14ac:dyDescent="0.15">
      <c r="A719" s="62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</row>
    <row r="720" spans="1:21" ht="13" x14ac:dyDescent="0.15">
      <c r="A720" s="62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</row>
    <row r="721" spans="1:21" ht="13" x14ac:dyDescent="0.15">
      <c r="A721" s="62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</row>
    <row r="722" spans="1:21" ht="13" x14ac:dyDescent="0.15">
      <c r="A722" s="62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</row>
    <row r="723" spans="1:21" ht="13" x14ac:dyDescent="0.15">
      <c r="A723" s="62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</row>
    <row r="724" spans="1:21" ht="13" x14ac:dyDescent="0.15">
      <c r="A724" s="62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</row>
    <row r="725" spans="1:21" ht="13" x14ac:dyDescent="0.15">
      <c r="A725" s="62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</row>
    <row r="726" spans="1:21" ht="13" x14ac:dyDescent="0.15">
      <c r="A726" s="62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</row>
    <row r="727" spans="1:21" ht="13" x14ac:dyDescent="0.15">
      <c r="A727" s="62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</row>
    <row r="728" spans="1:21" ht="13" x14ac:dyDescent="0.15">
      <c r="A728" s="62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</row>
    <row r="729" spans="1:21" ht="13" x14ac:dyDescent="0.15">
      <c r="A729" s="62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</row>
    <row r="730" spans="1:21" ht="13" x14ac:dyDescent="0.15">
      <c r="A730" s="62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</row>
    <row r="731" spans="1:21" ht="13" x14ac:dyDescent="0.15">
      <c r="A731" s="62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</row>
    <row r="732" spans="1:21" ht="13" x14ac:dyDescent="0.15">
      <c r="A732" s="62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</row>
    <row r="733" spans="1:21" ht="13" x14ac:dyDescent="0.15">
      <c r="A733" s="62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</row>
    <row r="734" spans="1:21" ht="13" x14ac:dyDescent="0.15">
      <c r="A734" s="62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</row>
    <row r="735" spans="1:21" ht="13" x14ac:dyDescent="0.15">
      <c r="A735" s="62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</row>
    <row r="736" spans="1:21" ht="13" x14ac:dyDescent="0.15">
      <c r="A736" s="62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</row>
    <row r="737" spans="1:21" ht="13" x14ac:dyDescent="0.15">
      <c r="A737" s="62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</row>
    <row r="738" spans="1:21" ht="13" x14ac:dyDescent="0.15">
      <c r="A738" s="62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</row>
    <row r="739" spans="1:21" ht="13" x14ac:dyDescent="0.15">
      <c r="A739" s="62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</row>
    <row r="740" spans="1:21" ht="13" x14ac:dyDescent="0.15">
      <c r="A740" s="62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</row>
    <row r="741" spans="1:21" ht="13" x14ac:dyDescent="0.15">
      <c r="A741" s="62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</row>
    <row r="742" spans="1:21" ht="13" x14ac:dyDescent="0.15">
      <c r="A742" s="62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</row>
    <row r="743" spans="1:21" ht="13" x14ac:dyDescent="0.15">
      <c r="A743" s="62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</row>
    <row r="744" spans="1:21" ht="13" x14ac:dyDescent="0.15">
      <c r="A744" s="62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</row>
    <row r="745" spans="1:21" ht="13" x14ac:dyDescent="0.15">
      <c r="A745" s="62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</row>
    <row r="746" spans="1:21" ht="13" x14ac:dyDescent="0.15">
      <c r="A746" s="62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</row>
    <row r="747" spans="1:21" ht="13" x14ac:dyDescent="0.15">
      <c r="A747" s="62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</row>
    <row r="748" spans="1:21" ht="13" x14ac:dyDescent="0.15">
      <c r="A748" s="62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</row>
    <row r="749" spans="1:21" ht="13" x14ac:dyDescent="0.15">
      <c r="A749" s="62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</row>
    <row r="750" spans="1:21" ht="13" x14ac:dyDescent="0.15">
      <c r="A750" s="62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</row>
    <row r="751" spans="1:21" ht="13" x14ac:dyDescent="0.15">
      <c r="A751" s="62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</row>
    <row r="752" spans="1:21" ht="13" x14ac:dyDescent="0.15">
      <c r="A752" s="62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</row>
    <row r="753" spans="1:21" ht="13" x14ac:dyDescent="0.15">
      <c r="A753" s="62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</row>
    <row r="754" spans="1:21" ht="13" x14ac:dyDescent="0.15">
      <c r="A754" s="62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</row>
    <row r="755" spans="1:21" ht="13" x14ac:dyDescent="0.15">
      <c r="A755" s="62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</row>
    <row r="756" spans="1:21" ht="13" x14ac:dyDescent="0.15">
      <c r="A756" s="62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</row>
    <row r="757" spans="1:21" ht="13" x14ac:dyDescent="0.15">
      <c r="A757" s="62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</row>
    <row r="758" spans="1:21" ht="13" x14ac:dyDescent="0.15">
      <c r="A758" s="62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</row>
    <row r="759" spans="1:21" ht="13" x14ac:dyDescent="0.15">
      <c r="A759" s="62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</row>
    <row r="760" spans="1:21" ht="13" x14ac:dyDescent="0.15">
      <c r="A760" s="62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</row>
    <row r="761" spans="1:21" ht="13" x14ac:dyDescent="0.15">
      <c r="A761" s="62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</row>
    <row r="762" spans="1:21" ht="13" x14ac:dyDescent="0.15">
      <c r="A762" s="62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</row>
    <row r="763" spans="1:21" ht="13" x14ac:dyDescent="0.15">
      <c r="A763" s="62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</row>
    <row r="764" spans="1:21" ht="13" x14ac:dyDescent="0.15">
      <c r="A764" s="62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</row>
    <row r="765" spans="1:21" ht="13" x14ac:dyDescent="0.15">
      <c r="A765" s="62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</row>
    <row r="766" spans="1:21" ht="13" x14ac:dyDescent="0.15">
      <c r="A766" s="62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</row>
    <row r="767" spans="1:21" ht="13" x14ac:dyDescent="0.15">
      <c r="A767" s="62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</row>
    <row r="768" spans="1:21" ht="13" x14ac:dyDescent="0.15">
      <c r="A768" s="62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</row>
    <row r="769" spans="1:21" ht="13" x14ac:dyDescent="0.15">
      <c r="A769" s="62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</row>
    <row r="770" spans="1:21" ht="13" x14ac:dyDescent="0.15">
      <c r="A770" s="62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</row>
    <row r="771" spans="1:21" ht="13" x14ac:dyDescent="0.15">
      <c r="A771" s="62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</row>
    <row r="772" spans="1:21" ht="13" x14ac:dyDescent="0.15">
      <c r="A772" s="62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</row>
    <row r="773" spans="1:21" ht="13" x14ac:dyDescent="0.15">
      <c r="A773" s="62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</row>
    <row r="774" spans="1:21" ht="13" x14ac:dyDescent="0.15">
      <c r="A774" s="62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</row>
    <row r="775" spans="1:21" ht="13" x14ac:dyDescent="0.15">
      <c r="A775" s="62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</row>
    <row r="776" spans="1:21" ht="13" x14ac:dyDescent="0.15">
      <c r="A776" s="62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</row>
    <row r="777" spans="1:21" ht="13" x14ac:dyDescent="0.15">
      <c r="A777" s="62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</row>
    <row r="778" spans="1:21" ht="13" x14ac:dyDescent="0.15">
      <c r="A778" s="62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</row>
    <row r="779" spans="1:21" ht="13" x14ac:dyDescent="0.15">
      <c r="A779" s="62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</row>
    <row r="780" spans="1:21" ht="13" x14ac:dyDescent="0.15">
      <c r="A780" s="62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</row>
    <row r="781" spans="1:21" ht="13" x14ac:dyDescent="0.15">
      <c r="A781" s="62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</row>
    <row r="782" spans="1:21" ht="13" x14ac:dyDescent="0.15">
      <c r="A782" s="62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</row>
    <row r="783" spans="1:21" ht="13" x14ac:dyDescent="0.15">
      <c r="A783" s="62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</row>
    <row r="784" spans="1:21" ht="13" x14ac:dyDescent="0.15">
      <c r="A784" s="62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</row>
    <row r="785" spans="1:21" ht="13" x14ac:dyDescent="0.15">
      <c r="A785" s="62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</row>
    <row r="786" spans="1:21" ht="13" x14ac:dyDescent="0.15">
      <c r="A786" s="62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</row>
    <row r="787" spans="1:21" ht="13" x14ac:dyDescent="0.15">
      <c r="A787" s="62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</row>
    <row r="788" spans="1:21" ht="13" x14ac:dyDescent="0.15">
      <c r="A788" s="62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</row>
    <row r="789" spans="1:21" ht="13" x14ac:dyDescent="0.15">
      <c r="A789" s="62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</row>
    <row r="790" spans="1:21" ht="13" x14ac:dyDescent="0.15">
      <c r="A790" s="62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</row>
    <row r="791" spans="1:21" ht="13" x14ac:dyDescent="0.15">
      <c r="A791" s="62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</row>
    <row r="792" spans="1:21" ht="13" x14ac:dyDescent="0.15">
      <c r="A792" s="62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</row>
    <row r="793" spans="1:21" ht="13" x14ac:dyDescent="0.15">
      <c r="A793" s="62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</row>
    <row r="794" spans="1:21" ht="13" x14ac:dyDescent="0.15">
      <c r="A794" s="62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</row>
    <row r="795" spans="1:21" ht="13" x14ac:dyDescent="0.15">
      <c r="A795" s="62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</row>
    <row r="796" spans="1:21" ht="13" x14ac:dyDescent="0.15">
      <c r="A796" s="62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</row>
    <row r="797" spans="1:21" ht="13" x14ac:dyDescent="0.15">
      <c r="A797" s="62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</row>
    <row r="798" spans="1:21" ht="13" x14ac:dyDescent="0.15">
      <c r="A798" s="62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</row>
    <row r="799" spans="1:21" ht="13" x14ac:dyDescent="0.15">
      <c r="A799" s="62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</row>
    <row r="800" spans="1:21" ht="13" x14ac:dyDescent="0.15">
      <c r="A800" s="62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</row>
    <row r="801" spans="1:21" ht="13" x14ac:dyDescent="0.15">
      <c r="A801" s="62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</row>
    <row r="802" spans="1:21" ht="13" x14ac:dyDescent="0.15">
      <c r="A802" s="62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</row>
    <row r="803" spans="1:21" ht="13" x14ac:dyDescent="0.15">
      <c r="A803" s="62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</row>
    <row r="804" spans="1:21" ht="13" x14ac:dyDescent="0.15">
      <c r="A804" s="62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</row>
    <row r="805" spans="1:21" ht="13" x14ac:dyDescent="0.15">
      <c r="A805" s="62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</row>
    <row r="806" spans="1:21" ht="13" x14ac:dyDescent="0.15">
      <c r="A806" s="62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</row>
    <row r="807" spans="1:21" ht="13" x14ac:dyDescent="0.15">
      <c r="A807" s="62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</row>
    <row r="808" spans="1:21" ht="13" x14ac:dyDescent="0.15">
      <c r="A808" s="62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</row>
    <row r="809" spans="1:21" ht="13" x14ac:dyDescent="0.15">
      <c r="A809" s="62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</row>
    <row r="810" spans="1:21" ht="13" x14ac:dyDescent="0.15">
      <c r="A810" s="62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</row>
    <row r="811" spans="1:21" ht="13" x14ac:dyDescent="0.15">
      <c r="A811" s="62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</row>
    <row r="812" spans="1:21" ht="13" x14ac:dyDescent="0.15">
      <c r="A812" s="62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</row>
    <row r="813" spans="1:21" ht="13" x14ac:dyDescent="0.15">
      <c r="A813" s="62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</row>
    <row r="814" spans="1:21" ht="13" x14ac:dyDescent="0.15">
      <c r="A814" s="62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</row>
    <row r="815" spans="1:21" ht="13" x14ac:dyDescent="0.15">
      <c r="A815" s="62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</row>
    <row r="816" spans="1:21" ht="13" x14ac:dyDescent="0.15">
      <c r="A816" s="62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</row>
    <row r="817" spans="1:21" ht="13" x14ac:dyDescent="0.15">
      <c r="A817" s="62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</row>
    <row r="818" spans="1:21" ht="13" x14ac:dyDescent="0.15">
      <c r="A818" s="62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</row>
    <row r="819" spans="1:21" ht="13" x14ac:dyDescent="0.15">
      <c r="A819" s="62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</row>
    <row r="820" spans="1:21" ht="13" x14ac:dyDescent="0.15">
      <c r="A820" s="62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</row>
    <row r="821" spans="1:21" ht="13" x14ac:dyDescent="0.15">
      <c r="A821" s="62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</row>
    <row r="822" spans="1:21" ht="13" x14ac:dyDescent="0.15">
      <c r="A822" s="62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</row>
    <row r="823" spans="1:21" ht="13" x14ac:dyDescent="0.15">
      <c r="A823" s="62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</row>
    <row r="824" spans="1:21" ht="13" x14ac:dyDescent="0.15">
      <c r="A824" s="62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</row>
    <row r="825" spans="1:21" ht="13" x14ac:dyDescent="0.15">
      <c r="A825" s="62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</row>
    <row r="826" spans="1:21" ht="13" x14ac:dyDescent="0.15">
      <c r="A826" s="62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</row>
    <row r="827" spans="1:21" ht="13" x14ac:dyDescent="0.15">
      <c r="A827" s="62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</row>
    <row r="828" spans="1:21" ht="13" x14ac:dyDescent="0.15">
      <c r="A828" s="62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</row>
    <row r="829" spans="1:21" ht="13" x14ac:dyDescent="0.15">
      <c r="A829" s="62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</row>
    <row r="830" spans="1:21" ht="13" x14ac:dyDescent="0.15">
      <c r="A830" s="62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</row>
    <row r="831" spans="1:21" ht="13" x14ac:dyDescent="0.15">
      <c r="A831" s="62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</row>
    <row r="832" spans="1:21" ht="13" x14ac:dyDescent="0.15">
      <c r="A832" s="62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</row>
    <row r="833" spans="1:21" ht="13" x14ac:dyDescent="0.15">
      <c r="A833" s="62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</row>
    <row r="834" spans="1:21" ht="13" x14ac:dyDescent="0.15">
      <c r="A834" s="62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</row>
    <row r="835" spans="1:21" ht="13" x14ac:dyDescent="0.15">
      <c r="A835" s="62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</row>
    <row r="836" spans="1:21" ht="13" x14ac:dyDescent="0.15">
      <c r="A836" s="62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</row>
    <row r="837" spans="1:21" ht="13" x14ac:dyDescent="0.15">
      <c r="A837" s="62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</row>
    <row r="838" spans="1:21" ht="13" x14ac:dyDescent="0.15">
      <c r="A838" s="62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</row>
    <row r="839" spans="1:21" ht="13" x14ac:dyDescent="0.15">
      <c r="A839" s="62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</row>
    <row r="840" spans="1:21" ht="13" x14ac:dyDescent="0.15">
      <c r="A840" s="62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</row>
    <row r="841" spans="1:21" ht="13" x14ac:dyDescent="0.15">
      <c r="A841" s="62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</row>
    <row r="842" spans="1:21" ht="13" x14ac:dyDescent="0.15">
      <c r="A842" s="62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</row>
    <row r="843" spans="1:21" ht="13" x14ac:dyDescent="0.15">
      <c r="A843" s="62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</row>
    <row r="844" spans="1:21" ht="13" x14ac:dyDescent="0.15">
      <c r="A844" s="62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</row>
    <row r="845" spans="1:21" ht="13" x14ac:dyDescent="0.15">
      <c r="A845" s="62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</row>
    <row r="846" spans="1:21" ht="13" x14ac:dyDescent="0.15">
      <c r="A846" s="62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</row>
    <row r="847" spans="1:21" ht="13" x14ac:dyDescent="0.15">
      <c r="A847" s="62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</row>
    <row r="848" spans="1:21" ht="13" x14ac:dyDescent="0.15">
      <c r="A848" s="62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</row>
    <row r="849" spans="1:21" ht="13" x14ac:dyDescent="0.15">
      <c r="A849" s="62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</row>
    <row r="850" spans="1:21" ht="13" x14ac:dyDescent="0.15">
      <c r="A850" s="62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</row>
    <row r="851" spans="1:21" ht="13" x14ac:dyDescent="0.15">
      <c r="A851" s="62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</row>
    <row r="852" spans="1:21" ht="13" x14ac:dyDescent="0.15">
      <c r="A852" s="62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</row>
    <row r="853" spans="1:21" ht="13" x14ac:dyDescent="0.15">
      <c r="A853" s="62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</row>
    <row r="854" spans="1:21" ht="13" x14ac:dyDescent="0.15">
      <c r="A854" s="62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</row>
    <row r="855" spans="1:21" ht="13" x14ac:dyDescent="0.15">
      <c r="A855" s="62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</row>
    <row r="856" spans="1:21" ht="13" x14ac:dyDescent="0.15">
      <c r="A856" s="62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</row>
    <row r="857" spans="1:21" ht="13" x14ac:dyDescent="0.15">
      <c r="A857" s="62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</row>
    <row r="858" spans="1:21" ht="13" x14ac:dyDescent="0.15">
      <c r="A858" s="62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</row>
    <row r="859" spans="1:21" ht="13" x14ac:dyDescent="0.15">
      <c r="A859" s="62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</row>
    <row r="860" spans="1:21" ht="13" x14ac:dyDescent="0.15">
      <c r="A860" s="62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</row>
    <row r="861" spans="1:21" ht="13" x14ac:dyDescent="0.15">
      <c r="A861" s="62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</row>
    <row r="862" spans="1:21" ht="13" x14ac:dyDescent="0.15">
      <c r="A862" s="62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</row>
    <row r="863" spans="1:21" ht="13" x14ac:dyDescent="0.15">
      <c r="A863" s="62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</row>
    <row r="864" spans="1:21" ht="13" x14ac:dyDescent="0.15">
      <c r="A864" s="62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</row>
    <row r="865" spans="1:21" ht="13" x14ac:dyDescent="0.15">
      <c r="A865" s="62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</row>
    <row r="866" spans="1:21" ht="13" x14ac:dyDescent="0.15">
      <c r="A866" s="62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</row>
    <row r="867" spans="1:21" ht="13" x14ac:dyDescent="0.15">
      <c r="A867" s="62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</row>
    <row r="868" spans="1:21" ht="13" x14ac:dyDescent="0.15">
      <c r="A868" s="62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</row>
    <row r="869" spans="1:21" ht="13" x14ac:dyDescent="0.15">
      <c r="A869" s="62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</row>
    <row r="870" spans="1:21" ht="13" x14ac:dyDescent="0.15">
      <c r="A870" s="62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</row>
    <row r="871" spans="1:21" ht="13" x14ac:dyDescent="0.15">
      <c r="A871" s="62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</row>
    <row r="872" spans="1:21" ht="13" x14ac:dyDescent="0.15">
      <c r="A872" s="62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</row>
    <row r="873" spans="1:21" ht="13" x14ac:dyDescent="0.15">
      <c r="A873" s="62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</row>
    <row r="874" spans="1:21" ht="13" x14ac:dyDescent="0.15">
      <c r="A874" s="62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</row>
    <row r="875" spans="1:21" ht="13" x14ac:dyDescent="0.15">
      <c r="A875" s="62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</row>
    <row r="876" spans="1:21" ht="13" x14ac:dyDescent="0.15">
      <c r="A876" s="62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</row>
    <row r="877" spans="1:21" ht="13" x14ac:dyDescent="0.15">
      <c r="A877" s="62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</row>
    <row r="878" spans="1:21" ht="13" x14ac:dyDescent="0.15">
      <c r="A878" s="62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</row>
    <row r="879" spans="1:21" ht="13" x14ac:dyDescent="0.15">
      <c r="A879" s="62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</row>
    <row r="880" spans="1:21" ht="13" x14ac:dyDescent="0.15">
      <c r="A880" s="62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</row>
    <row r="881" spans="1:21" ht="13" x14ac:dyDescent="0.15">
      <c r="A881" s="62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</row>
    <row r="882" spans="1:21" ht="13" x14ac:dyDescent="0.15">
      <c r="A882" s="62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</row>
    <row r="883" spans="1:21" ht="13" x14ac:dyDescent="0.15">
      <c r="A883" s="62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</row>
    <row r="884" spans="1:21" ht="13" x14ac:dyDescent="0.15">
      <c r="A884" s="62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</row>
    <row r="885" spans="1:21" ht="13" x14ac:dyDescent="0.15">
      <c r="A885" s="62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</row>
    <row r="886" spans="1:21" ht="13" x14ac:dyDescent="0.15">
      <c r="A886" s="62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</row>
    <row r="887" spans="1:21" ht="13" x14ac:dyDescent="0.15">
      <c r="A887" s="62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</row>
    <row r="888" spans="1:21" ht="13" x14ac:dyDescent="0.15">
      <c r="A888" s="62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</row>
    <row r="889" spans="1:21" ht="13" x14ac:dyDescent="0.15">
      <c r="A889" s="62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</row>
    <row r="890" spans="1:21" ht="13" x14ac:dyDescent="0.15">
      <c r="A890" s="62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</row>
    <row r="891" spans="1:21" ht="13" x14ac:dyDescent="0.15">
      <c r="A891" s="62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</row>
    <row r="892" spans="1:21" ht="13" x14ac:dyDescent="0.15">
      <c r="A892" s="62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</row>
    <row r="893" spans="1:21" ht="13" x14ac:dyDescent="0.15">
      <c r="A893" s="62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</row>
    <row r="894" spans="1:21" ht="13" x14ac:dyDescent="0.15">
      <c r="A894" s="62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</row>
    <row r="895" spans="1:21" ht="13" x14ac:dyDescent="0.15">
      <c r="A895" s="62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</row>
    <row r="896" spans="1:21" ht="13" x14ac:dyDescent="0.15">
      <c r="A896" s="62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</row>
    <row r="897" spans="1:21" ht="13" x14ac:dyDescent="0.15">
      <c r="A897" s="62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</row>
    <row r="898" spans="1:21" ht="13" x14ac:dyDescent="0.15">
      <c r="A898" s="62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</row>
    <row r="899" spans="1:21" ht="13" x14ac:dyDescent="0.15">
      <c r="A899" s="62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</row>
    <row r="900" spans="1:21" ht="13" x14ac:dyDescent="0.15">
      <c r="A900" s="62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</row>
    <row r="901" spans="1:21" ht="13" x14ac:dyDescent="0.15">
      <c r="A901" s="62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</row>
    <row r="902" spans="1:21" ht="13" x14ac:dyDescent="0.15">
      <c r="A902" s="62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</row>
    <row r="903" spans="1:21" ht="13" x14ac:dyDescent="0.15">
      <c r="A903" s="62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</row>
    <row r="904" spans="1:21" ht="13" x14ac:dyDescent="0.15">
      <c r="A904" s="62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</row>
    <row r="905" spans="1:21" ht="13" x14ac:dyDescent="0.15">
      <c r="A905" s="62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</row>
    <row r="906" spans="1:21" ht="13" x14ac:dyDescent="0.15">
      <c r="A906" s="62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</row>
    <row r="907" spans="1:21" ht="13" x14ac:dyDescent="0.15">
      <c r="A907" s="62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</row>
    <row r="908" spans="1:21" ht="13" x14ac:dyDescent="0.15">
      <c r="A908" s="62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</row>
    <row r="909" spans="1:21" ht="13" x14ac:dyDescent="0.15">
      <c r="A909" s="62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</row>
    <row r="910" spans="1:21" ht="13" x14ac:dyDescent="0.15">
      <c r="A910" s="62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</row>
    <row r="911" spans="1:21" ht="13" x14ac:dyDescent="0.15">
      <c r="A911" s="62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</row>
    <row r="912" spans="1:21" ht="13" x14ac:dyDescent="0.15">
      <c r="A912" s="62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</row>
    <row r="913" spans="1:21" ht="13" x14ac:dyDescent="0.15">
      <c r="A913" s="62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</row>
    <row r="914" spans="1:21" ht="13" x14ac:dyDescent="0.15">
      <c r="A914" s="62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</row>
    <row r="915" spans="1:21" ht="13" x14ac:dyDescent="0.15">
      <c r="A915" s="62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</row>
    <row r="916" spans="1:21" ht="13" x14ac:dyDescent="0.15">
      <c r="A916" s="62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</row>
    <row r="917" spans="1:21" ht="13" x14ac:dyDescent="0.15">
      <c r="A917" s="62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</row>
    <row r="918" spans="1:21" ht="13" x14ac:dyDescent="0.15">
      <c r="A918" s="62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</row>
    <row r="919" spans="1:21" ht="13" x14ac:dyDescent="0.15">
      <c r="A919" s="62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</row>
    <row r="920" spans="1:21" ht="13" x14ac:dyDescent="0.15">
      <c r="A920" s="62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</row>
    <row r="921" spans="1:21" ht="13" x14ac:dyDescent="0.15">
      <c r="A921" s="62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</row>
    <row r="922" spans="1:21" ht="13" x14ac:dyDescent="0.15">
      <c r="A922" s="62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</row>
    <row r="923" spans="1:21" ht="13" x14ac:dyDescent="0.15">
      <c r="A923" s="62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</row>
    <row r="924" spans="1:21" ht="13" x14ac:dyDescent="0.15">
      <c r="A924" s="62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</row>
    <row r="925" spans="1:21" ht="13" x14ac:dyDescent="0.15">
      <c r="A925" s="62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</row>
    <row r="926" spans="1:21" ht="13" x14ac:dyDescent="0.15">
      <c r="A926" s="62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</row>
    <row r="927" spans="1:21" ht="13" x14ac:dyDescent="0.15">
      <c r="A927" s="62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</row>
    <row r="928" spans="1:21" ht="13" x14ac:dyDescent="0.15">
      <c r="A928" s="62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</row>
    <row r="929" spans="1:21" ht="13" x14ac:dyDescent="0.15">
      <c r="A929" s="62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</row>
    <row r="930" spans="1:21" ht="13" x14ac:dyDescent="0.15">
      <c r="A930" s="62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</row>
    <row r="931" spans="1:21" ht="13" x14ac:dyDescent="0.15">
      <c r="A931" s="62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</row>
    <row r="932" spans="1:21" ht="13" x14ac:dyDescent="0.15">
      <c r="A932" s="62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</row>
    <row r="933" spans="1:21" ht="13" x14ac:dyDescent="0.15">
      <c r="A933" s="62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</row>
    <row r="934" spans="1:21" ht="13" x14ac:dyDescent="0.15">
      <c r="A934" s="62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</row>
    <row r="935" spans="1:21" ht="13" x14ac:dyDescent="0.15">
      <c r="A935" s="62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</row>
    <row r="936" spans="1:21" ht="13" x14ac:dyDescent="0.15">
      <c r="A936" s="62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</row>
    <row r="937" spans="1:21" ht="13" x14ac:dyDescent="0.15">
      <c r="A937" s="62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</row>
    <row r="938" spans="1:21" ht="13" x14ac:dyDescent="0.15">
      <c r="A938" s="62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</row>
    <row r="939" spans="1:21" ht="13" x14ac:dyDescent="0.15">
      <c r="A939" s="62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</row>
    <row r="940" spans="1:21" ht="13" x14ac:dyDescent="0.15">
      <c r="A940" s="62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</row>
    <row r="941" spans="1:21" ht="13" x14ac:dyDescent="0.15">
      <c r="A941" s="62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</row>
    <row r="942" spans="1:21" ht="13" x14ac:dyDescent="0.15">
      <c r="A942" s="62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</row>
    <row r="943" spans="1:21" ht="13" x14ac:dyDescent="0.15">
      <c r="A943" s="62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</row>
    <row r="944" spans="1:21" ht="13" x14ac:dyDescent="0.15">
      <c r="A944" s="62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</row>
    <row r="945" spans="1:21" ht="13" x14ac:dyDescent="0.15">
      <c r="A945" s="62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</row>
    <row r="946" spans="1:21" ht="13" x14ac:dyDescent="0.15">
      <c r="A946" s="62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</row>
    <row r="947" spans="1:21" ht="13" x14ac:dyDescent="0.15">
      <c r="A947" s="62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</row>
    <row r="948" spans="1:21" ht="13" x14ac:dyDescent="0.15">
      <c r="A948" s="62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</row>
    <row r="949" spans="1:21" ht="13" x14ac:dyDescent="0.15">
      <c r="A949" s="62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</row>
    <row r="950" spans="1:21" ht="13" x14ac:dyDescent="0.15">
      <c r="A950" s="62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</row>
    <row r="951" spans="1:21" ht="13" x14ac:dyDescent="0.15">
      <c r="A951" s="62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</row>
    <row r="952" spans="1:21" ht="13" x14ac:dyDescent="0.15">
      <c r="A952" s="62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</row>
    <row r="953" spans="1:21" ht="13" x14ac:dyDescent="0.15">
      <c r="A953" s="62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</row>
    <row r="954" spans="1:21" ht="13" x14ac:dyDescent="0.15">
      <c r="A954" s="62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</row>
    <row r="955" spans="1:21" ht="13" x14ac:dyDescent="0.15">
      <c r="A955" s="62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</row>
    <row r="956" spans="1:21" ht="13" x14ac:dyDescent="0.15">
      <c r="A956" s="62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</row>
    <row r="957" spans="1:21" ht="13" x14ac:dyDescent="0.15">
      <c r="A957" s="62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</row>
    <row r="958" spans="1:21" ht="13" x14ac:dyDescent="0.15">
      <c r="A958" s="62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</row>
    <row r="959" spans="1:21" ht="13" x14ac:dyDescent="0.15">
      <c r="A959" s="62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</row>
    <row r="960" spans="1:21" ht="13" x14ac:dyDescent="0.15">
      <c r="A960" s="62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</row>
    <row r="961" spans="1:21" ht="13" x14ac:dyDescent="0.15">
      <c r="A961" s="62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</row>
    <row r="962" spans="1:21" ht="13" x14ac:dyDescent="0.15">
      <c r="A962" s="62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</row>
    <row r="963" spans="1:21" ht="13" x14ac:dyDescent="0.15">
      <c r="A963" s="62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</row>
    <row r="964" spans="1:21" ht="13" x14ac:dyDescent="0.15">
      <c r="A964" s="62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</row>
    <row r="965" spans="1:21" ht="13" x14ac:dyDescent="0.15">
      <c r="A965" s="62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</row>
    <row r="966" spans="1:21" ht="13" x14ac:dyDescent="0.15">
      <c r="A966" s="62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</row>
    <row r="967" spans="1:21" ht="13" x14ac:dyDescent="0.15">
      <c r="A967" s="62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</row>
    <row r="968" spans="1:21" ht="13" x14ac:dyDescent="0.15">
      <c r="A968" s="62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</row>
    <row r="969" spans="1:21" ht="13" x14ac:dyDescent="0.15">
      <c r="A969" s="62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</row>
    <row r="970" spans="1:21" ht="13" x14ac:dyDescent="0.15">
      <c r="A970" s="62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</row>
    <row r="971" spans="1:21" ht="13" x14ac:dyDescent="0.15">
      <c r="A971" s="62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</row>
    <row r="972" spans="1:21" ht="13" x14ac:dyDescent="0.15">
      <c r="A972" s="62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</row>
    <row r="973" spans="1:21" ht="13" x14ac:dyDescent="0.15">
      <c r="A973" s="62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</row>
    <row r="974" spans="1:21" ht="13" x14ac:dyDescent="0.15">
      <c r="A974" s="62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</row>
    <row r="975" spans="1:21" ht="13" x14ac:dyDescent="0.15">
      <c r="A975" s="62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</row>
    <row r="976" spans="1:21" ht="13" x14ac:dyDescent="0.15">
      <c r="A976" s="62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</row>
    <row r="977" spans="1:21" ht="13" x14ac:dyDescent="0.15">
      <c r="A977" s="62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</row>
    <row r="978" spans="1:21" ht="13" x14ac:dyDescent="0.15">
      <c r="A978" s="62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</row>
    <row r="979" spans="1:21" ht="13" x14ac:dyDescent="0.15">
      <c r="A979" s="62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</row>
    <row r="980" spans="1:21" ht="13" x14ac:dyDescent="0.15">
      <c r="A980" s="62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</row>
    <row r="981" spans="1:21" ht="13" x14ac:dyDescent="0.15">
      <c r="A981" s="62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</row>
    <row r="982" spans="1:21" ht="13" x14ac:dyDescent="0.15">
      <c r="A982" s="62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</row>
    <row r="983" spans="1:21" ht="13" x14ac:dyDescent="0.15">
      <c r="A983" s="62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</row>
    <row r="984" spans="1:21" ht="13" x14ac:dyDescent="0.15">
      <c r="A984" s="62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</row>
    <row r="985" spans="1:21" ht="13" x14ac:dyDescent="0.15">
      <c r="A985" s="62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</row>
    <row r="986" spans="1:21" ht="13" x14ac:dyDescent="0.15">
      <c r="A986" s="62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</row>
    <row r="987" spans="1:21" ht="13" x14ac:dyDescent="0.15">
      <c r="A987" s="62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</row>
    <row r="988" spans="1:21" ht="13" x14ac:dyDescent="0.15">
      <c r="A988" s="62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</row>
    <row r="989" spans="1:21" ht="13" x14ac:dyDescent="0.15">
      <c r="A989" s="62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</row>
    <row r="990" spans="1:21" ht="13" x14ac:dyDescent="0.15">
      <c r="A990" s="62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</row>
    <row r="991" spans="1:21" ht="13" x14ac:dyDescent="0.15">
      <c r="A991" s="62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</row>
    <row r="992" spans="1:21" ht="13" x14ac:dyDescent="0.15">
      <c r="A992" s="62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</row>
    <row r="993" spans="1:21" ht="13" x14ac:dyDescent="0.15">
      <c r="A993" s="62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</row>
    <row r="994" spans="1:21" ht="13" x14ac:dyDescent="0.15">
      <c r="A994" s="62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</row>
    <row r="995" spans="1:21" ht="13" x14ac:dyDescent="0.15">
      <c r="A995" s="62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</row>
    <row r="996" spans="1:21" ht="13" x14ac:dyDescent="0.15">
      <c r="A996" s="62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</row>
    <row r="997" spans="1:21" ht="13" x14ac:dyDescent="0.15">
      <c r="A997" s="62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</row>
    <row r="998" spans="1:21" ht="13" x14ac:dyDescent="0.15">
      <c r="A998" s="62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</row>
    <row r="999" spans="1:21" ht="13" x14ac:dyDescent="0.15">
      <c r="A999" s="62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</row>
  </sheetData>
  <mergeCells count="1">
    <mergeCell ref="F1:U1"/>
  </mergeCells>
  <conditionalFormatting sqref="D3:E3">
    <cfRule type="containsText" dxfId="3" priority="1" operator="containsText" text="hosteller">
      <formula>NOT(ISERROR(SEARCH(("hosteller"),(D3))))</formula>
    </cfRule>
  </conditionalFormatting>
  <printOptions horizontalCentered="1" gridLines="1"/>
  <pageMargins left="0.7" right="0.7" top="0.75" bottom="0.75" header="0" footer="0"/>
  <pageSetup paperSize="9" scale="12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F1002"/>
  <sheetViews>
    <sheetView workbookViewId="0"/>
  </sheetViews>
  <sheetFormatPr baseColWidth="10" defaultColWidth="12.6640625" defaultRowHeight="15.75" customHeight="1" x14ac:dyDescent="0.15"/>
  <cols>
    <col min="1" max="1" width="14.33203125" customWidth="1"/>
    <col min="2" max="2" width="19.5" customWidth="1"/>
    <col min="3" max="3" width="18.1640625" customWidth="1"/>
    <col min="4" max="4" width="10.1640625" customWidth="1"/>
    <col min="5" max="5" width="16.6640625" customWidth="1"/>
    <col min="6" max="6" width="5.83203125" customWidth="1"/>
    <col min="7" max="7" width="6.6640625" customWidth="1"/>
    <col min="8" max="8" width="5.6640625" customWidth="1"/>
    <col min="9" max="9" width="5.1640625" customWidth="1"/>
    <col min="10" max="11" width="5.6640625" customWidth="1"/>
    <col min="12" max="12" width="5.1640625" customWidth="1"/>
    <col min="13" max="13" width="3.1640625" customWidth="1"/>
    <col min="14" max="14" width="4.83203125" customWidth="1"/>
    <col min="15" max="15" width="5.1640625" customWidth="1"/>
    <col min="16" max="16" width="4" customWidth="1"/>
    <col min="17" max="17" width="4.6640625" customWidth="1"/>
    <col min="18" max="18" width="5.1640625" customWidth="1"/>
    <col min="19" max="19" width="3.83203125" customWidth="1"/>
    <col min="20" max="20" width="5.6640625" customWidth="1"/>
  </cols>
  <sheetData>
    <row r="1" spans="1:32" ht="13" x14ac:dyDescent="0.15">
      <c r="A1" s="52" t="s">
        <v>548</v>
      </c>
      <c r="B1" s="52" t="s">
        <v>15</v>
      </c>
      <c r="C1" s="52" t="s">
        <v>22</v>
      </c>
      <c r="D1" s="63"/>
      <c r="E1" s="63" t="s">
        <v>567</v>
      </c>
      <c r="F1" s="100" t="s">
        <v>550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32" ht="13" x14ac:dyDescent="0.15">
      <c r="A2" s="54">
        <f>COUNT(A4:A366)</f>
        <v>11</v>
      </c>
      <c r="B2" s="2">
        <f t="shared" ref="B2:C2" si="0">COUNTIF($E$4:$E$192,B1)</f>
        <v>5</v>
      </c>
      <c r="C2" s="2">
        <f t="shared" si="0"/>
        <v>6</v>
      </c>
      <c r="D2" s="64"/>
      <c r="E2" s="64">
        <f>SUM(F2:U2)</f>
        <v>273350</v>
      </c>
      <c r="F2" s="55">
        <f t="shared" ref="F2:U2" si="1">SUM(F$4:F$1002)</f>
        <v>24000</v>
      </c>
      <c r="G2" s="55">
        <f t="shared" si="1"/>
        <v>24000</v>
      </c>
      <c r="H2" s="55">
        <f t="shared" si="1"/>
        <v>24000</v>
      </c>
      <c r="I2" s="55">
        <f t="shared" si="1"/>
        <v>2700</v>
      </c>
      <c r="J2" s="55">
        <f t="shared" si="1"/>
        <v>24000</v>
      </c>
      <c r="K2" s="55">
        <f t="shared" si="1"/>
        <v>24000</v>
      </c>
      <c r="L2" s="55">
        <f t="shared" si="1"/>
        <v>27500</v>
      </c>
      <c r="M2" s="55">
        <f t="shared" si="1"/>
        <v>1800</v>
      </c>
      <c r="N2" s="55">
        <f t="shared" si="1"/>
        <v>27500</v>
      </c>
      <c r="O2" s="55">
        <f t="shared" si="1"/>
        <v>27500</v>
      </c>
      <c r="P2" s="55">
        <f t="shared" si="1"/>
        <v>18950</v>
      </c>
      <c r="Q2" s="55">
        <f t="shared" si="1"/>
        <v>1500</v>
      </c>
      <c r="R2" s="55">
        <f t="shared" si="1"/>
        <v>17500</v>
      </c>
      <c r="S2" s="55">
        <f t="shared" si="1"/>
        <v>16500</v>
      </c>
      <c r="T2" s="55">
        <f t="shared" si="1"/>
        <v>900</v>
      </c>
      <c r="U2" s="55">
        <f t="shared" si="1"/>
        <v>11000</v>
      </c>
    </row>
    <row r="3" spans="1:32" ht="13" x14ac:dyDescent="0.15">
      <c r="A3" s="56" t="s">
        <v>551</v>
      </c>
      <c r="B3" s="56" t="s">
        <v>3</v>
      </c>
      <c r="C3" s="56" t="s">
        <v>552</v>
      </c>
      <c r="D3" s="57" t="s">
        <v>582</v>
      </c>
      <c r="E3" s="56" t="s">
        <v>2</v>
      </c>
      <c r="F3" s="56" t="s">
        <v>557</v>
      </c>
      <c r="G3" s="56" t="s">
        <v>558</v>
      </c>
      <c r="H3" s="56" t="s">
        <v>559</v>
      </c>
      <c r="I3" s="57" t="s">
        <v>569</v>
      </c>
      <c r="J3" s="56" t="s">
        <v>560</v>
      </c>
      <c r="K3" s="56" t="s">
        <v>561</v>
      </c>
      <c r="L3" s="56" t="s">
        <v>562</v>
      </c>
      <c r="M3" s="57" t="s">
        <v>570</v>
      </c>
      <c r="N3" s="56" t="s">
        <v>563</v>
      </c>
      <c r="O3" s="56" t="s">
        <v>564</v>
      </c>
      <c r="P3" s="56" t="s">
        <v>565</v>
      </c>
      <c r="Q3" s="57" t="s">
        <v>570</v>
      </c>
      <c r="R3" s="56" t="s">
        <v>554</v>
      </c>
      <c r="S3" s="56" t="s">
        <v>555</v>
      </c>
      <c r="T3" s="57" t="s">
        <v>570</v>
      </c>
      <c r="U3" s="56" t="s">
        <v>556</v>
      </c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spans="1:32" ht="13" x14ac:dyDescent="0.15">
      <c r="A4" s="58">
        <v>9</v>
      </c>
      <c r="B4" s="59" t="str">
        <f>IFERROR(VLOOKUP($A4,Admission!$1:$998,4,0),"")</f>
        <v>NAGMA  TABASSUM</v>
      </c>
      <c r="C4" s="59" t="str">
        <f>IFERROR(VLOOKUP($A4,Admission!$1:$998,5,0),"")</f>
        <v>MOJIBUR RAHMAN</v>
      </c>
      <c r="D4" s="59">
        <f>IFERROR(VLOOKUP($A4,Admission!$1:$998,10,0),"")</f>
        <v>9523145415</v>
      </c>
      <c r="E4" s="59" t="str">
        <f>IFERROR(VLOOKUP($A4,Admission!$1:$998,3,0),"")</f>
        <v>Hosteller</v>
      </c>
      <c r="F4" s="25">
        <v>1000</v>
      </c>
      <c r="G4" s="25">
        <v>1000</v>
      </c>
      <c r="H4" s="25">
        <v>1000</v>
      </c>
      <c r="I4" s="25">
        <v>300</v>
      </c>
      <c r="J4" s="25">
        <v>1000</v>
      </c>
      <c r="K4" s="25">
        <v>1000</v>
      </c>
      <c r="L4" s="25">
        <v>4500</v>
      </c>
      <c r="M4" s="25"/>
      <c r="N4" s="25">
        <v>4500</v>
      </c>
      <c r="O4" s="25">
        <v>4500</v>
      </c>
      <c r="P4" s="25">
        <v>4500</v>
      </c>
      <c r="Q4" s="25" t="s">
        <v>313</v>
      </c>
      <c r="R4" s="25" t="s">
        <v>313</v>
      </c>
      <c r="S4" s="25" t="s">
        <v>313</v>
      </c>
      <c r="T4" s="25" t="s">
        <v>313</v>
      </c>
      <c r="U4" s="25" t="s">
        <v>313</v>
      </c>
    </row>
    <row r="5" spans="1:32" ht="16.5" customHeight="1" x14ac:dyDescent="0.15">
      <c r="A5" s="58">
        <v>17</v>
      </c>
      <c r="B5" s="59" t="str">
        <f>IFERROR(VLOOKUP($A5,Admission!$1:$998,4,0),"")</f>
        <v>MERAJ RABBANI</v>
      </c>
      <c r="C5" s="59" t="str">
        <f>IFERROR(VLOOKUP($A5,Admission!$1:$998,5,0),"")</f>
        <v>EKRAMUL HOQUE</v>
      </c>
      <c r="D5" s="59">
        <f>IFERROR(VLOOKUP($A5,Admission!$1:$998,10,0),"")</f>
        <v>8521460385</v>
      </c>
      <c r="E5" s="59" t="str">
        <f>IFERROR(VLOOKUP($A5,Admission!$1:$998,3,0),"")</f>
        <v>Hosteller</v>
      </c>
      <c r="F5" s="25">
        <v>4500</v>
      </c>
      <c r="G5" s="25">
        <v>4500</v>
      </c>
      <c r="H5" s="25">
        <v>4500</v>
      </c>
      <c r="I5" s="25">
        <v>300</v>
      </c>
      <c r="J5" s="25">
        <v>4500</v>
      </c>
      <c r="K5" s="25">
        <v>4500</v>
      </c>
      <c r="L5" s="25">
        <v>4500</v>
      </c>
      <c r="M5" s="25">
        <v>300</v>
      </c>
      <c r="N5" s="25">
        <v>4500</v>
      </c>
      <c r="O5" s="25">
        <v>4500</v>
      </c>
      <c r="P5" s="25">
        <v>4500</v>
      </c>
      <c r="Q5" s="25">
        <v>300</v>
      </c>
      <c r="R5" s="25">
        <v>4500</v>
      </c>
      <c r="S5" s="25">
        <v>4500</v>
      </c>
      <c r="T5" s="25" t="s">
        <v>313</v>
      </c>
      <c r="U5" s="25" t="s">
        <v>313</v>
      </c>
    </row>
    <row r="6" spans="1:32" ht="13" x14ac:dyDescent="0.15">
      <c r="A6" s="5">
        <v>33</v>
      </c>
      <c r="B6" s="59" t="s">
        <v>122</v>
      </c>
      <c r="C6" s="59" t="str">
        <f>IFERROR(VLOOKUP($A6,Admission!$1:$998,5,0),"")</f>
        <v>ANWAR ALAM</v>
      </c>
      <c r="D6" s="59">
        <f>IFERROR(VLOOKUP($A6,Admission!$1:$998,10,0),"")</f>
        <v>6201472350</v>
      </c>
      <c r="E6" s="59" t="str">
        <f>IFERROR(VLOOKUP($A6,Admission!$1:$998,3,0),"")</f>
        <v>Day Scholar</v>
      </c>
      <c r="F6" s="25">
        <v>1000</v>
      </c>
      <c r="G6" s="25">
        <v>1000</v>
      </c>
      <c r="H6" s="25">
        <v>1000</v>
      </c>
      <c r="I6" s="25">
        <v>300</v>
      </c>
      <c r="J6" s="25">
        <v>1000</v>
      </c>
      <c r="K6" s="25">
        <v>1000</v>
      </c>
      <c r="L6" s="25">
        <v>1000</v>
      </c>
      <c r="M6" s="25">
        <v>300</v>
      </c>
      <c r="N6" s="25">
        <v>1000</v>
      </c>
      <c r="O6" s="25">
        <v>1000</v>
      </c>
      <c r="P6" s="25">
        <v>1000</v>
      </c>
      <c r="Q6" s="25">
        <v>300</v>
      </c>
      <c r="R6" s="25">
        <v>1000</v>
      </c>
      <c r="S6" s="25" t="s">
        <v>313</v>
      </c>
      <c r="T6" s="25" t="s">
        <v>313</v>
      </c>
      <c r="U6" s="25" t="s">
        <v>313</v>
      </c>
    </row>
    <row r="7" spans="1:32" ht="13" x14ac:dyDescent="0.15">
      <c r="A7" s="58">
        <v>39</v>
      </c>
      <c r="B7" s="59" t="str">
        <f>IFERROR(VLOOKUP($A7,Admission!$1:$998,4,0),"")</f>
        <v>NAJIJA PARWEEN</v>
      </c>
      <c r="C7" s="59" t="str">
        <f>IFERROR(VLOOKUP($A7,Admission!$1:$998,5,0),"")</f>
        <v>HAJIKUL ALAM</v>
      </c>
      <c r="D7" s="59">
        <f>IFERROR(VLOOKUP($A7,Admission!$1:$998,10,0),"")</f>
        <v>8084078810</v>
      </c>
      <c r="E7" s="59" t="str">
        <f>IFERROR(VLOOKUP($A7,Admission!$1:$998,3,0),"")</f>
        <v>Day Scholar</v>
      </c>
      <c r="F7" s="25">
        <v>1000</v>
      </c>
      <c r="G7" s="25">
        <v>1000</v>
      </c>
      <c r="H7" s="25">
        <v>1000</v>
      </c>
      <c r="I7" s="25">
        <v>300</v>
      </c>
      <c r="J7" s="25">
        <v>1000</v>
      </c>
      <c r="K7" s="25">
        <v>1000</v>
      </c>
      <c r="L7" s="25">
        <v>1000</v>
      </c>
      <c r="M7" s="25">
        <v>300</v>
      </c>
      <c r="N7" s="25">
        <v>1000</v>
      </c>
      <c r="O7" s="25">
        <v>1000</v>
      </c>
      <c r="P7" s="25">
        <v>1000</v>
      </c>
      <c r="Q7" s="25">
        <v>300</v>
      </c>
      <c r="R7" s="25">
        <v>1000</v>
      </c>
      <c r="S7" s="25">
        <v>1000</v>
      </c>
      <c r="T7" s="25">
        <v>300</v>
      </c>
      <c r="U7" s="25">
        <v>1000</v>
      </c>
    </row>
    <row r="8" spans="1:32" ht="15" customHeight="1" x14ac:dyDescent="0.15">
      <c r="A8" s="58">
        <v>51</v>
      </c>
      <c r="B8" s="59" t="str">
        <f>IFERROR(VLOOKUP($A8,Admission!$1:$998,4,0),"")</f>
        <v>MD AKRAM</v>
      </c>
      <c r="C8" s="59" t="str">
        <f>IFERROR(VLOOKUP($A8,Admission!$1:$998,5,0),"")</f>
        <v>MD BASHARAT</v>
      </c>
      <c r="D8" s="59">
        <f>IFERROR(VLOOKUP($A8,Admission!$1:$998,10,0),"")</f>
        <v>8521887277</v>
      </c>
      <c r="E8" s="59" t="str">
        <f>IFERROR(VLOOKUP($A8,Admission!$1:$998,3,0),"")</f>
        <v>Hosteller</v>
      </c>
      <c r="F8" s="25">
        <v>4500</v>
      </c>
      <c r="G8" s="25">
        <v>4500</v>
      </c>
      <c r="H8" s="25">
        <v>4500</v>
      </c>
      <c r="I8" s="25"/>
      <c r="J8" s="25">
        <v>4500</v>
      </c>
      <c r="K8" s="25">
        <v>4500</v>
      </c>
      <c r="L8" s="25">
        <v>4500</v>
      </c>
      <c r="M8" s="25"/>
      <c r="N8" s="25">
        <v>4500</v>
      </c>
      <c r="O8" s="25">
        <v>4500</v>
      </c>
      <c r="P8" s="25">
        <v>4500</v>
      </c>
      <c r="Q8" s="25"/>
      <c r="R8" s="25">
        <v>4500</v>
      </c>
      <c r="S8" s="25">
        <v>4500</v>
      </c>
      <c r="T8" s="25"/>
      <c r="U8" s="25">
        <v>4500</v>
      </c>
    </row>
    <row r="9" spans="1:32" ht="13" x14ac:dyDescent="0.15">
      <c r="A9" s="58">
        <v>59</v>
      </c>
      <c r="B9" s="59" t="str">
        <f>IFERROR(VLOOKUP($A9,Admission!$1:$998,4,0),"")</f>
        <v>ABDUR RAHMAN</v>
      </c>
      <c r="C9" s="59" t="str">
        <f>IFERROR(VLOOKUP($A9,Admission!$1:$998,5,0),"")</f>
        <v>MD RAYEES</v>
      </c>
      <c r="D9" s="59">
        <f>IFERROR(VLOOKUP($A9,Admission!$1:$998,10,0),"")</f>
        <v>8084727740</v>
      </c>
      <c r="E9" s="59" t="str">
        <f>IFERROR(VLOOKUP($A9,Admission!$1:$998,3,0),"")</f>
        <v>Hosteller</v>
      </c>
      <c r="F9" s="25">
        <v>4500</v>
      </c>
      <c r="G9" s="25">
        <v>4500</v>
      </c>
      <c r="H9" s="25">
        <v>4500</v>
      </c>
      <c r="I9" s="25">
        <v>300</v>
      </c>
      <c r="J9" s="25">
        <v>4500</v>
      </c>
      <c r="K9" s="25">
        <v>4500</v>
      </c>
      <c r="L9" s="25">
        <v>4500</v>
      </c>
      <c r="M9" s="25">
        <v>300</v>
      </c>
      <c r="N9" s="25">
        <v>4500</v>
      </c>
      <c r="O9" s="25">
        <v>4500</v>
      </c>
      <c r="P9" s="25">
        <v>450</v>
      </c>
      <c r="Q9" s="25">
        <v>300</v>
      </c>
      <c r="R9" s="25">
        <v>4500</v>
      </c>
      <c r="S9" s="25">
        <v>4500</v>
      </c>
      <c r="T9" s="25">
        <v>300</v>
      </c>
      <c r="U9" s="25">
        <v>4500</v>
      </c>
    </row>
    <row r="10" spans="1:32" ht="13" x14ac:dyDescent="0.15">
      <c r="A10" s="58">
        <v>99</v>
      </c>
      <c r="B10" s="59" t="str">
        <f>IFERROR(VLOOKUP($A10,Admission!$1:$998,4,0),"")</f>
        <v>NURSABA KHATUN</v>
      </c>
      <c r="C10" s="59" t="str">
        <f>IFERROR(VLOOKUP($A10,Admission!$1:$998,5,0),"")</f>
        <v>MOTIUR RAHMAN</v>
      </c>
      <c r="D10" s="59">
        <f>IFERROR(VLOOKUP($A10,Admission!$1:$998,10,0),"")</f>
        <v>7481895118</v>
      </c>
      <c r="E10" s="59" t="str">
        <f>IFERROR(VLOOKUP($A10,Admission!$1:$998,3,0),"")</f>
        <v>Day Scholar</v>
      </c>
      <c r="F10" s="25" t="s">
        <v>313</v>
      </c>
      <c r="G10" s="25" t="s">
        <v>313</v>
      </c>
      <c r="H10" s="25" t="s">
        <v>313</v>
      </c>
      <c r="I10" s="25" t="s">
        <v>313</v>
      </c>
      <c r="J10" s="25" t="s">
        <v>313</v>
      </c>
      <c r="K10" s="25" t="s">
        <v>313</v>
      </c>
      <c r="L10" s="25" t="s">
        <v>313</v>
      </c>
      <c r="M10" s="25" t="s">
        <v>313</v>
      </c>
      <c r="N10" s="25" t="s">
        <v>313</v>
      </c>
      <c r="O10" s="25" t="s">
        <v>313</v>
      </c>
      <c r="P10" s="25" t="s">
        <v>313</v>
      </c>
      <c r="Q10" s="25" t="s">
        <v>313</v>
      </c>
      <c r="R10" s="25" t="s">
        <v>313</v>
      </c>
      <c r="S10" s="25" t="s">
        <v>313</v>
      </c>
      <c r="T10" s="25" t="s">
        <v>313</v>
      </c>
      <c r="U10" s="25" t="s">
        <v>313</v>
      </c>
    </row>
    <row r="11" spans="1:32" ht="13" x14ac:dyDescent="0.15">
      <c r="A11" s="58">
        <v>58</v>
      </c>
      <c r="B11" s="59" t="str">
        <f>IFERROR(VLOOKUP($A11,Admission!$1:$998,4,0),"")</f>
        <v>ATIF SAMSH</v>
      </c>
      <c r="C11" s="59" t="str">
        <f>IFERROR(VLOOKUP($A11,Admission!$1:$998,5,0),"")</f>
        <v>MD SAMSUL HAQUE</v>
      </c>
      <c r="D11" s="59">
        <f>IFERROR(VLOOKUP($A11,Admission!$1:$998,10,0),"")</f>
        <v>9771614663</v>
      </c>
      <c r="E11" s="59" t="str">
        <f>IFERROR(VLOOKUP($A11,Admission!$1:$998,3,0),"")</f>
        <v>Day Scholar</v>
      </c>
      <c r="F11" s="25">
        <v>1000</v>
      </c>
      <c r="G11" s="25">
        <v>1000</v>
      </c>
      <c r="H11" s="25">
        <v>1000</v>
      </c>
      <c r="I11" s="25">
        <v>300</v>
      </c>
      <c r="J11" s="25">
        <v>1000</v>
      </c>
      <c r="K11" s="25">
        <v>1000</v>
      </c>
      <c r="L11" s="25">
        <v>1000</v>
      </c>
      <c r="M11" s="25"/>
      <c r="N11" s="25">
        <v>1000</v>
      </c>
      <c r="O11" s="25">
        <v>1000</v>
      </c>
      <c r="P11" s="25">
        <v>1000</v>
      </c>
      <c r="Q11" s="25"/>
      <c r="R11" s="25">
        <v>1000</v>
      </c>
      <c r="S11" s="25">
        <v>1000</v>
      </c>
      <c r="T11" s="25" t="s">
        <v>313</v>
      </c>
      <c r="U11" s="25" t="s">
        <v>313</v>
      </c>
    </row>
    <row r="12" spans="1:32" ht="13" x14ac:dyDescent="0.15">
      <c r="A12" s="58">
        <v>125</v>
      </c>
      <c r="B12" s="59" t="str">
        <f>IFERROR(VLOOKUP($A12,Admission!$1:$998,4,0),"")</f>
        <v>SAHBAJ ANSARI</v>
      </c>
      <c r="C12" s="59" t="str">
        <f>IFERROR(VLOOKUP($A12,Admission!$1:$998,5,0),"")</f>
        <v>MOHIBUL ANSARI</v>
      </c>
      <c r="D12" s="59">
        <f>IFERROR(VLOOKUP($A12,Admission!$1:$998,10,0),"")</f>
        <v>8340537486</v>
      </c>
      <c r="E12" s="59" t="str">
        <f>IFERROR(VLOOKUP($A12,Admission!$1:$998,3,0),"")</f>
        <v>Hosteller</v>
      </c>
      <c r="F12" s="25">
        <v>4500</v>
      </c>
      <c r="G12" s="25">
        <v>4500</v>
      </c>
      <c r="H12" s="25">
        <v>4500</v>
      </c>
      <c r="I12" s="25">
        <v>300</v>
      </c>
      <c r="J12" s="25">
        <v>4500</v>
      </c>
      <c r="K12" s="25">
        <v>4500</v>
      </c>
      <c r="L12" s="25">
        <v>4500</v>
      </c>
      <c r="M12" s="25">
        <v>300</v>
      </c>
      <c r="N12" s="25">
        <v>4500</v>
      </c>
      <c r="O12" s="25">
        <v>4500</v>
      </c>
      <c r="P12" s="25"/>
      <c r="Q12" s="25"/>
      <c r="R12" s="25"/>
      <c r="S12" s="25"/>
      <c r="T12" s="25"/>
      <c r="U12" s="25"/>
    </row>
    <row r="13" spans="1:32" ht="13" x14ac:dyDescent="0.15">
      <c r="A13" s="58">
        <v>145</v>
      </c>
      <c r="B13" s="59" t="str">
        <f>IFERROR(VLOOKUP($A13,Admission!$1:$998,4,0),"")</f>
        <v>SABA KARIM</v>
      </c>
      <c r="C13" s="59" t="str">
        <f>IFERROR(VLOOKUP($A13,Admission!$1:$998,5,0),"")</f>
        <v>FARHAD HUSSAIN</v>
      </c>
      <c r="D13" s="59">
        <f>IFERROR(VLOOKUP($A13,Admission!$1:$998,10,0),"")</f>
        <v>7739445488</v>
      </c>
      <c r="E13" s="59" t="str">
        <f>IFERROR(VLOOKUP($A13,Admission!$1:$998,3,0),"")</f>
        <v>Day Scholar</v>
      </c>
      <c r="F13" s="25">
        <v>1000</v>
      </c>
      <c r="G13" s="25">
        <v>1000</v>
      </c>
      <c r="H13" s="25">
        <v>1000</v>
      </c>
      <c r="I13" s="25">
        <v>300</v>
      </c>
      <c r="J13" s="25">
        <v>1000</v>
      </c>
      <c r="K13" s="25">
        <v>1000</v>
      </c>
      <c r="L13" s="25">
        <v>1000</v>
      </c>
      <c r="M13" s="25">
        <v>300</v>
      </c>
      <c r="N13" s="25">
        <v>1000</v>
      </c>
      <c r="O13" s="25">
        <v>1000</v>
      </c>
      <c r="P13" s="25">
        <v>1000</v>
      </c>
      <c r="Q13" s="25">
        <v>300</v>
      </c>
      <c r="R13" s="25">
        <v>1000</v>
      </c>
      <c r="S13" s="25">
        <v>1000</v>
      </c>
      <c r="T13" s="25">
        <v>300</v>
      </c>
      <c r="U13" s="25">
        <v>1000</v>
      </c>
    </row>
    <row r="14" spans="1:32" ht="13" x14ac:dyDescent="0.15">
      <c r="A14" s="58">
        <v>162</v>
      </c>
      <c r="B14" s="59" t="str">
        <f>IFERROR(VLOOKUP($A14,Admission!$1:$998,4,0),"")</f>
        <v>JUNAID AKHTAR</v>
      </c>
      <c r="C14" s="59" t="str">
        <f>IFERROR(VLOOKUP($A14,Admission!$1:$998,5,0),"")</f>
        <v>SHAMIM AKHTAR</v>
      </c>
      <c r="D14" s="59">
        <f>IFERROR(VLOOKUP($A14,Admission!$1:$998,10,0),"")</f>
        <v>8084828089</v>
      </c>
      <c r="E14" s="59" t="str">
        <f>IFERROR(VLOOKUP($A14,Admission!$1:$998,3,0),"")</f>
        <v>Day Scholar</v>
      </c>
      <c r="F14" s="25">
        <v>1000</v>
      </c>
      <c r="G14" s="25">
        <v>1000</v>
      </c>
      <c r="H14" s="25">
        <v>1000</v>
      </c>
      <c r="I14" s="25">
        <v>300</v>
      </c>
      <c r="J14" s="25">
        <v>1000</v>
      </c>
      <c r="K14" s="25">
        <v>1000</v>
      </c>
      <c r="L14" s="25">
        <v>1000</v>
      </c>
      <c r="M14" s="25"/>
      <c r="N14" s="25">
        <v>1000</v>
      </c>
      <c r="O14" s="25">
        <v>1000</v>
      </c>
      <c r="P14" s="25">
        <v>1000</v>
      </c>
      <c r="Q14" s="25" t="s">
        <v>313</v>
      </c>
      <c r="R14" s="25" t="s">
        <v>313</v>
      </c>
      <c r="S14" s="25" t="s">
        <v>313</v>
      </c>
      <c r="T14" s="25" t="s">
        <v>313</v>
      </c>
      <c r="U14" s="25" t="s">
        <v>313</v>
      </c>
    </row>
    <row r="15" spans="1:32" ht="13" x14ac:dyDescent="0.15">
      <c r="A15" s="58"/>
      <c r="B15" s="59" t="str">
        <f>IFERROR(VLOOKUP($A15,Admission!$1:$998,4,0),"")</f>
        <v/>
      </c>
      <c r="C15" s="59" t="str">
        <f>IFERROR(VLOOKUP($A15,Admission!$1:$998,5,0),"")</f>
        <v/>
      </c>
      <c r="D15" s="59" t="str">
        <f>IFERROR(VLOOKUP($A15,Admission!$1:$998,10,0),"")</f>
        <v/>
      </c>
      <c r="E15" s="59" t="str">
        <f>IFERROR(VLOOKUP($A15,Admission!$1:$998,3,0),"")</f>
        <v/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</row>
    <row r="16" spans="1:32" ht="13" x14ac:dyDescent="0.15">
      <c r="A16" s="58"/>
      <c r="B16" s="59" t="str">
        <f>IFERROR(VLOOKUP($A16,Admission!$1:$998,4,0),"")</f>
        <v/>
      </c>
      <c r="C16" s="59" t="str">
        <f>IFERROR(VLOOKUP($A16,Admission!$1:$998,5,0),"")</f>
        <v/>
      </c>
      <c r="D16" s="59" t="str">
        <f>IFERROR(VLOOKUP($A16,Admission!$1:$998,10,0),"")</f>
        <v/>
      </c>
      <c r="E16" s="59" t="str">
        <f>IFERROR(VLOOKUP($A16,Admission!$1:$998,3,0),"")</f>
        <v/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</row>
    <row r="17" spans="1:21" ht="13" x14ac:dyDescent="0.15">
      <c r="A17" s="58"/>
      <c r="B17" s="59" t="str">
        <f>IFERROR(VLOOKUP($A17,Admission!$1:$998,4,0),"")</f>
        <v/>
      </c>
      <c r="C17" s="59" t="str">
        <f>IFERROR(VLOOKUP($A17,Admission!$1:$998,5,0),"")</f>
        <v/>
      </c>
      <c r="D17" s="59" t="str">
        <f>IFERROR(VLOOKUP($A17,Admission!$1:$998,10,0),"")</f>
        <v/>
      </c>
      <c r="E17" s="59" t="str">
        <f>IFERROR(VLOOKUP($A17,Admission!$1:$998,3,0),"")</f>
        <v/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spans="1:21" ht="13" x14ac:dyDescent="0.15">
      <c r="A18" s="58"/>
      <c r="B18" s="59" t="str">
        <f>IFERROR(VLOOKUP($A18,Admission!$1:$998,4,0),"")</f>
        <v/>
      </c>
      <c r="C18" s="59" t="str">
        <f>IFERROR(VLOOKUP($A18,Admission!$1:$998,5,0),"")</f>
        <v/>
      </c>
      <c r="D18" s="59" t="str">
        <f>IFERROR(VLOOKUP($A18,Admission!$1:$998,10,0),"")</f>
        <v/>
      </c>
      <c r="E18" s="59" t="str">
        <f>IFERROR(VLOOKUP($A18,Admission!$1:$998,3,0),"")</f>
        <v/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1:21" ht="13" x14ac:dyDescent="0.15">
      <c r="A19" s="58"/>
      <c r="B19" s="59" t="str">
        <f>IFERROR(VLOOKUP($A19,Admission!$1:$998,4,0),"")</f>
        <v/>
      </c>
      <c r="C19" s="59" t="str">
        <f>IFERROR(VLOOKUP($A19,Admission!$1:$998,5,0),"")</f>
        <v/>
      </c>
      <c r="D19" s="59" t="str">
        <f>IFERROR(VLOOKUP($A19,Admission!$1:$998,10,0),"")</f>
        <v/>
      </c>
      <c r="E19" s="59" t="str">
        <f>IFERROR(VLOOKUP($A19,Admission!$1:$998,3,0),"")</f>
        <v/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1:21" ht="13" x14ac:dyDescent="0.15">
      <c r="A20" s="58"/>
      <c r="B20" s="59" t="str">
        <f>IFERROR(VLOOKUP($A20,Admission!$1:$998,4,0),"")</f>
        <v/>
      </c>
      <c r="C20" s="59" t="str">
        <f>IFERROR(VLOOKUP($A20,Admission!$1:$998,5,0),"")</f>
        <v/>
      </c>
      <c r="D20" s="59" t="str">
        <f>IFERROR(VLOOKUP($A20,Admission!$1:$998,10,0),"")</f>
        <v/>
      </c>
      <c r="E20" s="59" t="str">
        <f>IFERROR(VLOOKUP($A20,Admission!$1:$998,3,0),"")</f>
        <v/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r="21" spans="1:21" ht="13" x14ac:dyDescent="0.15">
      <c r="A21" s="58"/>
      <c r="B21" s="59" t="str">
        <f>IFERROR(VLOOKUP($A21,Admission!$1:$998,4,0),"")</f>
        <v/>
      </c>
      <c r="C21" s="59" t="str">
        <f>IFERROR(VLOOKUP($A21,Admission!$1:$998,5,0),"")</f>
        <v/>
      </c>
      <c r="D21" s="59" t="str">
        <f>IFERROR(VLOOKUP($A21,Admission!$1:$998,10,0),"")</f>
        <v/>
      </c>
      <c r="E21" s="59" t="str">
        <f>IFERROR(VLOOKUP($A21,Admission!$1:$998,3,0),"")</f>
        <v/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</row>
    <row r="22" spans="1:21" ht="13" x14ac:dyDescent="0.15">
      <c r="A22" s="58"/>
      <c r="B22" s="59" t="str">
        <f>IFERROR(VLOOKUP($A22,Admission!$1:$998,4,0),"")</f>
        <v/>
      </c>
      <c r="C22" s="59" t="str">
        <f>IFERROR(VLOOKUP($A22,Admission!$1:$998,5,0),"")</f>
        <v/>
      </c>
      <c r="D22" s="59" t="str">
        <f>IFERROR(VLOOKUP($A22,Admission!$1:$998,10,0),"")</f>
        <v/>
      </c>
      <c r="E22" s="59" t="str">
        <f>IFERROR(VLOOKUP($A22,Admission!$1:$998,3,0),"")</f>
        <v/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1" ht="13" x14ac:dyDescent="0.15">
      <c r="A23" s="58"/>
      <c r="B23" s="59" t="str">
        <f>IFERROR(VLOOKUP($A23,Admission!$1:$998,4,0),"")</f>
        <v/>
      </c>
      <c r="C23" s="59" t="str">
        <f>IFERROR(VLOOKUP($A23,Admission!$1:$998,5,0),"")</f>
        <v/>
      </c>
      <c r="D23" s="59" t="str">
        <f>IFERROR(VLOOKUP($A23,Admission!$1:$998,10,0),"")</f>
        <v/>
      </c>
      <c r="E23" s="59" t="str">
        <f>IFERROR(VLOOKUP($A23,Admission!$1:$998,3,0),"")</f>
        <v/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1" ht="13" x14ac:dyDescent="0.15">
      <c r="A24" s="58"/>
      <c r="B24" s="59" t="str">
        <f>IFERROR(VLOOKUP($A24,Admission!$1:$998,4,0),"")</f>
        <v/>
      </c>
      <c r="C24" s="59" t="str">
        <f>IFERROR(VLOOKUP($A24,Admission!$1:$998,5,0),"")</f>
        <v/>
      </c>
      <c r="D24" s="59" t="str">
        <f>IFERROR(VLOOKUP($A24,Admission!$1:$998,10,0),"")</f>
        <v/>
      </c>
      <c r="E24" s="59" t="str">
        <f>IFERROR(VLOOKUP($A24,Admission!$1:$998,3,0),"")</f>
        <v/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1" ht="13" x14ac:dyDescent="0.15">
      <c r="A25" s="58"/>
      <c r="B25" s="59" t="str">
        <f>IFERROR(VLOOKUP($A25,Admission!$1:$998,4,0),"")</f>
        <v/>
      </c>
      <c r="C25" s="59" t="str">
        <f>IFERROR(VLOOKUP($A25,Admission!$1:$998,5,0),"")</f>
        <v/>
      </c>
      <c r="D25" s="59" t="str">
        <f>IFERROR(VLOOKUP($A25,Admission!$1:$998,10,0),"")</f>
        <v/>
      </c>
      <c r="E25" s="59" t="str">
        <f>IFERROR(VLOOKUP($A25,Admission!$1:$998,3,0),"")</f>
        <v/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1:21" ht="13" x14ac:dyDescent="0.15">
      <c r="A26" s="58"/>
      <c r="B26" s="59" t="str">
        <f>IFERROR(VLOOKUP($A26,Admission!$1:$998,4,0),"")</f>
        <v/>
      </c>
      <c r="C26" s="59" t="str">
        <f>IFERROR(VLOOKUP($A26,Admission!$1:$998,5,0),"")</f>
        <v/>
      </c>
      <c r="D26" s="59"/>
      <c r="E26" s="59" t="str">
        <f>IFERROR(VLOOKUP($A26,Admission!$1:$998,3,0),"")</f>
        <v/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ht="13" x14ac:dyDescent="0.15">
      <c r="A27" s="58"/>
      <c r="B27" s="59" t="str">
        <f>IFERROR(VLOOKUP($A27,Admission!$1:$998,4,0),"")</f>
        <v/>
      </c>
      <c r="C27" s="59" t="str">
        <f>IFERROR(VLOOKUP($A27,Admission!$1:$998,5,0),"")</f>
        <v/>
      </c>
      <c r="D27" s="59"/>
      <c r="E27" s="59" t="str">
        <f>IFERROR(VLOOKUP($A27,Admission!$1:$998,3,0),"")</f>
        <v/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1" ht="13" x14ac:dyDescent="0.15">
      <c r="A28" s="58"/>
      <c r="B28" s="59" t="str">
        <f>IFERROR(VLOOKUP($A28,Admission!$1:$998,4,0),"")</f>
        <v/>
      </c>
      <c r="C28" s="59" t="str">
        <f>IFERROR(VLOOKUP($A28,Admission!$1:$998,5,0),"")</f>
        <v/>
      </c>
      <c r="D28" s="59"/>
      <c r="E28" s="59" t="str">
        <f>IFERROR(VLOOKUP($A28,Admission!$1:$998,3,0),"")</f>
        <v/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ht="13" x14ac:dyDescent="0.15">
      <c r="A29" s="58"/>
      <c r="B29" s="59" t="str">
        <f>IFERROR(VLOOKUP($A29,Admission!$1:$998,4,0),"")</f>
        <v/>
      </c>
      <c r="C29" s="59" t="str">
        <f>IFERROR(VLOOKUP($A29,Admission!$1:$998,5,0),"")</f>
        <v/>
      </c>
      <c r="D29" s="59"/>
      <c r="E29" s="59" t="str">
        <f>IFERROR(VLOOKUP($A29,Admission!$1:$998,3,0),"")</f>
        <v/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ht="13" x14ac:dyDescent="0.15">
      <c r="A30" s="58"/>
      <c r="B30" s="59" t="str">
        <f>IFERROR(VLOOKUP($A30,Admission!$1:$998,4,0),"")</f>
        <v/>
      </c>
      <c r="C30" s="59" t="str">
        <f>IFERROR(VLOOKUP($A30,Admission!$1:$998,5,0),"")</f>
        <v/>
      </c>
      <c r="D30" s="59"/>
      <c r="E30" s="59" t="str">
        <f>IFERROR(VLOOKUP($A30,Admission!$1:$998,3,0),"")</f>
        <v/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 ht="13" x14ac:dyDescent="0.15">
      <c r="A31" s="58"/>
      <c r="B31" s="59" t="str">
        <f>IFERROR(VLOOKUP($A31,Admission!$1:$998,4,0),"")</f>
        <v/>
      </c>
      <c r="C31" s="59" t="str">
        <f>IFERROR(VLOOKUP($A31,Admission!$1:$998,5,0),"")</f>
        <v/>
      </c>
      <c r="D31" s="59"/>
      <c r="E31" s="59" t="str">
        <f>IFERROR(VLOOKUP($A31,Admission!$1:$998,3,0),"")</f>
        <v/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1:21" ht="13" x14ac:dyDescent="0.15">
      <c r="A32" s="58"/>
      <c r="B32" s="59" t="str">
        <f>IFERROR(VLOOKUP($A32,Admission!$1:$998,4,0),"")</f>
        <v/>
      </c>
      <c r="C32" s="59" t="str">
        <f>IFERROR(VLOOKUP($A32,Admission!$1:$998,5,0),"")</f>
        <v/>
      </c>
      <c r="D32" s="59"/>
      <c r="E32" s="59" t="str">
        <f>IFERROR(VLOOKUP($A32,Admission!$1:$998,3,0),"")</f>
        <v/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1:21" ht="13" x14ac:dyDescent="0.15">
      <c r="A33" s="58"/>
      <c r="B33" s="59" t="str">
        <f>IFERROR(VLOOKUP($A33,Admission!$1:$998,4,0),"")</f>
        <v/>
      </c>
      <c r="C33" s="59" t="str">
        <f>IFERROR(VLOOKUP($A33,Admission!$1:$998,5,0),"")</f>
        <v/>
      </c>
      <c r="D33" s="59"/>
      <c r="E33" s="59" t="str">
        <f>IFERROR(VLOOKUP($A33,Admission!$1:$998,3,0),"")</f>
        <v/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1:21" ht="13" x14ac:dyDescent="0.15">
      <c r="A34" s="58"/>
      <c r="B34" s="59" t="str">
        <f>IFERROR(VLOOKUP($A34,Admission!$1:$998,4,0),"")</f>
        <v/>
      </c>
      <c r="C34" s="59" t="str">
        <f>IFERROR(VLOOKUP($A34,Admission!$1:$998,5,0),"")</f>
        <v/>
      </c>
      <c r="D34" s="59"/>
      <c r="E34" s="59" t="str">
        <f>IFERROR(VLOOKUP($A34,Admission!$1:$998,3,0),"")</f>
        <v/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1:21" ht="13" x14ac:dyDescent="0.15">
      <c r="A35" s="58"/>
      <c r="B35" s="59" t="str">
        <f>IFERROR(VLOOKUP($A35,Admission!$1:$998,4,0),"")</f>
        <v/>
      </c>
      <c r="C35" s="59" t="str">
        <f>IFERROR(VLOOKUP($A35,Admission!$1:$998,5,0),"")</f>
        <v/>
      </c>
      <c r="D35" s="59"/>
      <c r="E35" s="59" t="str">
        <f>IFERROR(VLOOKUP($A35,Admission!$1:$998,3,0),"")</f>
        <v/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1:21" ht="13" x14ac:dyDescent="0.15">
      <c r="A36" s="58"/>
      <c r="B36" s="59" t="str">
        <f>IFERROR(VLOOKUP($A36,Admission!$1:$998,4,0),"")</f>
        <v/>
      </c>
      <c r="C36" s="59" t="str">
        <f>IFERROR(VLOOKUP($A36,Admission!$1:$998,5,0),"")</f>
        <v/>
      </c>
      <c r="D36" s="59"/>
      <c r="E36" s="59" t="str">
        <f>IFERROR(VLOOKUP($A36,Admission!$1:$998,3,0),"")</f>
        <v/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1:21" ht="13" x14ac:dyDescent="0.15">
      <c r="A37" s="58"/>
      <c r="B37" s="59" t="str">
        <f>IFERROR(VLOOKUP($A37,Admission!$1:$998,4,0),"")</f>
        <v/>
      </c>
      <c r="C37" s="59" t="str">
        <f>IFERROR(VLOOKUP($A37,Admission!$1:$998,5,0),"")</f>
        <v/>
      </c>
      <c r="D37" s="59"/>
      <c r="E37" s="59" t="str">
        <f>IFERROR(VLOOKUP($A37,Admission!$1:$998,3,0),"")</f>
        <v/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1:21" ht="13" x14ac:dyDescent="0.15">
      <c r="A38" s="58"/>
      <c r="B38" s="59" t="str">
        <f>IFERROR(VLOOKUP($A38,Admission!$1:$998,4,0),"")</f>
        <v/>
      </c>
      <c r="C38" s="59" t="str">
        <f>IFERROR(VLOOKUP($A38,Admission!$1:$998,5,0),"")</f>
        <v/>
      </c>
      <c r="D38" s="59"/>
      <c r="E38" s="59" t="str">
        <f>IFERROR(VLOOKUP($A38,Admission!$1:$998,3,0),"")</f>
        <v/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1:21" ht="13" x14ac:dyDescent="0.15">
      <c r="A39" s="58"/>
      <c r="B39" s="59" t="str">
        <f>IFERROR(VLOOKUP($A39,Admission!$1:$998,4,0),"")</f>
        <v/>
      </c>
      <c r="C39" s="59" t="str">
        <f>IFERROR(VLOOKUP($A39,Admission!$1:$998,5,0),"")</f>
        <v/>
      </c>
      <c r="D39" s="59"/>
      <c r="E39" s="59" t="str">
        <f>IFERROR(VLOOKUP($A39,Admission!$1:$998,3,0),"")</f>
        <v/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ht="13" x14ac:dyDescent="0.15">
      <c r="A40" s="58"/>
      <c r="B40" s="59" t="str">
        <f>IFERROR(VLOOKUP($A40,Admission!$1:$998,4,0),"")</f>
        <v/>
      </c>
      <c r="C40" s="59" t="str">
        <f>IFERROR(VLOOKUP($A40,Admission!$1:$998,5,0),"")</f>
        <v/>
      </c>
      <c r="D40" s="59"/>
      <c r="E40" s="59" t="str">
        <f>IFERROR(VLOOKUP($A40,Admission!$1:$998,3,0),"")</f>
        <v/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1:21" ht="13" x14ac:dyDescent="0.15">
      <c r="A41" s="58"/>
      <c r="B41" s="59" t="str">
        <f>IFERROR(VLOOKUP($A41,Admission!$1:$998,4,0),"")</f>
        <v/>
      </c>
      <c r="C41" s="59" t="str">
        <f>IFERROR(VLOOKUP($A41,Admission!$1:$998,5,0),"")</f>
        <v/>
      </c>
      <c r="D41" s="59"/>
      <c r="E41" s="59" t="str">
        <f>IFERROR(VLOOKUP($A41,Admission!$1:$998,3,0),"")</f>
        <v/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1:21" ht="13" x14ac:dyDescent="0.15">
      <c r="A42" s="58"/>
      <c r="B42" s="59" t="str">
        <f>IFERROR(VLOOKUP($A42,Admission!$1:$998,4,0),"")</f>
        <v/>
      </c>
      <c r="C42" s="59" t="str">
        <f>IFERROR(VLOOKUP($A42,Admission!$1:$998,5,0),"")</f>
        <v/>
      </c>
      <c r="D42" s="59"/>
      <c r="E42" s="59" t="str">
        <f>IFERROR(VLOOKUP($A42,Admission!$1:$998,3,0),"")</f>
        <v/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1:21" ht="13" x14ac:dyDescent="0.15">
      <c r="A43" s="58"/>
      <c r="B43" s="59" t="str">
        <f>IFERROR(VLOOKUP($A43,Admission!$1:$998,4,0),"")</f>
        <v/>
      </c>
      <c r="C43" s="59" t="str">
        <f>IFERROR(VLOOKUP($A43,Admission!$1:$998,5,0),"")</f>
        <v/>
      </c>
      <c r="D43" s="59"/>
      <c r="E43" s="59" t="str">
        <f>IFERROR(VLOOKUP($A43,Admission!$1:$998,3,0),"")</f>
        <v/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21" ht="13" x14ac:dyDescent="0.15">
      <c r="A44" s="58"/>
      <c r="B44" s="59" t="str">
        <f>IFERROR(VLOOKUP($A44,Admission!$1:$998,4,0),"")</f>
        <v/>
      </c>
      <c r="C44" s="59" t="str">
        <f>IFERROR(VLOOKUP($A44,Admission!$1:$998,5,0),"")</f>
        <v/>
      </c>
      <c r="D44" s="59"/>
      <c r="E44" s="59" t="str">
        <f>IFERROR(VLOOKUP($A44,Admission!$1:$998,3,0),"")</f>
        <v/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21" ht="13" x14ac:dyDescent="0.15">
      <c r="A45" s="58"/>
      <c r="B45" s="59" t="str">
        <f>IFERROR(VLOOKUP($A45,Admission!$1:$998,4,0),"")</f>
        <v/>
      </c>
      <c r="C45" s="59" t="str">
        <f>IFERROR(VLOOKUP($A45,Admission!$1:$998,5,0),"")</f>
        <v/>
      </c>
      <c r="D45" s="59"/>
      <c r="E45" s="59" t="str">
        <f>IFERROR(VLOOKUP($A45,Admission!$1:$998,3,0),"")</f>
        <v/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1:21" ht="13" x14ac:dyDescent="0.15">
      <c r="A46" s="58"/>
      <c r="B46" s="59" t="str">
        <f>IFERROR(VLOOKUP($A46,Admission!$1:$998,4,0),"")</f>
        <v/>
      </c>
      <c r="C46" s="59" t="str">
        <f>IFERROR(VLOOKUP($A46,Admission!$1:$998,5,0),"")</f>
        <v/>
      </c>
      <c r="D46" s="59"/>
      <c r="E46" s="59" t="str">
        <f>IFERROR(VLOOKUP($A46,Admission!$1:$998,3,0),"")</f>
        <v/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1:21" ht="13" x14ac:dyDescent="0.15">
      <c r="A47" s="58"/>
      <c r="B47" s="59" t="str">
        <f>IFERROR(VLOOKUP($A47,Admission!$1:$998,4,0),"")</f>
        <v/>
      </c>
      <c r="C47" s="59" t="str">
        <f>IFERROR(VLOOKUP($A47,Admission!$1:$998,5,0),"")</f>
        <v/>
      </c>
      <c r="D47" s="59"/>
      <c r="E47" s="59" t="str">
        <f>IFERROR(VLOOKUP($A47,Admission!$1:$998,3,0),"")</f>
        <v/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1:21" ht="13" x14ac:dyDescent="0.15">
      <c r="A48" s="58"/>
      <c r="B48" s="59" t="str">
        <f>IFERROR(VLOOKUP($A48,Admission!$1:$998,4,0),"")</f>
        <v/>
      </c>
      <c r="C48" s="59" t="str">
        <f>IFERROR(VLOOKUP($A48,Admission!$1:$998,5,0),"")</f>
        <v/>
      </c>
      <c r="D48" s="59"/>
      <c r="E48" s="59" t="str">
        <f>IFERROR(VLOOKUP($A48,Admission!$1:$998,3,0),"")</f>
        <v/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1:21" ht="13" x14ac:dyDescent="0.15">
      <c r="A49" s="58"/>
      <c r="B49" s="59" t="str">
        <f>IFERROR(VLOOKUP($A49,Admission!$1:$998,4,0),"")</f>
        <v/>
      </c>
      <c r="C49" s="59" t="str">
        <f>IFERROR(VLOOKUP($A49,Admission!$1:$998,5,0),"")</f>
        <v/>
      </c>
      <c r="D49" s="59"/>
      <c r="E49" s="59" t="str">
        <f>IFERROR(VLOOKUP($A49,Admission!$1:$998,3,0),"")</f>
        <v/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1:21" ht="13" x14ac:dyDescent="0.15">
      <c r="A50" s="58"/>
      <c r="B50" s="59" t="str">
        <f>IFERROR(VLOOKUP($A50,Admission!$1:$998,4,0),"")</f>
        <v/>
      </c>
      <c r="C50" s="59" t="str">
        <f>IFERROR(VLOOKUP($A50,Admission!$1:$998,5,0),"")</f>
        <v/>
      </c>
      <c r="D50" s="59"/>
      <c r="E50" s="59" t="str">
        <f>IFERROR(VLOOKUP($A50,Admission!$1:$998,3,0),"")</f>
        <v/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1:21" ht="13" x14ac:dyDescent="0.15">
      <c r="A51" s="58"/>
      <c r="B51" s="59" t="str">
        <f>IFERROR(VLOOKUP($A51,Admission!$1:$998,4,0),"")</f>
        <v/>
      </c>
      <c r="C51" s="59" t="str">
        <f>IFERROR(VLOOKUP($A51,Admission!$1:$998,5,0),"")</f>
        <v/>
      </c>
      <c r="D51" s="59"/>
      <c r="E51" s="59" t="str">
        <f>IFERROR(VLOOKUP($A51,Admission!$1:$998,3,0),"")</f>
        <v/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</row>
    <row r="52" spans="1:21" ht="13" x14ac:dyDescent="0.15">
      <c r="A52" s="58"/>
      <c r="B52" s="59" t="str">
        <f>IFERROR(VLOOKUP($A52,Admission!$1:$998,4,0),"")</f>
        <v/>
      </c>
      <c r="C52" s="59" t="str">
        <f>IFERROR(VLOOKUP($A52,Admission!$1:$998,5,0),"")</f>
        <v/>
      </c>
      <c r="D52" s="59"/>
      <c r="E52" s="59" t="str">
        <f>IFERROR(VLOOKUP($A52,Admission!$1:$998,3,0),"")</f>
        <v/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ht="13" x14ac:dyDescent="0.15">
      <c r="A53" s="58"/>
      <c r="B53" s="59" t="str">
        <f>IFERROR(VLOOKUP($A53,Admission!$1:$998,4,0),"")</f>
        <v/>
      </c>
      <c r="C53" s="59" t="str">
        <f>IFERROR(VLOOKUP($A53,Admission!$1:$998,5,0),"")</f>
        <v/>
      </c>
      <c r="D53" s="59"/>
      <c r="E53" s="59" t="str">
        <f>IFERROR(VLOOKUP($A53,Admission!$1:$998,3,0),"")</f>
        <v/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1:21" ht="13" x14ac:dyDescent="0.15">
      <c r="A54" s="58"/>
      <c r="B54" s="59" t="str">
        <f>IFERROR(VLOOKUP($A54,Admission!$1:$998,4,0),"")</f>
        <v/>
      </c>
      <c r="C54" s="59" t="str">
        <f>IFERROR(VLOOKUP($A54,Admission!$1:$998,5,0),"")</f>
        <v/>
      </c>
      <c r="D54" s="59"/>
      <c r="E54" s="59" t="str">
        <f>IFERROR(VLOOKUP($A54,Admission!$1:$998,3,0),"")</f>
        <v/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1:21" ht="13" x14ac:dyDescent="0.15">
      <c r="A55" s="58"/>
      <c r="B55" s="59" t="str">
        <f>IFERROR(VLOOKUP($A55,Admission!$1:$998,4,0),"")</f>
        <v/>
      </c>
      <c r="C55" s="59" t="str">
        <f>IFERROR(VLOOKUP($A55,Admission!$1:$998,5,0),"")</f>
        <v/>
      </c>
      <c r="D55" s="59"/>
      <c r="E55" s="59" t="str">
        <f>IFERROR(VLOOKUP($A55,Admission!$1:$998,3,0),"")</f>
        <v/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 spans="1:21" ht="13" x14ac:dyDescent="0.15">
      <c r="A56" s="58"/>
      <c r="B56" s="59" t="str">
        <f>IFERROR(VLOOKUP($A56,Admission!$1:$998,4,0),"")</f>
        <v/>
      </c>
      <c r="C56" s="59" t="str">
        <f>IFERROR(VLOOKUP($A56,Admission!$1:$998,5,0),"")</f>
        <v/>
      </c>
      <c r="D56" s="59"/>
      <c r="E56" s="59" t="str">
        <f>IFERROR(VLOOKUP($A56,Admission!$1:$998,3,0),"")</f>
        <v/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1:21" ht="13" x14ac:dyDescent="0.15">
      <c r="A57" s="58"/>
      <c r="B57" s="59" t="str">
        <f>IFERROR(VLOOKUP($A57,Admission!$1:$998,4,0),"")</f>
        <v/>
      </c>
      <c r="C57" s="59" t="str">
        <f>IFERROR(VLOOKUP($A57,Admission!$1:$998,5,0),"")</f>
        <v/>
      </c>
      <c r="D57" s="59"/>
      <c r="E57" s="59" t="str">
        <f>IFERROR(VLOOKUP($A57,Admission!$1:$998,3,0),"")</f>
        <v/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1:21" ht="13" x14ac:dyDescent="0.15">
      <c r="A58" s="58"/>
      <c r="B58" s="59" t="str">
        <f>IFERROR(VLOOKUP($A58,Admission!$1:$998,4,0),"")</f>
        <v/>
      </c>
      <c r="C58" s="59" t="str">
        <f>IFERROR(VLOOKUP($A58,Admission!$1:$998,5,0),"")</f>
        <v/>
      </c>
      <c r="D58" s="59"/>
      <c r="E58" s="59" t="str">
        <f>IFERROR(VLOOKUP($A58,Admission!$1:$998,3,0),"")</f>
        <v/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1:21" ht="13" x14ac:dyDescent="0.15">
      <c r="A59" s="58"/>
      <c r="B59" s="59" t="str">
        <f>IFERROR(VLOOKUP($A59,Admission!$1:$998,4,0),"")</f>
        <v/>
      </c>
      <c r="C59" s="59" t="str">
        <f>IFERROR(VLOOKUP($A59,Admission!$1:$998,5,0),"")</f>
        <v/>
      </c>
      <c r="D59" s="59"/>
      <c r="E59" s="59" t="str">
        <f>IFERROR(VLOOKUP($A59,Admission!$1:$998,3,0),"")</f>
        <v/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1:21" ht="13" x14ac:dyDescent="0.15">
      <c r="A60" s="58"/>
      <c r="B60" s="59" t="str">
        <f>IFERROR(VLOOKUP($A60,Admission!$1:$998,4,0),"")</f>
        <v/>
      </c>
      <c r="C60" s="59" t="str">
        <f>IFERROR(VLOOKUP($A60,Admission!$1:$998,5,0),"")</f>
        <v/>
      </c>
      <c r="D60" s="59"/>
      <c r="E60" s="59" t="str">
        <f>IFERROR(VLOOKUP($A60,Admission!$1:$998,3,0),"")</f>
        <v/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</row>
    <row r="61" spans="1:21" ht="13" x14ac:dyDescent="0.15">
      <c r="A61" s="58"/>
      <c r="B61" s="59" t="str">
        <f>IFERROR(VLOOKUP($A61,Admission!$1:$998,4,0),"")</f>
        <v/>
      </c>
      <c r="C61" s="59" t="str">
        <f>IFERROR(VLOOKUP($A61,Admission!$1:$998,5,0),"")</f>
        <v/>
      </c>
      <c r="D61" s="59"/>
      <c r="E61" s="59" t="str">
        <f>IFERROR(VLOOKUP($A61,Admission!$1:$998,3,0),"")</f>
        <v/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1:21" ht="13" x14ac:dyDescent="0.15">
      <c r="A62" s="58"/>
      <c r="B62" s="59" t="str">
        <f>IFERROR(VLOOKUP($A62,Admission!$1:$998,4,0),"")</f>
        <v/>
      </c>
      <c r="C62" s="59" t="str">
        <f>IFERROR(VLOOKUP($A62,Admission!$1:$998,5,0),"")</f>
        <v/>
      </c>
      <c r="D62" s="59"/>
      <c r="E62" s="59" t="str">
        <f>IFERROR(VLOOKUP($A62,Admission!$1:$998,3,0),"")</f>
        <v/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1:21" ht="13" x14ac:dyDescent="0.15">
      <c r="A63" s="58"/>
      <c r="B63" s="59" t="str">
        <f>IFERROR(VLOOKUP($A63,Admission!$1:$998,4,0),"")</f>
        <v/>
      </c>
      <c r="C63" s="59" t="str">
        <f>IFERROR(VLOOKUP($A63,Admission!$1:$998,5,0),"")</f>
        <v/>
      </c>
      <c r="D63" s="59"/>
      <c r="E63" s="59" t="str">
        <f>IFERROR(VLOOKUP($A63,Admission!$1:$998,3,0),"")</f>
        <v/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1:21" ht="13" x14ac:dyDescent="0.15">
      <c r="A64" s="58"/>
      <c r="B64" s="59" t="str">
        <f>IFERROR(VLOOKUP($A64,Admission!$1:$998,4,0),"")</f>
        <v/>
      </c>
      <c r="C64" s="59" t="str">
        <f>IFERROR(VLOOKUP($A64,Admission!$1:$998,5,0),"")</f>
        <v/>
      </c>
      <c r="D64" s="59"/>
      <c r="E64" s="59" t="str">
        <f>IFERROR(VLOOKUP($A64,Admission!$1:$998,3,0),"")</f>
        <v/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</row>
    <row r="65" spans="1:21" ht="13" x14ac:dyDescent="0.15">
      <c r="A65" s="58"/>
      <c r="B65" s="59" t="str">
        <f>IFERROR(VLOOKUP($A65,Admission!$1:$998,4,0),"")</f>
        <v/>
      </c>
      <c r="C65" s="59" t="str">
        <f>IFERROR(VLOOKUP($A65,Admission!$1:$998,5,0),"")</f>
        <v/>
      </c>
      <c r="D65" s="59"/>
      <c r="E65" s="59" t="str">
        <f>IFERROR(VLOOKUP($A65,Admission!$1:$998,3,0),"")</f>
        <v/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1:21" ht="13" x14ac:dyDescent="0.15">
      <c r="A66" s="58"/>
      <c r="B66" s="59" t="str">
        <f>IFERROR(VLOOKUP($A66,Admission!$1:$998,4,0),"")</f>
        <v/>
      </c>
      <c r="C66" s="59" t="str">
        <f>IFERROR(VLOOKUP($A66,Admission!$1:$998,5,0),"")</f>
        <v/>
      </c>
      <c r="D66" s="59"/>
      <c r="E66" s="59" t="str">
        <f>IFERROR(VLOOKUP($A66,Admission!$1:$998,3,0),"")</f>
        <v/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1:21" ht="13" x14ac:dyDescent="0.15">
      <c r="A67" s="58"/>
      <c r="B67" s="59" t="str">
        <f>IFERROR(VLOOKUP($A67,Admission!$1:$998,4,0),"")</f>
        <v/>
      </c>
      <c r="C67" s="59" t="str">
        <f>IFERROR(VLOOKUP($A67,Admission!$1:$998,5,0),"")</f>
        <v/>
      </c>
      <c r="D67" s="59"/>
      <c r="E67" s="59" t="str">
        <f>IFERROR(VLOOKUP($A67,Admission!$1:$998,3,0),"")</f>
        <v/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1:21" ht="13" x14ac:dyDescent="0.15">
      <c r="A68" s="58"/>
      <c r="B68" s="59" t="str">
        <f>IFERROR(VLOOKUP($A68,Admission!$1:$998,4,0),"")</f>
        <v/>
      </c>
      <c r="C68" s="59" t="str">
        <f>IFERROR(VLOOKUP($A68,Admission!$1:$998,5,0),"")</f>
        <v/>
      </c>
      <c r="D68" s="59"/>
      <c r="E68" s="59" t="str">
        <f>IFERROR(VLOOKUP($A68,Admission!$1:$998,3,0),"")</f>
        <v/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</row>
    <row r="69" spans="1:21" ht="13" x14ac:dyDescent="0.15">
      <c r="A69" s="58"/>
      <c r="B69" s="59" t="str">
        <f>IFERROR(VLOOKUP($A69,Admission!$1:$998,4,0),"")</f>
        <v/>
      </c>
      <c r="C69" s="59" t="str">
        <f>IFERROR(VLOOKUP($A69,Admission!$1:$998,5,0),"")</f>
        <v/>
      </c>
      <c r="D69" s="59"/>
      <c r="E69" s="59" t="str">
        <f>IFERROR(VLOOKUP($A69,Admission!$1:$998,3,0),"")</f>
        <v/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1:21" ht="13" x14ac:dyDescent="0.15">
      <c r="A70" s="58"/>
      <c r="B70" s="59" t="str">
        <f>IFERROR(VLOOKUP($A70,Admission!$1:$998,4,0),"")</f>
        <v/>
      </c>
      <c r="C70" s="59" t="str">
        <f>IFERROR(VLOOKUP($A70,Admission!$1:$998,5,0),"")</f>
        <v/>
      </c>
      <c r="D70" s="59"/>
      <c r="E70" s="59" t="str">
        <f>IFERROR(VLOOKUP($A70,Admission!$1:$998,3,0),"")</f>
        <v/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1:21" ht="13" x14ac:dyDescent="0.15">
      <c r="A71" s="58"/>
      <c r="B71" s="59" t="str">
        <f>IFERROR(VLOOKUP($A71,Admission!$1:$998,4,0),"")</f>
        <v/>
      </c>
      <c r="C71" s="59" t="str">
        <f>IFERROR(VLOOKUP($A71,Admission!$1:$998,5,0),"")</f>
        <v/>
      </c>
      <c r="D71" s="59"/>
      <c r="E71" s="59" t="str">
        <f>IFERROR(VLOOKUP($A71,Admission!$1:$998,3,0),"")</f>
        <v/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1:21" ht="13" x14ac:dyDescent="0.15">
      <c r="A72" s="58"/>
      <c r="B72" s="59" t="str">
        <f>IFERROR(VLOOKUP($A72,Admission!$1:$998,4,0),"")</f>
        <v/>
      </c>
      <c r="C72" s="59" t="str">
        <f>IFERROR(VLOOKUP($A72,Admission!$1:$998,5,0),"")</f>
        <v/>
      </c>
      <c r="D72" s="59"/>
      <c r="E72" s="59" t="str">
        <f>IFERROR(VLOOKUP($A72,Admission!$1:$998,3,0),"")</f>
        <v/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1:21" ht="13" x14ac:dyDescent="0.15">
      <c r="A73" s="58"/>
      <c r="B73" s="59" t="str">
        <f>IFERROR(VLOOKUP($A73,Admission!$1:$998,4,0),"")</f>
        <v/>
      </c>
      <c r="C73" s="59" t="str">
        <f>IFERROR(VLOOKUP($A73,Admission!$1:$998,5,0),"")</f>
        <v/>
      </c>
      <c r="D73" s="59"/>
      <c r="E73" s="59" t="str">
        <f>IFERROR(VLOOKUP($A73,Admission!$1:$998,3,0),"")</f>
        <v/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</row>
    <row r="74" spans="1:21" ht="13" x14ac:dyDescent="0.15">
      <c r="A74" s="58"/>
      <c r="B74" s="59" t="str">
        <f>IFERROR(VLOOKUP($A74,Admission!$1:$998,4,0),"")</f>
        <v/>
      </c>
      <c r="C74" s="59" t="str">
        <f>IFERROR(VLOOKUP($A74,Admission!$1:$998,5,0),"")</f>
        <v/>
      </c>
      <c r="D74" s="59"/>
      <c r="E74" s="59" t="str">
        <f>IFERROR(VLOOKUP($A74,Admission!$1:$998,3,0),"")</f>
        <v/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1:21" ht="13" x14ac:dyDescent="0.15">
      <c r="A75" s="58"/>
      <c r="B75" s="59" t="str">
        <f>IFERROR(VLOOKUP($A75,Admission!$1:$998,4,0),"")</f>
        <v/>
      </c>
      <c r="C75" s="59" t="str">
        <f>IFERROR(VLOOKUP($A75,Admission!$1:$998,5,0),"")</f>
        <v/>
      </c>
      <c r="D75" s="59"/>
      <c r="E75" s="59" t="str">
        <f>IFERROR(VLOOKUP($A75,Admission!$1:$998,3,0),"")</f>
        <v/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1:21" ht="13" x14ac:dyDescent="0.15">
      <c r="A76" s="58"/>
      <c r="B76" s="59" t="str">
        <f>IFERROR(VLOOKUP($A76,Admission!$1:$998,4,0),"")</f>
        <v/>
      </c>
      <c r="C76" s="59" t="str">
        <f>IFERROR(VLOOKUP($A76,Admission!$1:$998,5,0),"")</f>
        <v/>
      </c>
      <c r="D76" s="59"/>
      <c r="E76" s="59" t="str">
        <f>IFERROR(VLOOKUP($A76,Admission!$1:$998,3,0),"")</f>
        <v/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1:21" ht="13" x14ac:dyDescent="0.15">
      <c r="A77" s="58"/>
      <c r="B77" s="59" t="str">
        <f>IFERROR(VLOOKUP($A77,Admission!$1:$998,4,0),"")</f>
        <v/>
      </c>
      <c r="C77" s="59" t="str">
        <f>IFERROR(VLOOKUP($A77,Admission!$1:$998,5,0),"")</f>
        <v/>
      </c>
      <c r="D77" s="59"/>
      <c r="E77" s="59" t="str">
        <f>IFERROR(VLOOKUP($A77,Admission!$1:$998,3,0),"")</f>
        <v/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1:21" ht="13" x14ac:dyDescent="0.15">
      <c r="A78" s="58"/>
      <c r="B78" s="59" t="str">
        <f>IFERROR(VLOOKUP($A78,Admission!$1:$998,4,0),"")</f>
        <v/>
      </c>
      <c r="C78" s="59" t="str">
        <f>IFERROR(VLOOKUP($A78,Admission!$1:$998,5,0),"")</f>
        <v/>
      </c>
      <c r="D78" s="59"/>
      <c r="E78" s="59" t="str">
        <f>IFERROR(VLOOKUP($A78,Admission!$1:$998,3,0),"")</f>
        <v/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1:21" ht="13" x14ac:dyDescent="0.15">
      <c r="A79" s="58"/>
      <c r="B79" s="59" t="str">
        <f>IFERROR(VLOOKUP($A79,Admission!$1:$998,4,0),"")</f>
        <v/>
      </c>
      <c r="C79" s="59" t="str">
        <f>IFERROR(VLOOKUP($A79,Admission!$1:$998,5,0),"")</f>
        <v/>
      </c>
      <c r="D79" s="59"/>
      <c r="E79" s="59" t="str">
        <f>IFERROR(VLOOKUP($A79,Admission!$1:$998,3,0),"")</f>
        <v/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1:21" ht="13" x14ac:dyDescent="0.15">
      <c r="A80" s="58"/>
      <c r="B80" s="59" t="str">
        <f>IFERROR(VLOOKUP($A80,Admission!$1:$998,4,0),"")</f>
        <v/>
      </c>
      <c r="C80" s="59" t="str">
        <f>IFERROR(VLOOKUP($A80,Admission!$1:$998,5,0),"")</f>
        <v/>
      </c>
      <c r="D80" s="59"/>
      <c r="E80" s="59" t="str">
        <f>IFERROR(VLOOKUP($A80,Admission!$1:$998,3,0),"")</f>
        <v/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1:21" ht="13" x14ac:dyDescent="0.15">
      <c r="A81" s="58"/>
      <c r="B81" s="59" t="str">
        <f>IFERROR(VLOOKUP($A81,Admission!$1:$998,4,0),"")</f>
        <v/>
      </c>
      <c r="C81" s="59" t="str">
        <f>IFERROR(VLOOKUP($A81,Admission!$1:$998,5,0),"")</f>
        <v/>
      </c>
      <c r="D81" s="59"/>
      <c r="E81" s="59" t="str">
        <f>IFERROR(VLOOKUP($A81,Admission!$1:$998,3,0),"")</f>
        <v/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1:21" ht="13" x14ac:dyDescent="0.15">
      <c r="A82" s="58"/>
      <c r="B82" s="59" t="str">
        <f>IFERROR(VLOOKUP($A82,Admission!$1:$998,4,0),"")</f>
        <v/>
      </c>
      <c r="C82" s="59" t="str">
        <f>IFERROR(VLOOKUP($A82,Admission!$1:$998,5,0),"")</f>
        <v/>
      </c>
      <c r="D82" s="59"/>
      <c r="E82" s="59" t="str">
        <f>IFERROR(VLOOKUP($A82,Admission!$1:$998,3,0),"")</f>
        <v/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1:21" ht="13" x14ac:dyDescent="0.15">
      <c r="A83" s="58"/>
      <c r="B83" s="59" t="str">
        <f>IFERROR(VLOOKUP($A83,Admission!$1:$998,4,0),"")</f>
        <v/>
      </c>
      <c r="C83" s="59" t="str">
        <f>IFERROR(VLOOKUP($A83,Admission!$1:$998,5,0),"")</f>
        <v/>
      </c>
      <c r="D83" s="59"/>
      <c r="E83" s="59" t="str">
        <f>IFERROR(VLOOKUP($A83,Admission!$1:$998,3,0),"")</f>
        <v/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1:21" ht="13" x14ac:dyDescent="0.15">
      <c r="A84" s="58"/>
      <c r="B84" s="59" t="str">
        <f>IFERROR(VLOOKUP($A84,Admission!$1:$998,4,0),"")</f>
        <v/>
      </c>
      <c r="C84" s="59" t="str">
        <f>IFERROR(VLOOKUP($A84,Admission!$1:$998,5,0),"")</f>
        <v/>
      </c>
      <c r="D84" s="59"/>
      <c r="E84" s="59" t="str">
        <f>IFERROR(VLOOKUP($A84,Admission!$1:$998,3,0),"")</f>
        <v/>
      </c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1:21" ht="13" x14ac:dyDescent="0.15">
      <c r="A85" s="58"/>
      <c r="B85" s="59" t="str">
        <f>IFERROR(VLOOKUP($A85,Admission!$1:$998,4,0),"")</f>
        <v/>
      </c>
      <c r="C85" s="59" t="str">
        <f>IFERROR(VLOOKUP($A85,Admission!$1:$998,5,0),"")</f>
        <v/>
      </c>
      <c r="D85" s="59"/>
      <c r="E85" s="59" t="str">
        <f>IFERROR(VLOOKUP($A85,Admission!$1:$998,3,0),"")</f>
        <v/>
      </c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1:21" ht="13" x14ac:dyDescent="0.15">
      <c r="A86" s="58"/>
      <c r="B86" s="59" t="str">
        <f>IFERROR(VLOOKUP($A86,Admission!$1:$998,4,0),"")</f>
        <v/>
      </c>
      <c r="C86" s="59" t="str">
        <f>IFERROR(VLOOKUP($A86,Admission!$1:$998,5,0),"")</f>
        <v/>
      </c>
      <c r="D86" s="59"/>
      <c r="E86" s="59" t="str">
        <f>IFERROR(VLOOKUP($A86,Admission!$1:$998,3,0),"")</f>
        <v/>
      </c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1:21" ht="13" x14ac:dyDescent="0.15">
      <c r="A87" s="58"/>
      <c r="B87" s="59" t="str">
        <f>IFERROR(VLOOKUP($A87,Admission!$1:$998,4,0),"")</f>
        <v/>
      </c>
      <c r="C87" s="59" t="str">
        <f>IFERROR(VLOOKUP($A87,Admission!$1:$998,5,0),"")</f>
        <v/>
      </c>
      <c r="D87" s="59"/>
      <c r="E87" s="59" t="str">
        <f>IFERROR(VLOOKUP($A87,Admission!$1:$998,3,0),"")</f>
        <v/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1:21" ht="13" x14ac:dyDescent="0.15">
      <c r="A88" s="58"/>
      <c r="B88" s="59" t="str">
        <f>IFERROR(VLOOKUP($A88,Admission!$1:$998,4,0),"")</f>
        <v/>
      </c>
      <c r="C88" s="59" t="str">
        <f>IFERROR(VLOOKUP($A88,Admission!$1:$998,5,0),"")</f>
        <v/>
      </c>
      <c r="D88" s="59"/>
      <c r="E88" s="59" t="str">
        <f>IFERROR(VLOOKUP($A88,Admission!$1:$998,3,0),"")</f>
        <v/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1:21" ht="13" x14ac:dyDescent="0.15">
      <c r="A89" s="58"/>
      <c r="B89" s="59" t="str">
        <f>IFERROR(VLOOKUP($A89,Admission!$1:$998,4,0),"")</f>
        <v/>
      </c>
      <c r="C89" s="59" t="str">
        <f>IFERROR(VLOOKUP($A89,Admission!$1:$998,5,0),"")</f>
        <v/>
      </c>
      <c r="D89" s="59"/>
      <c r="E89" s="59" t="str">
        <f>IFERROR(VLOOKUP($A89,Admission!$1:$998,3,0),"")</f>
        <v/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1:21" ht="13" x14ac:dyDescent="0.15">
      <c r="A90" s="58"/>
      <c r="B90" s="59" t="str">
        <f>IFERROR(VLOOKUP($A90,Admission!$1:$998,4,0),"")</f>
        <v/>
      </c>
      <c r="C90" s="59" t="str">
        <f>IFERROR(VLOOKUP($A90,Admission!$1:$998,5,0),"")</f>
        <v/>
      </c>
      <c r="D90" s="59"/>
      <c r="E90" s="59" t="str">
        <f>IFERROR(VLOOKUP($A90,Admission!$1:$998,3,0),"")</f>
        <v/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1:21" ht="13" x14ac:dyDescent="0.15">
      <c r="A91" s="58"/>
      <c r="B91" s="59" t="str">
        <f>IFERROR(VLOOKUP($A91,Admission!$1:$998,4,0),"")</f>
        <v/>
      </c>
      <c r="C91" s="59" t="str">
        <f>IFERROR(VLOOKUP($A91,Admission!$1:$998,5,0),"")</f>
        <v/>
      </c>
      <c r="D91" s="59"/>
      <c r="E91" s="59" t="str">
        <f>IFERROR(VLOOKUP($A91,Admission!$1:$998,3,0),"")</f>
        <v/>
      </c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1:21" ht="13" x14ac:dyDescent="0.15">
      <c r="A92" s="58"/>
      <c r="B92" s="59" t="str">
        <f>IFERROR(VLOOKUP($A92,Admission!$1:$998,4,0),"")</f>
        <v/>
      </c>
      <c r="C92" s="59" t="str">
        <f>IFERROR(VLOOKUP($A92,Admission!$1:$998,5,0),"")</f>
        <v/>
      </c>
      <c r="D92" s="59"/>
      <c r="E92" s="59" t="str">
        <f>IFERROR(VLOOKUP($A92,Admission!$1:$998,3,0),"")</f>
        <v/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1:21" ht="13" x14ac:dyDescent="0.15">
      <c r="A93" s="58"/>
      <c r="B93" s="59" t="str">
        <f>IFERROR(VLOOKUP($A93,Admission!$1:$998,4,0),"")</f>
        <v/>
      </c>
      <c r="C93" s="59" t="str">
        <f>IFERROR(VLOOKUP($A93,Admission!$1:$998,5,0),"")</f>
        <v/>
      </c>
      <c r="D93" s="59"/>
      <c r="E93" s="59" t="str">
        <f>IFERROR(VLOOKUP($A93,Admission!$1:$998,3,0),"")</f>
        <v/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1:21" ht="13" x14ac:dyDescent="0.15">
      <c r="A94" s="58"/>
      <c r="B94" s="59" t="str">
        <f>IFERROR(VLOOKUP($A94,Admission!$1:$998,4,0),"")</f>
        <v/>
      </c>
      <c r="C94" s="59" t="str">
        <f>IFERROR(VLOOKUP($A94,Admission!$1:$998,5,0),"")</f>
        <v/>
      </c>
      <c r="D94" s="59"/>
      <c r="E94" s="59" t="str">
        <f>IFERROR(VLOOKUP($A94,Admission!$1:$998,3,0),"")</f>
        <v/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1:21" ht="13" x14ac:dyDescent="0.15">
      <c r="A95" s="58"/>
      <c r="B95" s="59" t="str">
        <f>IFERROR(VLOOKUP($A95,Admission!$1:$998,4,0),"")</f>
        <v/>
      </c>
      <c r="C95" s="59" t="str">
        <f>IFERROR(VLOOKUP($A95,Admission!$1:$998,5,0),"")</f>
        <v/>
      </c>
      <c r="D95" s="59"/>
      <c r="E95" s="59" t="str">
        <f>IFERROR(VLOOKUP($A95,Admission!$1:$998,3,0),"")</f>
        <v/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1:21" ht="13" x14ac:dyDescent="0.15">
      <c r="A96" s="58"/>
      <c r="B96" s="59" t="str">
        <f>IFERROR(VLOOKUP($A96,Admission!$1:$998,4,0),"")</f>
        <v/>
      </c>
      <c r="C96" s="59" t="str">
        <f>IFERROR(VLOOKUP($A96,Admission!$1:$998,5,0),"")</f>
        <v/>
      </c>
      <c r="D96" s="59"/>
      <c r="E96" s="59" t="str">
        <f>IFERROR(VLOOKUP($A96,Admission!$1:$998,3,0),"")</f>
        <v/>
      </c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1:21" ht="13" x14ac:dyDescent="0.15">
      <c r="A97" s="58"/>
      <c r="B97" s="59" t="str">
        <f>IFERROR(VLOOKUP($A97,Admission!$1:$998,4,0),"")</f>
        <v/>
      </c>
      <c r="C97" s="59" t="str">
        <f>IFERROR(VLOOKUP($A97,Admission!$1:$998,5,0),"")</f>
        <v/>
      </c>
      <c r="D97" s="59"/>
      <c r="E97" s="59" t="str">
        <f>IFERROR(VLOOKUP($A97,Admission!$1:$998,3,0),"")</f>
        <v/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1:21" ht="13" x14ac:dyDescent="0.15">
      <c r="A98" s="58"/>
      <c r="B98" s="59" t="str">
        <f>IFERROR(VLOOKUP($A98,Admission!$1:$998,4,0),"")</f>
        <v/>
      </c>
      <c r="C98" s="59" t="str">
        <f>IFERROR(VLOOKUP($A98,Admission!$1:$998,5,0),"")</f>
        <v/>
      </c>
      <c r="D98" s="59"/>
      <c r="E98" s="59" t="str">
        <f>IFERROR(VLOOKUP($A98,Admission!$1:$998,3,0),"")</f>
        <v/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1:21" ht="13" x14ac:dyDescent="0.15">
      <c r="A99" s="58"/>
      <c r="B99" s="59" t="str">
        <f>IFERROR(VLOOKUP($A99,Admission!$1:$998,4,0),"")</f>
        <v/>
      </c>
      <c r="C99" s="59" t="str">
        <f>IFERROR(VLOOKUP($A99,Admission!$1:$998,5,0),"")</f>
        <v/>
      </c>
      <c r="D99" s="59"/>
      <c r="E99" s="59" t="str">
        <f>IFERROR(VLOOKUP($A99,Admission!$1:$998,3,0),"")</f>
        <v/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1:21" ht="13" x14ac:dyDescent="0.15">
      <c r="A100" s="58"/>
      <c r="B100" s="59" t="str">
        <f>IFERROR(VLOOKUP($A100,Admission!$1:$998,4,0),"")</f>
        <v/>
      </c>
      <c r="C100" s="59" t="str">
        <f>IFERROR(VLOOKUP($A100,Admission!$1:$998,5,0),"")</f>
        <v/>
      </c>
      <c r="D100" s="59"/>
      <c r="E100" s="59" t="str">
        <f>IFERROR(VLOOKUP($A100,Admission!$1:$998,3,0),"")</f>
        <v/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1:21" ht="13" x14ac:dyDescent="0.15">
      <c r="A101" s="58"/>
      <c r="B101" s="59" t="str">
        <f>IFERROR(VLOOKUP($A101,Admission!$1:$998,4,0),"")</f>
        <v/>
      </c>
      <c r="C101" s="59" t="str">
        <f>IFERROR(VLOOKUP($A101,Admission!$1:$998,5,0),"")</f>
        <v/>
      </c>
      <c r="D101" s="59"/>
      <c r="E101" s="59" t="str">
        <f>IFERROR(VLOOKUP($A101,Admission!$1:$998,3,0),"")</f>
        <v/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1:21" ht="13" x14ac:dyDescent="0.15">
      <c r="A102" s="58"/>
      <c r="B102" s="59" t="str">
        <f>IFERROR(VLOOKUP($A102,Admission!$1:$998,4,0),"")</f>
        <v/>
      </c>
      <c r="C102" s="59" t="str">
        <f>IFERROR(VLOOKUP($A102,Admission!$1:$998,5,0),"")</f>
        <v/>
      </c>
      <c r="D102" s="59"/>
      <c r="E102" s="59" t="str">
        <f>IFERROR(VLOOKUP($A102,Admission!$1:$998,3,0),"")</f>
        <v/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1:21" ht="13" x14ac:dyDescent="0.15">
      <c r="A103" s="58"/>
      <c r="B103" s="59" t="str">
        <f>IFERROR(VLOOKUP($A103,Admission!$1:$998,4,0),"")</f>
        <v/>
      </c>
      <c r="C103" s="59" t="str">
        <f>IFERROR(VLOOKUP($A103,Admission!$1:$998,5,0),"")</f>
        <v/>
      </c>
      <c r="D103" s="59"/>
      <c r="E103" s="59" t="str">
        <f>IFERROR(VLOOKUP($A103,Admission!$1:$998,3,0),"")</f>
        <v/>
      </c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1:21" ht="13" x14ac:dyDescent="0.15">
      <c r="A104" s="58"/>
      <c r="B104" s="59" t="str">
        <f>IFERROR(VLOOKUP($A104,Admission!$1:$998,4,0),"")</f>
        <v/>
      </c>
      <c r="C104" s="59" t="str">
        <f>IFERROR(VLOOKUP($A104,Admission!$1:$998,5,0),"")</f>
        <v/>
      </c>
      <c r="D104" s="59"/>
      <c r="E104" s="59" t="str">
        <f>IFERROR(VLOOKUP($A104,Admission!$1:$998,3,0),"")</f>
        <v/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1:21" ht="13" x14ac:dyDescent="0.15">
      <c r="A105" s="58"/>
      <c r="B105" s="59" t="str">
        <f>IFERROR(VLOOKUP($A105,Admission!$1:$998,4,0),"")</f>
        <v/>
      </c>
      <c r="C105" s="59" t="str">
        <f>IFERROR(VLOOKUP($A105,Admission!$1:$998,5,0),"")</f>
        <v/>
      </c>
      <c r="D105" s="59"/>
      <c r="E105" s="59" t="str">
        <f>IFERROR(VLOOKUP($A105,Admission!$1:$998,3,0),"")</f>
        <v/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1:21" ht="13" x14ac:dyDescent="0.15">
      <c r="A106" s="58"/>
      <c r="B106" s="59" t="str">
        <f>IFERROR(VLOOKUP($A106,Admission!$1:$998,4,0),"")</f>
        <v/>
      </c>
      <c r="C106" s="59" t="str">
        <f>IFERROR(VLOOKUP($A106,Admission!$1:$998,5,0),"")</f>
        <v/>
      </c>
      <c r="D106" s="59"/>
      <c r="E106" s="59" t="str">
        <f>IFERROR(VLOOKUP($A106,Admission!$1:$998,3,0),"")</f>
        <v/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1:21" ht="13" x14ac:dyDescent="0.15">
      <c r="A107" s="58"/>
      <c r="B107" s="59" t="str">
        <f>IFERROR(VLOOKUP($A107,Admission!$1:$998,4,0),"")</f>
        <v/>
      </c>
      <c r="C107" s="59" t="str">
        <f>IFERROR(VLOOKUP($A107,Admission!$1:$998,5,0),"")</f>
        <v/>
      </c>
      <c r="D107" s="59"/>
      <c r="E107" s="59" t="str">
        <f>IFERROR(VLOOKUP($A107,Admission!$1:$998,3,0),"")</f>
        <v/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 ht="13" x14ac:dyDescent="0.15">
      <c r="A108" s="58"/>
      <c r="B108" s="59" t="str">
        <f>IFERROR(VLOOKUP($A108,Admission!$1:$998,4,0),"")</f>
        <v/>
      </c>
      <c r="C108" s="59" t="str">
        <f>IFERROR(VLOOKUP($A108,Admission!$1:$998,5,0),"")</f>
        <v/>
      </c>
      <c r="D108" s="59"/>
      <c r="E108" s="59" t="str">
        <f>IFERROR(VLOOKUP($A108,Admission!$1:$998,3,0),"")</f>
        <v/>
      </c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1:21" ht="13" x14ac:dyDescent="0.15">
      <c r="A109" s="58"/>
      <c r="B109" s="59" t="str">
        <f>IFERROR(VLOOKUP($A109,Admission!$1:$998,4,0),"")</f>
        <v/>
      </c>
      <c r="C109" s="59" t="str">
        <f>IFERROR(VLOOKUP($A109,Admission!$1:$998,5,0),"")</f>
        <v/>
      </c>
      <c r="D109" s="59"/>
      <c r="E109" s="59" t="str">
        <f>IFERROR(VLOOKUP($A109,Admission!$1:$998,3,0),"")</f>
        <v/>
      </c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1:21" ht="13" x14ac:dyDescent="0.15">
      <c r="A110" s="58"/>
      <c r="B110" s="59" t="str">
        <f>IFERROR(VLOOKUP($A110,Admission!$1:$998,4,0),"")</f>
        <v/>
      </c>
      <c r="C110" s="59" t="str">
        <f>IFERROR(VLOOKUP($A110,Admission!$1:$998,5,0),"")</f>
        <v/>
      </c>
      <c r="D110" s="59"/>
      <c r="E110" s="59" t="str">
        <f>IFERROR(VLOOKUP($A110,Admission!$1:$998,3,0),"")</f>
        <v/>
      </c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ht="13" x14ac:dyDescent="0.15">
      <c r="A111" s="58"/>
      <c r="B111" s="59" t="str">
        <f>IFERROR(VLOOKUP($A111,Admission!$1:$998,4,0),"")</f>
        <v/>
      </c>
      <c r="C111" s="59" t="str">
        <f>IFERROR(VLOOKUP($A111,Admission!$1:$998,5,0),"")</f>
        <v/>
      </c>
      <c r="D111" s="59"/>
      <c r="E111" s="59" t="str">
        <f>IFERROR(VLOOKUP($A111,Admission!$1:$998,3,0),"")</f>
        <v/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1:21" ht="13" x14ac:dyDescent="0.15">
      <c r="A112" s="58"/>
      <c r="B112" s="59" t="str">
        <f>IFERROR(VLOOKUP($A112,Admission!$1:$998,4,0),"")</f>
        <v/>
      </c>
      <c r="C112" s="59" t="str">
        <f>IFERROR(VLOOKUP($A112,Admission!$1:$998,5,0),"")</f>
        <v/>
      </c>
      <c r="D112" s="59"/>
      <c r="E112" s="59" t="str">
        <f>IFERROR(VLOOKUP($A112,Admission!$1:$998,3,0),"")</f>
        <v/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1:21" ht="13" x14ac:dyDescent="0.15">
      <c r="A113" s="58"/>
      <c r="B113" s="59" t="str">
        <f>IFERROR(VLOOKUP($A113,Admission!$1:$998,4,0),"")</f>
        <v/>
      </c>
      <c r="C113" s="59" t="str">
        <f>IFERROR(VLOOKUP($A113,Admission!$1:$998,5,0),"")</f>
        <v/>
      </c>
      <c r="D113" s="59"/>
      <c r="E113" s="59" t="str">
        <f>IFERROR(VLOOKUP($A113,Admission!$1:$998,3,0),"")</f>
        <v/>
      </c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1:21" ht="13" x14ac:dyDescent="0.15">
      <c r="A114" s="58"/>
      <c r="B114" s="59" t="str">
        <f>IFERROR(VLOOKUP($A114,Admission!$1:$998,4,0),"")</f>
        <v/>
      </c>
      <c r="C114" s="59" t="str">
        <f>IFERROR(VLOOKUP($A114,Admission!$1:$998,5,0),"")</f>
        <v/>
      </c>
      <c r="D114" s="59"/>
      <c r="E114" s="59" t="str">
        <f>IFERROR(VLOOKUP($A114,Admission!$1:$998,3,0),"")</f>
        <v/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1:21" ht="13" x14ac:dyDescent="0.15">
      <c r="A115" s="58"/>
      <c r="B115" s="59" t="str">
        <f>IFERROR(VLOOKUP($A115,Admission!$1:$998,4,0),"")</f>
        <v/>
      </c>
      <c r="C115" s="59" t="str">
        <f>IFERROR(VLOOKUP($A115,Admission!$1:$998,5,0),"")</f>
        <v/>
      </c>
      <c r="D115" s="59"/>
      <c r="E115" s="59" t="str">
        <f>IFERROR(VLOOKUP($A115,Admission!$1:$998,3,0),"")</f>
        <v/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1:21" ht="13" x14ac:dyDescent="0.15">
      <c r="A116" s="58"/>
      <c r="B116" s="59" t="str">
        <f>IFERROR(VLOOKUP($A116,Admission!$1:$998,4,0),"")</f>
        <v/>
      </c>
      <c r="C116" s="59" t="str">
        <f>IFERROR(VLOOKUP($A116,Admission!$1:$998,5,0),"")</f>
        <v/>
      </c>
      <c r="D116" s="59"/>
      <c r="E116" s="59" t="str">
        <f>IFERROR(VLOOKUP($A116,Admission!$1:$998,3,0),"")</f>
        <v/>
      </c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1:21" ht="13" x14ac:dyDescent="0.15">
      <c r="A117" s="58"/>
      <c r="B117" s="59" t="str">
        <f>IFERROR(VLOOKUP($A117,Admission!$1:$998,4,0),"")</f>
        <v/>
      </c>
      <c r="C117" s="59" t="str">
        <f>IFERROR(VLOOKUP($A117,Admission!$1:$998,5,0),"")</f>
        <v/>
      </c>
      <c r="D117" s="59"/>
      <c r="E117" s="59" t="str">
        <f>IFERROR(VLOOKUP($A117,Admission!$1:$998,3,0),"")</f>
        <v/>
      </c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1:21" ht="13" x14ac:dyDescent="0.15">
      <c r="A118" s="58"/>
      <c r="B118" s="59" t="str">
        <f>IFERROR(VLOOKUP($A118,Admission!$1:$998,4,0),"")</f>
        <v/>
      </c>
      <c r="C118" s="59" t="str">
        <f>IFERROR(VLOOKUP($A118,Admission!$1:$998,5,0),"")</f>
        <v/>
      </c>
      <c r="D118" s="59"/>
      <c r="E118" s="59" t="str">
        <f>IFERROR(VLOOKUP($A118,Admission!$1:$998,3,0),"")</f>
        <v/>
      </c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1:21" ht="13" x14ac:dyDescent="0.15">
      <c r="A119" s="58"/>
      <c r="B119" s="59" t="str">
        <f>IFERROR(VLOOKUP($A119,Admission!$1:$998,4,0),"")</f>
        <v/>
      </c>
      <c r="C119" s="59" t="str">
        <f>IFERROR(VLOOKUP($A119,Admission!$1:$998,5,0),"")</f>
        <v/>
      </c>
      <c r="D119" s="59"/>
      <c r="E119" s="59" t="str">
        <f>IFERROR(VLOOKUP($A119,Admission!$1:$998,3,0),"")</f>
        <v/>
      </c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1:21" ht="13" x14ac:dyDescent="0.15">
      <c r="A120" s="58"/>
      <c r="B120" s="59" t="str">
        <f>IFERROR(VLOOKUP($A120,Admission!$1:$998,4,0),"")</f>
        <v/>
      </c>
      <c r="C120" s="59" t="str">
        <f>IFERROR(VLOOKUP($A120,Admission!$1:$998,5,0),"")</f>
        <v/>
      </c>
      <c r="D120" s="59"/>
      <c r="E120" s="59" t="str">
        <f>IFERROR(VLOOKUP($A120,Admission!$1:$998,3,0),"")</f>
        <v/>
      </c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1:21" ht="13" x14ac:dyDescent="0.15">
      <c r="A121" s="58"/>
      <c r="B121" s="59" t="str">
        <f>IFERROR(VLOOKUP($A121,Admission!$1:$998,4,0),"")</f>
        <v/>
      </c>
      <c r="C121" s="59" t="str">
        <f>IFERROR(VLOOKUP($A121,Admission!$1:$998,5,0),"")</f>
        <v/>
      </c>
      <c r="D121" s="59"/>
      <c r="E121" s="59" t="str">
        <f>IFERROR(VLOOKUP($A121,Admission!$1:$998,3,0),"")</f>
        <v/>
      </c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1:21" ht="13" x14ac:dyDescent="0.15">
      <c r="A122" s="58"/>
      <c r="B122" s="59" t="str">
        <f>IFERROR(VLOOKUP($A122,Admission!$1:$998,4,0),"")</f>
        <v/>
      </c>
      <c r="C122" s="59" t="str">
        <f>IFERROR(VLOOKUP($A122,Admission!$1:$998,5,0),"")</f>
        <v/>
      </c>
      <c r="D122" s="59"/>
      <c r="E122" s="59" t="str">
        <f>IFERROR(VLOOKUP($A122,Admission!$1:$998,3,0),"")</f>
        <v/>
      </c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1:21" ht="13" x14ac:dyDescent="0.15">
      <c r="A123" s="62"/>
      <c r="B123" s="59" t="str">
        <f>IFERROR(VLOOKUP($A123,Admission!$1:$998,4,0),"")</f>
        <v/>
      </c>
      <c r="C123" s="59" t="str">
        <f>IFERROR(VLOOKUP($A123,Admission!$1:$998,5,0),"")</f>
        <v/>
      </c>
      <c r="D123" s="59"/>
      <c r="E123" s="59" t="str">
        <f>IFERROR(VLOOKUP($A123,Admission!$1:$998,3,0),"")</f>
        <v/>
      </c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1:21" ht="13" x14ac:dyDescent="0.15">
      <c r="A124" s="62"/>
      <c r="B124" s="59" t="str">
        <f>IFERROR(VLOOKUP($A124,Admission!$1:$998,4,0),"")</f>
        <v/>
      </c>
      <c r="C124" s="59" t="str">
        <f>IFERROR(VLOOKUP($A124,Admission!$1:$998,5,0),"")</f>
        <v/>
      </c>
      <c r="D124" s="59"/>
      <c r="E124" s="59" t="str">
        <f>IFERROR(VLOOKUP($A124,Admission!$1:$998,3,0),"")</f>
        <v/>
      </c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1:21" ht="13" x14ac:dyDescent="0.15">
      <c r="A125" s="62"/>
      <c r="B125" s="59" t="str">
        <f>IFERROR(VLOOKUP($A125,Admission!$1:$998,4,0),"")</f>
        <v/>
      </c>
      <c r="C125" s="59" t="str">
        <f>IFERROR(VLOOKUP($A125,Admission!$1:$998,5,0),"")</f>
        <v/>
      </c>
      <c r="D125" s="59"/>
      <c r="E125" s="59" t="str">
        <f>IFERROR(VLOOKUP($A125,Admission!$1:$998,3,0),"")</f>
        <v/>
      </c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1:21" ht="13" x14ac:dyDescent="0.15">
      <c r="A126" s="62"/>
      <c r="B126" s="59" t="str">
        <f>IFERROR(VLOOKUP($A126,Admission!$1:$998,4,0),"")</f>
        <v/>
      </c>
      <c r="C126" s="59" t="str">
        <f>IFERROR(VLOOKUP($A126,Admission!$1:$998,5,0),"")</f>
        <v/>
      </c>
      <c r="D126" s="59"/>
      <c r="E126" s="59" t="str">
        <f>IFERROR(VLOOKUP($A126,Admission!$1:$998,3,0),"")</f>
        <v/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1:21" ht="13" x14ac:dyDescent="0.15">
      <c r="A127" s="62"/>
      <c r="B127" s="59" t="str">
        <f>IFERROR(VLOOKUP($A127,Admission!$1:$998,4,0),"")</f>
        <v/>
      </c>
      <c r="C127" s="59" t="str">
        <f>IFERROR(VLOOKUP($A127,Admission!$1:$998,5,0),"")</f>
        <v/>
      </c>
      <c r="D127" s="59"/>
      <c r="E127" s="59" t="str">
        <f>IFERROR(VLOOKUP($A127,Admission!$1:$998,3,0),"")</f>
        <v/>
      </c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1:21" ht="13" x14ac:dyDescent="0.15">
      <c r="A128" s="62"/>
      <c r="B128" s="59" t="str">
        <f>IFERROR(VLOOKUP($A128,Admission!$1:$998,4,0),"")</f>
        <v/>
      </c>
      <c r="C128" s="59" t="str">
        <f>IFERROR(VLOOKUP($A128,Admission!$1:$998,5,0),"")</f>
        <v/>
      </c>
      <c r="D128" s="59"/>
      <c r="E128" s="59" t="str">
        <f>IFERROR(VLOOKUP($A128,Admission!$1:$998,3,0),"")</f>
        <v/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1:21" ht="13" x14ac:dyDescent="0.15">
      <c r="A129" s="62"/>
      <c r="B129" s="59" t="str">
        <f>IFERROR(VLOOKUP($A129,Admission!$1:$998,4,0),"")</f>
        <v/>
      </c>
      <c r="C129" s="59" t="str">
        <f>IFERROR(VLOOKUP($A129,Admission!$1:$998,5,0),"")</f>
        <v/>
      </c>
      <c r="D129" s="59"/>
      <c r="E129" s="59" t="str">
        <f>IFERROR(VLOOKUP($A129,Admission!$1:$998,3,0),"")</f>
        <v/>
      </c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1:21" ht="13" x14ac:dyDescent="0.15">
      <c r="A130" s="62"/>
      <c r="B130" s="59" t="str">
        <f>IFERROR(VLOOKUP($A130,Admission!$1:$998,4,0),"")</f>
        <v/>
      </c>
      <c r="C130" s="59" t="str">
        <f>IFERROR(VLOOKUP($A130,Admission!$1:$998,5,0),"")</f>
        <v/>
      </c>
      <c r="D130" s="59"/>
      <c r="E130" s="59" t="str">
        <f>IFERROR(VLOOKUP($A130,Admission!$1:$998,3,0),"")</f>
        <v/>
      </c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1:21" ht="13" x14ac:dyDescent="0.15">
      <c r="A131" s="62"/>
      <c r="B131" s="59" t="str">
        <f>IFERROR(VLOOKUP($A131,Admission!$1:$998,4,0),"")</f>
        <v/>
      </c>
      <c r="C131" s="59" t="str">
        <f>IFERROR(VLOOKUP($A131,Admission!$1:$998,5,0),"")</f>
        <v/>
      </c>
      <c r="D131" s="59"/>
      <c r="E131" s="59" t="str">
        <f>IFERROR(VLOOKUP($A131,Admission!$1:$998,3,0),"")</f>
        <v/>
      </c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1:21" ht="13" x14ac:dyDescent="0.15">
      <c r="A132" s="62"/>
      <c r="B132" s="59" t="str">
        <f>IFERROR(VLOOKUP($A132,Admission!$1:$998,4,0),"")</f>
        <v/>
      </c>
      <c r="C132" s="59" t="str">
        <f>IFERROR(VLOOKUP($A132,Admission!$1:$998,5,0),"")</f>
        <v/>
      </c>
      <c r="D132" s="59"/>
      <c r="E132" s="59" t="str">
        <f>IFERROR(VLOOKUP($A132,Admission!$1:$998,3,0),"")</f>
        <v/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1:21" ht="13" x14ac:dyDescent="0.15">
      <c r="A133" s="62"/>
      <c r="B133" s="59" t="str">
        <f>IFERROR(VLOOKUP($A133,Admission!$1:$998,4,0),"")</f>
        <v/>
      </c>
      <c r="C133" s="59" t="str">
        <f>IFERROR(VLOOKUP($A133,Admission!$1:$998,5,0),"")</f>
        <v/>
      </c>
      <c r="D133" s="59"/>
      <c r="E133" s="59" t="str">
        <f>IFERROR(VLOOKUP($A133,Admission!$1:$998,3,0),"")</f>
        <v/>
      </c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1:21" ht="13" x14ac:dyDescent="0.15">
      <c r="A134" s="62"/>
      <c r="B134" s="59" t="str">
        <f>IFERROR(VLOOKUP($A134,Admission!$1:$998,4,0),"")</f>
        <v/>
      </c>
      <c r="C134" s="59" t="str">
        <f>IFERROR(VLOOKUP($A134,Admission!$1:$998,5,0),"")</f>
        <v/>
      </c>
      <c r="D134" s="59"/>
      <c r="E134" s="59" t="str">
        <f>IFERROR(VLOOKUP($A134,Admission!$1:$998,3,0),"")</f>
        <v/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1:21" ht="13" x14ac:dyDescent="0.15">
      <c r="A135" s="62"/>
      <c r="B135" s="59" t="str">
        <f>IFERROR(VLOOKUP($A135,Admission!$1:$998,4,0),"")</f>
        <v/>
      </c>
      <c r="C135" s="59" t="str">
        <f>IFERROR(VLOOKUP($A135,Admission!$1:$998,5,0),"")</f>
        <v/>
      </c>
      <c r="D135" s="59"/>
      <c r="E135" s="59" t="str">
        <f>IFERROR(VLOOKUP($A135,Admission!$1:$998,3,0),"")</f>
        <v/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1:21" ht="13" x14ac:dyDescent="0.15">
      <c r="A136" s="62"/>
      <c r="B136" s="59" t="str">
        <f>IFERROR(VLOOKUP($A136,Admission!$1:$998,4,0),"")</f>
        <v/>
      </c>
      <c r="C136" s="59" t="str">
        <f>IFERROR(VLOOKUP($A136,Admission!$1:$998,5,0),"")</f>
        <v/>
      </c>
      <c r="D136" s="59"/>
      <c r="E136" s="59" t="str">
        <f>IFERROR(VLOOKUP($A136,Admission!$1:$998,3,0),"")</f>
        <v/>
      </c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1:21" ht="13" x14ac:dyDescent="0.15">
      <c r="A137" s="62"/>
      <c r="B137" s="59" t="str">
        <f>IFERROR(VLOOKUP($A137,Admission!$1:$998,4,0),"")</f>
        <v/>
      </c>
      <c r="C137" s="59" t="str">
        <f>IFERROR(VLOOKUP($A137,Admission!$1:$998,5,0),"")</f>
        <v/>
      </c>
      <c r="D137" s="59"/>
      <c r="E137" s="59" t="str">
        <f>IFERROR(VLOOKUP($A137,Admission!$1:$998,3,0),"")</f>
        <v/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1:21" ht="13" x14ac:dyDescent="0.15">
      <c r="A138" s="62"/>
      <c r="B138" s="59" t="str">
        <f>IFERROR(VLOOKUP($A138,Admission!$1:$998,4,0),"")</f>
        <v/>
      </c>
      <c r="C138" s="59" t="str">
        <f>IFERROR(VLOOKUP($A138,Admission!$1:$998,5,0),"")</f>
        <v/>
      </c>
      <c r="D138" s="59"/>
      <c r="E138" s="59" t="str">
        <f>IFERROR(VLOOKUP($A138,Admission!$1:$998,3,0),"")</f>
        <v/>
      </c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1:21" ht="13" x14ac:dyDescent="0.15">
      <c r="A139" s="62"/>
      <c r="B139" s="59" t="str">
        <f>IFERROR(VLOOKUP($A139,Admission!$1:$998,4,0),"")</f>
        <v/>
      </c>
      <c r="C139" s="59" t="str">
        <f>IFERROR(VLOOKUP($A139,Admission!$1:$998,5,0),"")</f>
        <v/>
      </c>
      <c r="D139" s="59"/>
      <c r="E139" s="59" t="str">
        <f>IFERROR(VLOOKUP($A139,Admission!$1:$998,3,0),"")</f>
        <v/>
      </c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1:21" ht="13" x14ac:dyDescent="0.15">
      <c r="A140" s="62"/>
      <c r="B140" s="59" t="str">
        <f>IFERROR(VLOOKUP($A140,Admission!$1:$998,4,0),"")</f>
        <v/>
      </c>
      <c r="C140" s="59" t="str">
        <f>IFERROR(VLOOKUP($A140,Admission!$1:$998,5,0),"")</f>
        <v/>
      </c>
      <c r="D140" s="59"/>
      <c r="E140" s="59" t="str">
        <f>IFERROR(VLOOKUP($A140,Admission!$1:$998,3,0),"")</f>
        <v/>
      </c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1:21" ht="13" x14ac:dyDescent="0.15">
      <c r="A141" s="62"/>
      <c r="B141" s="59" t="str">
        <f>IFERROR(VLOOKUP($A141,Admission!$1:$998,4,0),"")</f>
        <v/>
      </c>
      <c r="C141" s="59" t="str">
        <f>IFERROR(VLOOKUP($A141,Admission!$1:$998,5,0),"")</f>
        <v/>
      </c>
      <c r="D141" s="59"/>
      <c r="E141" s="59" t="str">
        <f>IFERROR(VLOOKUP($A141,Admission!$1:$998,3,0),"")</f>
        <v/>
      </c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1:21" ht="13" x14ac:dyDescent="0.15">
      <c r="A142" s="62"/>
      <c r="B142" s="59" t="str">
        <f>IFERROR(VLOOKUP($A142,Admission!$1:$998,4,0),"")</f>
        <v/>
      </c>
      <c r="C142" s="59" t="str">
        <f>IFERROR(VLOOKUP($A142,Admission!$1:$998,5,0),"")</f>
        <v/>
      </c>
      <c r="D142" s="59"/>
      <c r="E142" s="59" t="str">
        <f>IFERROR(VLOOKUP($A142,Admission!$1:$998,3,0),"")</f>
        <v/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1:21" ht="13" x14ac:dyDescent="0.15">
      <c r="A143" s="62"/>
      <c r="B143" s="59" t="str">
        <f>IFERROR(VLOOKUP($A143,Admission!$1:$998,4,0),"")</f>
        <v/>
      </c>
      <c r="C143" s="59" t="str">
        <f>IFERROR(VLOOKUP($A143,Admission!$1:$998,5,0),"")</f>
        <v/>
      </c>
      <c r="D143" s="59"/>
      <c r="E143" s="59" t="str">
        <f>IFERROR(VLOOKUP($A143,Admission!$1:$998,3,0),"")</f>
        <v/>
      </c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1:21" ht="13" x14ac:dyDescent="0.15">
      <c r="A144" s="62"/>
      <c r="B144" s="59" t="str">
        <f>IFERROR(VLOOKUP($A144,Admission!$1:$998,4,0),"")</f>
        <v/>
      </c>
      <c r="C144" s="59" t="str">
        <f>IFERROR(VLOOKUP($A144,Admission!$1:$998,5,0),"")</f>
        <v/>
      </c>
      <c r="D144" s="59"/>
      <c r="E144" s="59" t="str">
        <f>IFERROR(VLOOKUP($A144,Admission!$1:$998,3,0),"")</f>
        <v/>
      </c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1:21" ht="13" x14ac:dyDescent="0.15">
      <c r="A145" s="62"/>
      <c r="B145" s="59" t="str">
        <f>IFERROR(VLOOKUP($A145,Admission!$1:$998,4,0),"")</f>
        <v/>
      </c>
      <c r="C145" s="59" t="str">
        <f>IFERROR(VLOOKUP($A145,Admission!$1:$998,5,0),"")</f>
        <v/>
      </c>
      <c r="D145" s="59"/>
      <c r="E145" s="59" t="str">
        <f>IFERROR(VLOOKUP($A145,Admission!$1:$998,3,0),"")</f>
        <v/>
      </c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spans="1:21" ht="13" x14ac:dyDescent="0.15">
      <c r="A146" s="62"/>
      <c r="B146" s="59" t="str">
        <f>IFERROR(VLOOKUP($A146,Admission!$1:$998,4,0),"")</f>
        <v/>
      </c>
      <c r="C146" s="59" t="str">
        <f>IFERROR(VLOOKUP($A146,Admission!$1:$998,5,0),"")</f>
        <v/>
      </c>
      <c r="D146" s="59"/>
      <c r="E146" s="59" t="str">
        <f>IFERROR(VLOOKUP($A146,Admission!$1:$998,3,0),"")</f>
        <v/>
      </c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1:21" ht="13" x14ac:dyDescent="0.15">
      <c r="A147" s="62"/>
      <c r="B147" s="59" t="str">
        <f>IFERROR(VLOOKUP($A147,Admission!$1:$998,4,0),"")</f>
        <v/>
      </c>
      <c r="C147" s="59" t="str">
        <f>IFERROR(VLOOKUP($A147,Admission!$1:$998,5,0),"")</f>
        <v/>
      </c>
      <c r="D147" s="59"/>
      <c r="E147" s="59" t="str">
        <f>IFERROR(VLOOKUP($A147,Admission!$1:$998,3,0),"")</f>
        <v/>
      </c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spans="1:21" ht="13" x14ac:dyDescent="0.15">
      <c r="A148" s="62"/>
      <c r="B148" s="59" t="str">
        <f>IFERROR(VLOOKUP($A148,Admission!$1:$998,4,0),"")</f>
        <v/>
      </c>
      <c r="C148" s="59" t="str">
        <f>IFERROR(VLOOKUP($A148,Admission!$1:$998,5,0),"")</f>
        <v/>
      </c>
      <c r="D148" s="59"/>
      <c r="E148" s="59" t="str">
        <f>IFERROR(VLOOKUP($A148,Admission!$1:$998,3,0),"")</f>
        <v/>
      </c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1:21" ht="13" x14ac:dyDescent="0.15">
      <c r="A149" s="62"/>
      <c r="B149" s="59" t="str">
        <f>IFERROR(VLOOKUP($A149,Admission!$1:$998,4,0),"")</f>
        <v/>
      </c>
      <c r="C149" s="59" t="str">
        <f>IFERROR(VLOOKUP($A149,Admission!$1:$998,5,0),"")</f>
        <v/>
      </c>
      <c r="D149" s="59"/>
      <c r="E149" s="59" t="str">
        <f>IFERROR(VLOOKUP($A149,Admission!$1:$998,3,0),"")</f>
        <v/>
      </c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1:21" ht="13" x14ac:dyDescent="0.15">
      <c r="A150" s="62"/>
      <c r="B150" s="59" t="str">
        <f>IFERROR(VLOOKUP($A150,Admission!$1:$998,4,0),"")</f>
        <v/>
      </c>
      <c r="C150" s="59" t="str">
        <f>IFERROR(VLOOKUP($A150,Admission!$1:$998,5,0),"")</f>
        <v/>
      </c>
      <c r="D150" s="59"/>
      <c r="E150" s="59" t="str">
        <f>IFERROR(VLOOKUP($A150,Admission!$1:$998,3,0),"")</f>
        <v/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spans="1:21" ht="13" x14ac:dyDescent="0.15">
      <c r="A151" s="62"/>
      <c r="E151" s="23" t="str">
        <f>IFERROR(VLOOKUP($A151,Admission!150:1145,3,0),"")</f>
        <v/>
      </c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 spans="1:21" ht="13" x14ac:dyDescent="0.15">
      <c r="A152" s="62"/>
      <c r="E152" s="23" t="str">
        <f>IFERROR(VLOOKUP($A152,Admission!151:1146,3,0),"")</f>
        <v/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 spans="1:21" ht="13" x14ac:dyDescent="0.15">
      <c r="A153" s="62"/>
      <c r="E153" s="23" t="str">
        <f>IFERROR(VLOOKUP($A153,Admission!152:1147,3,0),"")</f>
        <v/>
      </c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 spans="1:21" ht="13" x14ac:dyDescent="0.15">
      <c r="A154" s="62"/>
      <c r="E154" s="23" t="str">
        <f>IFERROR(VLOOKUP($A154,Admission!153:1148,3,0),"")</f>
        <v/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 spans="1:21" ht="13" x14ac:dyDescent="0.15">
      <c r="A155" s="62"/>
      <c r="E155" s="23" t="str">
        <f>IFERROR(VLOOKUP($A155,Admission!154:1149,3,0),"")</f>
        <v/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 spans="1:21" ht="13" x14ac:dyDescent="0.15">
      <c r="A156" s="62"/>
      <c r="E156" s="23" t="str">
        <f>IFERROR(VLOOKUP($A156,Admission!155:1150,3,0),"")</f>
        <v/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 spans="1:21" ht="13" x14ac:dyDescent="0.15">
      <c r="A157" s="62"/>
      <c r="E157" s="23" t="str">
        <f>IFERROR(VLOOKUP($A157,Admission!156:1151,3,0),"")</f>
        <v/>
      </c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 spans="1:21" ht="13" x14ac:dyDescent="0.15">
      <c r="A158" s="62"/>
      <c r="E158" s="23" t="str">
        <f>IFERROR(VLOOKUP($A158,Admission!157:1152,3,0),"")</f>
        <v/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 spans="1:21" ht="13" x14ac:dyDescent="0.15">
      <c r="A159" s="62"/>
      <c r="E159" s="23" t="str">
        <f>IFERROR(VLOOKUP($A159,Admission!158:1153,3,0),"")</f>
        <v/>
      </c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 spans="1:21" ht="13" x14ac:dyDescent="0.15">
      <c r="A160" s="62"/>
      <c r="E160" s="23" t="str">
        <f>IFERROR(VLOOKUP($A160,Admission!159:1154,3,0),"")</f>
        <v/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</row>
    <row r="161" spans="1:21" ht="13" x14ac:dyDescent="0.15">
      <c r="A161" s="62"/>
      <c r="E161" s="23" t="str">
        <f>IFERROR(VLOOKUP($A161,Admission!160:1155,3,0),"")</f>
        <v/>
      </c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 spans="1:21" ht="13" x14ac:dyDescent="0.15">
      <c r="A162" s="62"/>
      <c r="E162" s="23" t="str">
        <f>IFERROR(VLOOKUP($A162,Admission!161:1156,3,0),"")</f>
        <v/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</row>
    <row r="163" spans="1:21" ht="13" x14ac:dyDescent="0.15">
      <c r="A163" s="62"/>
      <c r="E163" s="23" t="str">
        <f>IFERROR(VLOOKUP($A163,Admission!162:1157,3,0),"")</f>
        <v/>
      </c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 spans="1:21" ht="13" x14ac:dyDescent="0.15">
      <c r="A164" s="62"/>
      <c r="E164" s="23" t="str">
        <f>IFERROR(VLOOKUP($A164,Admission!163:1158,3,0),"")</f>
        <v/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 spans="1:21" ht="13" x14ac:dyDescent="0.15">
      <c r="A165" s="62"/>
      <c r="E165" s="23" t="str">
        <f>IFERROR(VLOOKUP($A165,Admission!164:1159,3,0),"")</f>
        <v/>
      </c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 spans="1:21" ht="13" x14ac:dyDescent="0.15">
      <c r="A166" s="62"/>
      <c r="E166" s="23" t="str">
        <f>IFERROR(VLOOKUP($A166,Admission!165:1160,3,0),"")</f>
        <v/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</row>
    <row r="167" spans="1:21" ht="13" x14ac:dyDescent="0.15">
      <c r="A167" s="62"/>
      <c r="E167" s="23" t="str">
        <f>IFERROR(VLOOKUP($A167,Admission!166:1161,3,0),"")</f>
        <v/>
      </c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</row>
    <row r="168" spans="1:21" ht="13" x14ac:dyDescent="0.15">
      <c r="A168" s="62"/>
      <c r="E168" s="23" t="str">
        <f>IFERROR(VLOOKUP($A168,Admission!167:1162,3,0),"")</f>
        <v/>
      </c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</row>
    <row r="169" spans="1:21" ht="13" x14ac:dyDescent="0.15">
      <c r="A169" s="62"/>
      <c r="E169" s="23" t="str">
        <f>IFERROR(VLOOKUP($A169,Admission!168:1163,3,0),"")</f>
        <v/>
      </c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</row>
    <row r="170" spans="1:21" ht="13" x14ac:dyDescent="0.15">
      <c r="A170" s="62"/>
      <c r="E170" s="23" t="str">
        <f>IFERROR(VLOOKUP($A170,Admission!169:1164,3,0),"")</f>
        <v/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 spans="1:21" ht="13" x14ac:dyDescent="0.15">
      <c r="A171" s="62"/>
      <c r="E171" s="23" t="str">
        <f>IFERROR(VLOOKUP($A171,Admission!170:1165,3,0),"")</f>
        <v/>
      </c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</row>
    <row r="172" spans="1:21" ht="13" x14ac:dyDescent="0.15">
      <c r="A172" s="62"/>
      <c r="E172" s="23" t="str">
        <f>IFERROR(VLOOKUP($A172,Admission!171:1166,3,0),"")</f>
        <v/>
      </c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</row>
    <row r="173" spans="1:21" ht="13" x14ac:dyDescent="0.15">
      <c r="A173" s="62"/>
      <c r="E173" s="23" t="str">
        <f>IFERROR(VLOOKUP($A173,Admission!172:1167,3,0),"")</f>
        <v/>
      </c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</row>
    <row r="174" spans="1:21" ht="13" x14ac:dyDescent="0.15">
      <c r="A174" s="62"/>
      <c r="E174" s="23" t="str">
        <f>IFERROR(VLOOKUP($A174,Admission!173:1168,3,0),"")</f>
        <v/>
      </c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 spans="1:21" ht="13" x14ac:dyDescent="0.15">
      <c r="A175" s="62"/>
      <c r="E175" s="23" t="str">
        <f>IFERROR(VLOOKUP($A175,Admission!174:1169,3,0),"")</f>
        <v/>
      </c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 spans="1:21" ht="13" x14ac:dyDescent="0.15">
      <c r="A176" s="62"/>
      <c r="E176" s="23" t="str">
        <f>IFERROR(VLOOKUP($A176,Admission!175:1170,3,0),"")</f>
        <v/>
      </c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spans="1:21" ht="13" x14ac:dyDescent="0.15">
      <c r="A177" s="62"/>
      <c r="E177" s="23" t="str">
        <f>IFERROR(VLOOKUP($A177,Admission!176:1171,3,0),"")</f>
        <v/>
      </c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spans="1:21" ht="13" x14ac:dyDescent="0.15">
      <c r="A178" s="62"/>
      <c r="E178" s="23" t="str">
        <f>IFERROR(VLOOKUP($A178,Admission!177:1172,3,0),"")</f>
        <v/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</row>
    <row r="179" spans="1:21" ht="13" x14ac:dyDescent="0.15">
      <c r="A179" s="62"/>
      <c r="E179" s="23" t="str">
        <f>IFERROR(VLOOKUP($A179,Admission!178:1173,3,0),"")</f>
        <v/>
      </c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</row>
    <row r="180" spans="1:21" ht="13" x14ac:dyDescent="0.15">
      <c r="A180" s="62"/>
      <c r="E180" s="23" t="str">
        <f>IFERROR(VLOOKUP($A180,Admission!178:1174,3,0),"")</f>
        <v/>
      </c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spans="1:21" ht="13" x14ac:dyDescent="0.15">
      <c r="A181" s="62"/>
      <c r="E181" s="23" t="str">
        <f>IFERROR(VLOOKUP($A181,Admission!178:1175,3,0),"")</f>
        <v/>
      </c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 spans="1:21" ht="13" x14ac:dyDescent="0.15">
      <c r="A182" s="62"/>
      <c r="E182" s="23" t="str">
        <f>IFERROR(VLOOKUP($A182,Admission!178:1176,3,0),"")</f>
        <v/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</row>
    <row r="183" spans="1:21" ht="13" x14ac:dyDescent="0.15">
      <c r="A183" s="62"/>
      <c r="E183" s="23" t="str">
        <f>IFERROR(VLOOKUP($A183,Admission!178:1177,3,0),"")</f>
        <v/>
      </c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</row>
    <row r="184" spans="1:21" ht="13" x14ac:dyDescent="0.15">
      <c r="A184" s="62"/>
      <c r="E184" s="23" t="str">
        <f>IFERROR(VLOOKUP($A184,Admission!179:1178,3,0),"")</f>
        <v/>
      </c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</row>
    <row r="185" spans="1:21" ht="13" x14ac:dyDescent="0.15">
      <c r="A185" s="62"/>
      <c r="E185" s="23" t="str">
        <f>IFERROR(VLOOKUP($A185,Admission!180:1179,3,0),"")</f>
        <v/>
      </c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</row>
    <row r="186" spans="1:21" ht="13" x14ac:dyDescent="0.15">
      <c r="A186" s="62"/>
      <c r="E186" s="23" t="str">
        <f>IFERROR(VLOOKUP($A186,Admission!181:1180,3,0),"")</f>
        <v/>
      </c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</row>
    <row r="187" spans="1:21" ht="13" x14ac:dyDescent="0.15">
      <c r="A187" s="62"/>
      <c r="E187" s="23" t="str">
        <f>IFERROR(VLOOKUP($A187,Admission!182:1181,3,0),"")</f>
        <v/>
      </c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</row>
    <row r="188" spans="1:21" ht="13" x14ac:dyDescent="0.15">
      <c r="A188" s="62"/>
      <c r="E188" s="23" t="str">
        <f>IFERROR(VLOOKUP($A188,Admission!183:1182,3,0),"")</f>
        <v/>
      </c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</row>
    <row r="189" spans="1:21" ht="13" x14ac:dyDescent="0.15">
      <c r="A189" s="62"/>
      <c r="E189" s="23" t="str">
        <f>IFERROR(VLOOKUP($A189,Admission!184:1183,3,0),"")</f>
        <v/>
      </c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</row>
    <row r="190" spans="1:21" ht="13" x14ac:dyDescent="0.15">
      <c r="A190" s="62"/>
      <c r="E190" s="23" t="str">
        <f>IFERROR(VLOOKUP($A190,Admission!181:1184,3,0),"")</f>
        <v/>
      </c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</row>
    <row r="191" spans="1:21" ht="13" x14ac:dyDescent="0.15">
      <c r="A191" s="62"/>
      <c r="E191" s="23" t="str">
        <f>IFERROR(VLOOKUP($A191,Admission!178:1185,3,0),"")</f>
        <v/>
      </c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</row>
    <row r="192" spans="1:21" ht="13" x14ac:dyDescent="0.15">
      <c r="A192" s="62"/>
      <c r="E192" s="23" t="str">
        <f>IFERROR(VLOOKUP($A192,Admission!179:1186,3,0),"")</f>
        <v/>
      </c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</row>
    <row r="193" spans="1:21" ht="13" x14ac:dyDescent="0.15">
      <c r="A193" s="6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</row>
    <row r="194" spans="1:21" ht="13" x14ac:dyDescent="0.15">
      <c r="A194" s="6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</row>
    <row r="195" spans="1:21" ht="13" x14ac:dyDescent="0.15">
      <c r="A195" s="6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</row>
    <row r="196" spans="1:21" ht="13" x14ac:dyDescent="0.15">
      <c r="A196" s="6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</row>
    <row r="197" spans="1:21" ht="13" x14ac:dyDescent="0.15">
      <c r="A197" s="6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</row>
    <row r="198" spans="1:21" ht="13" x14ac:dyDescent="0.15">
      <c r="A198" s="6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</row>
    <row r="199" spans="1:21" ht="13" x14ac:dyDescent="0.15">
      <c r="A199" s="6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</row>
    <row r="200" spans="1:21" ht="13" x14ac:dyDescent="0.15">
      <c r="A200" s="6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</row>
    <row r="201" spans="1:21" ht="13" x14ac:dyDescent="0.15">
      <c r="A201" s="6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</row>
    <row r="202" spans="1:21" ht="13" x14ac:dyDescent="0.15">
      <c r="A202" s="6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</row>
    <row r="203" spans="1:21" ht="13" x14ac:dyDescent="0.15">
      <c r="A203" s="6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</row>
    <row r="204" spans="1:21" ht="13" x14ac:dyDescent="0.15">
      <c r="A204" s="6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</row>
    <row r="205" spans="1:21" ht="13" x14ac:dyDescent="0.15">
      <c r="A205" s="6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</row>
    <row r="206" spans="1:21" ht="13" x14ac:dyDescent="0.15">
      <c r="A206" s="6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</row>
    <row r="207" spans="1:21" ht="13" x14ac:dyDescent="0.15">
      <c r="A207" s="6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</row>
    <row r="208" spans="1:21" ht="13" x14ac:dyDescent="0.15">
      <c r="A208" s="6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</row>
    <row r="209" spans="1:21" ht="13" x14ac:dyDescent="0.15">
      <c r="A209" s="6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</row>
    <row r="210" spans="1:21" ht="13" x14ac:dyDescent="0.15">
      <c r="A210" s="6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</row>
    <row r="211" spans="1:21" ht="13" x14ac:dyDescent="0.15">
      <c r="A211" s="6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</row>
    <row r="212" spans="1:21" ht="13" x14ac:dyDescent="0.15">
      <c r="A212" s="6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</row>
    <row r="213" spans="1:21" ht="13" x14ac:dyDescent="0.15">
      <c r="A213" s="6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</row>
    <row r="214" spans="1:21" ht="13" x14ac:dyDescent="0.15">
      <c r="A214" s="6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</row>
    <row r="215" spans="1:21" ht="13" x14ac:dyDescent="0.15">
      <c r="A215" s="6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</row>
    <row r="216" spans="1:21" ht="13" x14ac:dyDescent="0.15">
      <c r="A216" s="6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</row>
    <row r="217" spans="1:21" ht="13" x14ac:dyDescent="0.15">
      <c r="A217" s="6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</row>
    <row r="218" spans="1:21" ht="13" x14ac:dyDescent="0.15">
      <c r="A218" s="6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</row>
    <row r="219" spans="1:21" ht="13" x14ac:dyDescent="0.15">
      <c r="A219" s="6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</row>
    <row r="220" spans="1:21" ht="13" x14ac:dyDescent="0.15">
      <c r="A220" s="6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</row>
    <row r="221" spans="1:21" ht="13" x14ac:dyDescent="0.15">
      <c r="A221" s="6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</row>
    <row r="222" spans="1:21" ht="13" x14ac:dyDescent="0.15">
      <c r="A222" s="6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</row>
    <row r="223" spans="1:21" ht="13" x14ac:dyDescent="0.15">
      <c r="A223" s="6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</row>
    <row r="224" spans="1:21" ht="13" x14ac:dyDescent="0.15">
      <c r="A224" s="6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</row>
    <row r="225" spans="1:21" ht="13" x14ac:dyDescent="0.15">
      <c r="A225" s="6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</row>
    <row r="226" spans="1:21" ht="13" x14ac:dyDescent="0.15">
      <c r="A226" s="6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</row>
    <row r="227" spans="1:21" ht="13" x14ac:dyDescent="0.15">
      <c r="A227" s="6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</row>
    <row r="228" spans="1:21" ht="13" x14ac:dyDescent="0.15">
      <c r="A228" s="6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</row>
    <row r="229" spans="1:21" ht="13" x14ac:dyDescent="0.15">
      <c r="A229" s="6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</row>
    <row r="230" spans="1:21" ht="13" x14ac:dyDescent="0.15">
      <c r="A230" s="6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</row>
    <row r="231" spans="1:21" ht="13" x14ac:dyDescent="0.15">
      <c r="A231" s="6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</row>
    <row r="232" spans="1:21" ht="13" x14ac:dyDescent="0.15">
      <c r="A232" s="6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</row>
    <row r="233" spans="1:21" ht="13" x14ac:dyDescent="0.15">
      <c r="A233" s="6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</row>
    <row r="234" spans="1:21" ht="13" x14ac:dyDescent="0.15">
      <c r="A234" s="6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</row>
    <row r="235" spans="1:21" ht="13" x14ac:dyDescent="0.15">
      <c r="A235" s="6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</row>
    <row r="236" spans="1:21" ht="13" x14ac:dyDescent="0.15">
      <c r="A236" s="6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</row>
    <row r="237" spans="1:21" ht="13" x14ac:dyDescent="0.15">
      <c r="A237" s="6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</row>
    <row r="238" spans="1:21" ht="13" x14ac:dyDescent="0.15">
      <c r="A238" s="6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</row>
    <row r="239" spans="1:21" ht="13" x14ac:dyDescent="0.15">
      <c r="A239" s="6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</row>
    <row r="240" spans="1:21" ht="13" x14ac:dyDescent="0.15">
      <c r="A240" s="6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</row>
    <row r="241" spans="1:21" ht="13" x14ac:dyDescent="0.15">
      <c r="A241" s="6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</row>
    <row r="242" spans="1:21" ht="13" x14ac:dyDescent="0.15">
      <c r="A242" s="6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</row>
    <row r="243" spans="1:21" ht="13" x14ac:dyDescent="0.15">
      <c r="A243" s="6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</row>
    <row r="244" spans="1:21" ht="13" x14ac:dyDescent="0.15">
      <c r="A244" s="6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</row>
    <row r="245" spans="1:21" ht="13" x14ac:dyDescent="0.15">
      <c r="A245" s="6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</row>
    <row r="246" spans="1:21" ht="13" x14ac:dyDescent="0.15">
      <c r="A246" s="6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</row>
    <row r="247" spans="1:21" ht="13" x14ac:dyDescent="0.15">
      <c r="A247" s="6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</row>
    <row r="248" spans="1:21" ht="13" x14ac:dyDescent="0.15">
      <c r="A248" s="6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</row>
    <row r="249" spans="1:21" ht="13" x14ac:dyDescent="0.15">
      <c r="A249" s="6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</row>
    <row r="250" spans="1:21" ht="13" x14ac:dyDescent="0.15">
      <c r="A250" s="6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</row>
    <row r="251" spans="1:21" ht="13" x14ac:dyDescent="0.15">
      <c r="A251" s="6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</row>
    <row r="252" spans="1:21" ht="13" x14ac:dyDescent="0.15">
      <c r="A252" s="6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</row>
    <row r="253" spans="1:21" ht="13" x14ac:dyDescent="0.15">
      <c r="A253" s="6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</row>
    <row r="254" spans="1:21" ht="13" x14ac:dyDescent="0.15">
      <c r="A254" s="6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</row>
    <row r="255" spans="1:21" ht="13" x14ac:dyDescent="0.15">
      <c r="A255" s="6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</row>
    <row r="256" spans="1:21" ht="13" x14ac:dyDescent="0.15">
      <c r="A256" s="6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</row>
    <row r="257" spans="1:21" ht="13" x14ac:dyDescent="0.15">
      <c r="A257" s="6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</row>
    <row r="258" spans="1:21" ht="13" x14ac:dyDescent="0.15">
      <c r="A258" s="6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</row>
    <row r="259" spans="1:21" ht="13" x14ac:dyDescent="0.15">
      <c r="A259" s="6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</row>
    <row r="260" spans="1:21" ht="13" x14ac:dyDescent="0.15">
      <c r="A260" s="6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</row>
    <row r="261" spans="1:21" ht="13" x14ac:dyDescent="0.15">
      <c r="A261" s="6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</row>
    <row r="262" spans="1:21" ht="13" x14ac:dyDescent="0.15">
      <c r="A262" s="6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</row>
    <row r="263" spans="1:21" ht="13" x14ac:dyDescent="0.15">
      <c r="A263" s="6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</row>
    <row r="264" spans="1:21" ht="13" x14ac:dyDescent="0.15">
      <c r="A264" s="6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</row>
    <row r="265" spans="1:21" ht="13" x14ac:dyDescent="0.15">
      <c r="A265" s="6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</row>
    <row r="266" spans="1:21" ht="13" x14ac:dyDescent="0.15">
      <c r="A266" s="6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</row>
    <row r="267" spans="1:21" ht="13" x14ac:dyDescent="0.15">
      <c r="A267" s="6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</row>
    <row r="268" spans="1:21" ht="13" x14ac:dyDescent="0.15">
      <c r="A268" s="6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</row>
    <row r="269" spans="1:21" ht="13" x14ac:dyDescent="0.15">
      <c r="A269" s="6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</row>
    <row r="270" spans="1:21" ht="13" x14ac:dyDescent="0.15">
      <c r="A270" s="6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</row>
    <row r="271" spans="1:21" ht="13" x14ac:dyDescent="0.15">
      <c r="A271" s="6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</row>
    <row r="272" spans="1:21" ht="13" x14ac:dyDescent="0.15">
      <c r="A272" s="6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</row>
    <row r="273" spans="1:21" ht="13" x14ac:dyDescent="0.15">
      <c r="A273" s="6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</row>
    <row r="274" spans="1:21" ht="13" x14ac:dyDescent="0.15">
      <c r="A274" s="6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</row>
    <row r="275" spans="1:21" ht="13" x14ac:dyDescent="0.15">
      <c r="A275" s="6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</row>
    <row r="276" spans="1:21" ht="13" x14ac:dyDescent="0.15">
      <c r="A276" s="6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</row>
    <row r="277" spans="1:21" ht="13" x14ac:dyDescent="0.15">
      <c r="A277" s="6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</row>
    <row r="278" spans="1:21" ht="13" x14ac:dyDescent="0.15">
      <c r="A278" s="6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</row>
    <row r="279" spans="1:21" ht="13" x14ac:dyDescent="0.15">
      <c r="A279" s="6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</row>
    <row r="280" spans="1:21" ht="13" x14ac:dyDescent="0.15">
      <c r="A280" s="6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</row>
    <row r="281" spans="1:21" ht="13" x14ac:dyDescent="0.15">
      <c r="A281" s="6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</row>
    <row r="282" spans="1:21" ht="13" x14ac:dyDescent="0.15">
      <c r="A282" s="6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</row>
    <row r="283" spans="1:21" ht="13" x14ac:dyDescent="0.15">
      <c r="A283" s="6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</row>
    <row r="284" spans="1:21" ht="13" x14ac:dyDescent="0.15">
      <c r="A284" s="6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</row>
    <row r="285" spans="1:21" ht="13" x14ac:dyDescent="0.15">
      <c r="A285" s="6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</row>
    <row r="286" spans="1:21" ht="13" x14ac:dyDescent="0.15">
      <c r="A286" s="6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</row>
    <row r="287" spans="1:21" ht="13" x14ac:dyDescent="0.15">
      <c r="A287" s="6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</row>
    <row r="288" spans="1:21" ht="13" x14ac:dyDescent="0.15">
      <c r="A288" s="6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</row>
    <row r="289" spans="1:21" ht="13" x14ac:dyDescent="0.15">
      <c r="A289" s="6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</row>
    <row r="290" spans="1:21" ht="13" x14ac:dyDescent="0.15">
      <c r="A290" s="6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</row>
    <row r="291" spans="1:21" ht="13" x14ac:dyDescent="0.15">
      <c r="A291" s="6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</row>
    <row r="292" spans="1:21" ht="13" x14ac:dyDescent="0.15">
      <c r="A292" s="6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</row>
    <row r="293" spans="1:21" ht="13" x14ac:dyDescent="0.15">
      <c r="A293" s="6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</row>
    <row r="294" spans="1:21" ht="13" x14ac:dyDescent="0.15">
      <c r="A294" s="6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</row>
    <row r="295" spans="1:21" ht="13" x14ac:dyDescent="0.15">
      <c r="A295" s="6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</row>
    <row r="296" spans="1:21" ht="13" x14ac:dyDescent="0.15">
      <c r="A296" s="6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</row>
    <row r="297" spans="1:21" ht="13" x14ac:dyDescent="0.15">
      <c r="A297" s="6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</row>
    <row r="298" spans="1:21" ht="13" x14ac:dyDescent="0.15">
      <c r="A298" s="6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</row>
    <row r="299" spans="1:21" ht="13" x14ac:dyDescent="0.15">
      <c r="A299" s="6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</row>
    <row r="300" spans="1:21" ht="13" x14ac:dyDescent="0.15">
      <c r="A300" s="6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</row>
    <row r="301" spans="1:21" ht="13" x14ac:dyDescent="0.15">
      <c r="A301" s="6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</row>
    <row r="302" spans="1:21" ht="13" x14ac:dyDescent="0.15">
      <c r="A302" s="6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</row>
    <row r="303" spans="1:21" ht="13" x14ac:dyDescent="0.15">
      <c r="A303" s="6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</row>
    <row r="304" spans="1:21" ht="13" x14ac:dyDescent="0.15">
      <c r="A304" s="6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</row>
    <row r="305" spans="1:21" ht="13" x14ac:dyDescent="0.15">
      <c r="A305" s="6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</row>
    <row r="306" spans="1:21" ht="13" x14ac:dyDescent="0.15">
      <c r="A306" s="6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</row>
    <row r="307" spans="1:21" ht="13" x14ac:dyDescent="0.15">
      <c r="A307" s="6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</row>
    <row r="308" spans="1:21" ht="13" x14ac:dyDescent="0.15">
      <c r="A308" s="6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</row>
    <row r="309" spans="1:21" ht="13" x14ac:dyDescent="0.15">
      <c r="A309" s="6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</row>
    <row r="310" spans="1:21" ht="13" x14ac:dyDescent="0.15">
      <c r="A310" s="6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</row>
    <row r="311" spans="1:21" ht="13" x14ac:dyDescent="0.15">
      <c r="A311" s="6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</row>
    <row r="312" spans="1:21" ht="13" x14ac:dyDescent="0.15">
      <c r="A312" s="6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</row>
    <row r="313" spans="1:21" ht="13" x14ac:dyDescent="0.15">
      <c r="A313" s="6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</row>
    <row r="314" spans="1:21" ht="13" x14ac:dyDescent="0.15">
      <c r="A314" s="6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</row>
    <row r="315" spans="1:21" ht="13" x14ac:dyDescent="0.15">
      <c r="A315" s="6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</row>
    <row r="316" spans="1:21" ht="13" x14ac:dyDescent="0.15">
      <c r="A316" s="6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</row>
    <row r="317" spans="1:21" ht="13" x14ac:dyDescent="0.15">
      <c r="A317" s="6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</row>
    <row r="318" spans="1:21" ht="13" x14ac:dyDescent="0.15">
      <c r="A318" s="6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</row>
    <row r="319" spans="1:21" ht="13" x14ac:dyDescent="0.15">
      <c r="A319" s="6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</row>
    <row r="320" spans="1:21" ht="13" x14ac:dyDescent="0.15">
      <c r="A320" s="6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</row>
    <row r="321" spans="1:21" ht="13" x14ac:dyDescent="0.15">
      <c r="A321" s="6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</row>
    <row r="322" spans="1:21" ht="13" x14ac:dyDescent="0.15">
      <c r="A322" s="6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</row>
    <row r="323" spans="1:21" ht="13" x14ac:dyDescent="0.15">
      <c r="A323" s="6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</row>
    <row r="324" spans="1:21" ht="13" x14ac:dyDescent="0.15">
      <c r="A324" s="6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</row>
    <row r="325" spans="1:21" ht="13" x14ac:dyDescent="0.15">
      <c r="A325" s="6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</row>
    <row r="326" spans="1:21" ht="13" x14ac:dyDescent="0.15">
      <c r="A326" s="6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</row>
    <row r="327" spans="1:21" ht="13" x14ac:dyDescent="0.15">
      <c r="A327" s="6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</row>
    <row r="328" spans="1:21" ht="13" x14ac:dyDescent="0.15">
      <c r="A328" s="6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</row>
    <row r="329" spans="1:21" ht="13" x14ac:dyDescent="0.15">
      <c r="A329" s="6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</row>
    <row r="330" spans="1:21" ht="13" x14ac:dyDescent="0.15">
      <c r="A330" s="6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</row>
    <row r="331" spans="1:21" ht="13" x14ac:dyDescent="0.15">
      <c r="A331" s="6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</row>
    <row r="332" spans="1:21" ht="13" x14ac:dyDescent="0.15">
      <c r="A332" s="6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</row>
    <row r="333" spans="1:21" ht="13" x14ac:dyDescent="0.15">
      <c r="A333" s="6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</row>
    <row r="334" spans="1:21" ht="13" x14ac:dyDescent="0.15">
      <c r="A334" s="6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</row>
    <row r="335" spans="1:21" ht="13" x14ac:dyDescent="0.15">
      <c r="A335" s="6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</row>
    <row r="336" spans="1:21" ht="13" x14ac:dyDescent="0.15">
      <c r="A336" s="6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</row>
    <row r="337" spans="1:21" ht="13" x14ac:dyDescent="0.15">
      <c r="A337" s="6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</row>
    <row r="338" spans="1:21" ht="13" x14ac:dyDescent="0.15">
      <c r="A338" s="6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</row>
    <row r="339" spans="1:21" ht="13" x14ac:dyDescent="0.15">
      <c r="A339" s="6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</row>
    <row r="340" spans="1:21" ht="13" x14ac:dyDescent="0.15">
      <c r="A340" s="6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</row>
    <row r="341" spans="1:21" ht="13" x14ac:dyDescent="0.15">
      <c r="A341" s="6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</row>
    <row r="342" spans="1:21" ht="13" x14ac:dyDescent="0.15">
      <c r="A342" s="6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</row>
    <row r="343" spans="1:21" ht="13" x14ac:dyDescent="0.15">
      <c r="A343" s="6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</row>
    <row r="344" spans="1:21" ht="13" x14ac:dyDescent="0.15">
      <c r="A344" s="6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</row>
    <row r="345" spans="1:21" ht="13" x14ac:dyDescent="0.15">
      <c r="A345" s="6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</row>
    <row r="346" spans="1:21" ht="13" x14ac:dyDescent="0.15">
      <c r="A346" s="6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</row>
    <row r="347" spans="1:21" ht="13" x14ac:dyDescent="0.15">
      <c r="A347" s="6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</row>
    <row r="348" spans="1:21" ht="13" x14ac:dyDescent="0.15">
      <c r="A348" s="6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</row>
    <row r="349" spans="1:21" ht="13" x14ac:dyDescent="0.15">
      <c r="A349" s="6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</row>
    <row r="350" spans="1:21" ht="13" x14ac:dyDescent="0.15">
      <c r="A350" s="6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</row>
    <row r="351" spans="1:21" ht="13" x14ac:dyDescent="0.15">
      <c r="A351" s="6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</row>
    <row r="352" spans="1:21" ht="13" x14ac:dyDescent="0.15">
      <c r="A352" s="6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</row>
    <row r="353" spans="1:21" ht="13" x14ac:dyDescent="0.15">
      <c r="A353" s="6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</row>
    <row r="354" spans="1:21" ht="13" x14ac:dyDescent="0.15">
      <c r="A354" s="6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</row>
    <row r="355" spans="1:21" ht="13" x14ac:dyDescent="0.15">
      <c r="A355" s="6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</row>
    <row r="356" spans="1:21" ht="13" x14ac:dyDescent="0.15">
      <c r="A356" s="6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</row>
    <row r="357" spans="1:21" ht="13" x14ac:dyDescent="0.15">
      <c r="A357" s="6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</row>
    <row r="358" spans="1:21" ht="13" x14ac:dyDescent="0.15">
      <c r="A358" s="6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</row>
    <row r="359" spans="1:21" ht="13" x14ac:dyDescent="0.15">
      <c r="A359" s="6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</row>
    <row r="360" spans="1:21" ht="13" x14ac:dyDescent="0.15">
      <c r="A360" s="6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</row>
    <row r="361" spans="1:21" ht="13" x14ac:dyDescent="0.15">
      <c r="A361" s="6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</row>
    <row r="362" spans="1:21" ht="13" x14ac:dyDescent="0.15">
      <c r="A362" s="6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</row>
    <row r="363" spans="1:21" ht="13" x14ac:dyDescent="0.15">
      <c r="A363" s="6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</row>
    <row r="364" spans="1:21" ht="13" x14ac:dyDescent="0.15">
      <c r="A364" s="6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</row>
    <row r="365" spans="1:21" ht="13" x14ac:dyDescent="0.15">
      <c r="A365" s="6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</row>
    <row r="366" spans="1:21" ht="13" x14ac:dyDescent="0.15">
      <c r="A366" s="6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</row>
    <row r="367" spans="1:21" ht="13" x14ac:dyDescent="0.15">
      <c r="A367" s="6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</row>
    <row r="368" spans="1:21" ht="13" x14ac:dyDescent="0.15">
      <c r="A368" s="6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</row>
    <row r="369" spans="1:21" ht="13" x14ac:dyDescent="0.15">
      <c r="A369" s="6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</row>
    <row r="370" spans="1:21" ht="13" x14ac:dyDescent="0.15">
      <c r="A370" s="6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</row>
    <row r="371" spans="1:21" ht="13" x14ac:dyDescent="0.15">
      <c r="A371" s="6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</row>
    <row r="372" spans="1:21" ht="13" x14ac:dyDescent="0.15">
      <c r="A372" s="6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</row>
    <row r="373" spans="1:21" ht="13" x14ac:dyDescent="0.15">
      <c r="A373" s="6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</row>
    <row r="374" spans="1:21" ht="13" x14ac:dyDescent="0.15">
      <c r="A374" s="6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</row>
    <row r="375" spans="1:21" ht="13" x14ac:dyDescent="0.15">
      <c r="A375" s="6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</row>
    <row r="376" spans="1:21" ht="13" x14ac:dyDescent="0.15">
      <c r="A376" s="6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</row>
    <row r="377" spans="1:21" ht="13" x14ac:dyDescent="0.15">
      <c r="A377" s="6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</row>
    <row r="378" spans="1:21" ht="13" x14ac:dyDescent="0.15">
      <c r="A378" s="6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</row>
    <row r="379" spans="1:21" ht="13" x14ac:dyDescent="0.15">
      <c r="A379" s="6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</row>
    <row r="380" spans="1:21" ht="13" x14ac:dyDescent="0.15">
      <c r="A380" s="6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</row>
    <row r="381" spans="1:21" ht="13" x14ac:dyDescent="0.15">
      <c r="A381" s="6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</row>
    <row r="382" spans="1:21" ht="13" x14ac:dyDescent="0.15">
      <c r="A382" s="6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</row>
    <row r="383" spans="1:21" ht="13" x14ac:dyDescent="0.15">
      <c r="A383" s="6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</row>
    <row r="384" spans="1:21" ht="13" x14ac:dyDescent="0.15">
      <c r="A384" s="6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</row>
    <row r="385" spans="1:21" ht="13" x14ac:dyDescent="0.15">
      <c r="A385" s="6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</row>
    <row r="386" spans="1:21" ht="13" x14ac:dyDescent="0.15">
      <c r="A386" s="6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</row>
    <row r="387" spans="1:21" ht="13" x14ac:dyDescent="0.15">
      <c r="A387" s="6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</row>
    <row r="388" spans="1:21" ht="13" x14ac:dyDescent="0.15">
      <c r="A388" s="6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</row>
    <row r="389" spans="1:21" ht="13" x14ac:dyDescent="0.15">
      <c r="A389" s="6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</row>
    <row r="390" spans="1:21" ht="13" x14ac:dyDescent="0.15">
      <c r="A390" s="6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</row>
    <row r="391" spans="1:21" ht="13" x14ac:dyDescent="0.15">
      <c r="A391" s="6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</row>
    <row r="392" spans="1:21" ht="13" x14ac:dyDescent="0.15">
      <c r="A392" s="6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</row>
    <row r="393" spans="1:21" ht="13" x14ac:dyDescent="0.15">
      <c r="A393" s="6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</row>
    <row r="394" spans="1:21" ht="13" x14ac:dyDescent="0.15">
      <c r="A394" s="6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</row>
    <row r="395" spans="1:21" ht="13" x14ac:dyDescent="0.15">
      <c r="A395" s="6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</row>
    <row r="396" spans="1:21" ht="13" x14ac:dyDescent="0.15">
      <c r="A396" s="6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</row>
    <row r="397" spans="1:21" ht="13" x14ac:dyDescent="0.15">
      <c r="A397" s="6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</row>
    <row r="398" spans="1:21" ht="13" x14ac:dyDescent="0.15">
      <c r="A398" s="6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</row>
    <row r="399" spans="1:21" ht="13" x14ac:dyDescent="0.15">
      <c r="A399" s="6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</row>
    <row r="400" spans="1:21" ht="13" x14ac:dyDescent="0.15">
      <c r="A400" s="6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</row>
    <row r="401" spans="1:21" ht="13" x14ac:dyDescent="0.15">
      <c r="A401" s="6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</row>
    <row r="402" spans="1:21" ht="13" x14ac:dyDescent="0.15">
      <c r="A402" s="6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</row>
    <row r="403" spans="1:21" ht="13" x14ac:dyDescent="0.15">
      <c r="A403" s="6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</row>
    <row r="404" spans="1:21" ht="13" x14ac:dyDescent="0.15">
      <c r="A404" s="6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</row>
    <row r="405" spans="1:21" ht="13" x14ac:dyDescent="0.15">
      <c r="A405" s="6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</row>
    <row r="406" spans="1:21" ht="13" x14ac:dyDescent="0.15">
      <c r="A406" s="6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</row>
    <row r="407" spans="1:21" ht="13" x14ac:dyDescent="0.15">
      <c r="A407" s="6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</row>
    <row r="408" spans="1:21" ht="13" x14ac:dyDescent="0.15">
      <c r="A408" s="6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</row>
    <row r="409" spans="1:21" ht="13" x14ac:dyDescent="0.15">
      <c r="A409" s="6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</row>
    <row r="410" spans="1:21" ht="13" x14ac:dyDescent="0.15">
      <c r="A410" s="6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</row>
    <row r="411" spans="1:21" ht="13" x14ac:dyDescent="0.15">
      <c r="A411" s="6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</row>
    <row r="412" spans="1:21" ht="13" x14ac:dyDescent="0.15">
      <c r="A412" s="6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</row>
    <row r="413" spans="1:21" ht="13" x14ac:dyDescent="0.15">
      <c r="A413" s="6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</row>
    <row r="414" spans="1:21" ht="13" x14ac:dyDescent="0.15">
      <c r="A414" s="6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</row>
    <row r="415" spans="1:21" ht="13" x14ac:dyDescent="0.15">
      <c r="A415" s="6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</row>
    <row r="416" spans="1:21" ht="13" x14ac:dyDescent="0.15">
      <c r="A416" s="6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</row>
    <row r="417" spans="1:21" ht="13" x14ac:dyDescent="0.15">
      <c r="A417" s="6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</row>
    <row r="418" spans="1:21" ht="13" x14ac:dyDescent="0.15">
      <c r="A418" s="6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</row>
    <row r="419" spans="1:21" ht="13" x14ac:dyDescent="0.15">
      <c r="A419" s="6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</row>
    <row r="420" spans="1:21" ht="13" x14ac:dyDescent="0.15">
      <c r="A420" s="6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</row>
    <row r="421" spans="1:21" ht="13" x14ac:dyDescent="0.15">
      <c r="A421" s="6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</row>
    <row r="422" spans="1:21" ht="13" x14ac:dyDescent="0.15">
      <c r="A422" s="6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</row>
    <row r="423" spans="1:21" ht="13" x14ac:dyDescent="0.15">
      <c r="A423" s="6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</row>
    <row r="424" spans="1:21" ht="13" x14ac:dyDescent="0.15">
      <c r="A424" s="6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</row>
    <row r="425" spans="1:21" ht="13" x14ac:dyDescent="0.15">
      <c r="A425" s="6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</row>
    <row r="426" spans="1:21" ht="13" x14ac:dyDescent="0.15">
      <c r="A426" s="6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</row>
    <row r="427" spans="1:21" ht="13" x14ac:dyDescent="0.15">
      <c r="A427" s="6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</row>
    <row r="428" spans="1:21" ht="13" x14ac:dyDescent="0.15">
      <c r="A428" s="6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</row>
    <row r="429" spans="1:21" ht="13" x14ac:dyDescent="0.15">
      <c r="A429" s="6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</row>
    <row r="430" spans="1:21" ht="13" x14ac:dyDescent="0.15">
      <c r="A430" s="6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</row>
    <row r="431" spans="1:21" ht="13" x14ac:dyDescent="0.15">
      <c r="A431" s="6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</row>
    <row r="432" spans="1:21" ht="13" x14ac:dyDescent="0.15">
      <c r="A432" s="6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</row>
    <row r="433" spans="1:21" ht="13" x14ac:dyDescent="0.15">
      <c r="A433" s="6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</row>
    <row r="434" spans="1:21" ht="13" x14ac:dyDescent="0.15">
      <c r="A434" s="6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</row>
    <row r="435" spans="1:21" ht="13" x14ac:dyDescent="0.15">
      <c r="A435" s="6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</row>
    <row r="436" spans="1:21" ht="13" x14ac:dyDescent="0.15">
      <c r="A436" s="6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</row>
    <row r="437" spans="1:21" ht="13" x14ac:dyDescent="0.15">
      <c r="A437" s="6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</row>
    <row r="438" spans="1:21" ht="13" x14ac:dyDescent="0.15">
      <c r="A438" s="6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</row>
    <row r="439" spans="1:21" ht="13" x14ac:dyDescent="0.15">
      <c r="A439" s="6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</row>
    <row r="440" spans="1:21" ht="13" x14ac:dyDescent="0.15">
      <c r="A440" s="6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</row>
    <row r="441" spans="1:21" ht="13" x14ac:dyDescent="0.15">
      <c r="A441" s="6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</row>
    <row r="442" spans="1:21" ht="13" x14ac:dyDescent="0.15">
      <c r="A442" s="6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</row>
    <row r="443" spans="1:21" ht="13" x14ac:dyDescent="0.15">
      <c r="A443" s="6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</row>
    <row r="444" spans="1:21" ht="13" x14ac:dyDescent="0.15">
      <c r="A444" s="6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</row>
    <row r="445" spans="1:21" ht="13" x14ac:dyDescent="0.15">
      <c r="A445" s="6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</row>
    <row r="446" spans="1:21" ht="13" x14ac:dyDescent="0.15">
      <c r="A446" s="6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</row>
    <row r="447" spans="1:21" ht="13" x14ac:dyDescent="0.15">
      <c r="A447" s="6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</row>
    <row r="448" spans="1:21" ht="13" x14ac:dyDescent="0.15">
      <c r="A448" s="6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</row>
    <row r="449" spans="1:21" ht="13" x14ac:dyDescent="0.15">
      <c r="A449" s="6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</row>
    <row r="450" spans="1:21" ht="13" x14ac:dyDescent="0.15">
      <c r="A450" s="6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</row>
    <row r="451" spans="1:21" ht="13" x14ac:dyDescent="0.15">
      <c r="A451" s="6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</row>
    <row r="452" spans="1:21" ht="13" x14ac:dyDescent="0.15">
      <c r="A452" s="6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</row>
    <row r="453" spans="1:21" ht="13" x14ac:dyDescent="0.15">
      <c r="A453" s="6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</row>
    <row r="454" spans="1:21" ht="13" x14ac:dyDescent="0.15">
      <c r="A454" s="6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</row>
    <row r="455" spans="1:21" ht="13" x14ac:dyDescent="0.15">
      <c r="A455" s="6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</row>
    <row r="456" spans="1:21" ht="13" x14ac:dyDescent="0.15">
      <c r="A456" s="6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</row>
    <row r="457" spans="1:21" ht="13" x14ac:dyDescent="0.15">
      <c r="A457" s="6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</row>
    <row r="458" spans="1:21" ht="13" x14ac:dyDescent="0.15">
      <c r="A458" s="6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</row>
    <row r="459" spans="1:21" ht="13" x14ac:dyDescent="0.15">
      <c r="A459" s="6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</row>
    <row r="460" spans="1:21" ht="13" x14ac:dyDescent="0.15">
      <c r="A460" s="6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</row>
    <row r="461" spans="1:21" ht="13" x14ac:dyDescent="0.15">
      <c r="A461" s="6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</row>
    <row r="462" spans="1:21" ht="13" x14ac:dyDescent="0.15">
      <c r="A462" s="6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</row>
    <row r="463" spans="1:21" ht="13" x14ac:dyDescent="0.15">
      <c r="A463" s="6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</row>
    <row r="464" spans="1:21" ht="13" x14ac:dyDescent="0.15">
      <c r="A464" s="6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</row>
    <row r="465" spans="1:21" ht="13" x14ac:dyDescent="0.15">
      <c r="A465" s="6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</row>
    <row r="466" spans="1:21" ht="13" x14ac:dyDescent="0.15">
      <c r="A466" s="6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</row>
    <row r="467" spans="1:21" ht="13" x14ac:dyDescent="0.15">
      <c r="A467" s="6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</row>
    <row r="468" spans="1:21" ht="13" x14ac:dyDescent="0.15">
      <c r="A468" s="6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</row>
    <row r="469" spans="1:21" ht="13" x14ac:dyDescent="0.15">
      <c r="A469" s="6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</row>
    <row r="470" spans="1:21" ht="13" x14ac:dyDescent="0.15">
      <c r="A470" s="6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</row>
    <row r="471" spans="1:21" ht="13" x14ac:dyDescent="0.15">
      <c r="A471" s="6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</row>
    <row r="472" spans="1:21" ht="13" x14ac:dyDescent="0.15">
      <c r="A472" s="6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</row>
    <row r="473" spans="1:21" ht="13" x14ac:dyDescent="0.15">
      <c r="A473" s="6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</row>
    <row r="474" spans="1:21" ht="13" x14ac:dyDescent="0.15">
      <c r="A474" s="6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</row>
    <row r="475" spans="1:21" ht="13" x14ac:dyDescent="0.15">
      <c r="A475" s="6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</row>
    <row r="476" spans="1:21" ht="13" x14ac:dyDescent="0.15">
      <c r="A476" s="6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</row>
    <row r="477" spans="1:21" ht="13" x14ac:dyDescent="0.15">
      <c r="A477" s="6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</row>
    <row r="478" spans="1:21" ht="13" x14ac:dyDescent="0.15">
      <c r="A478" s="6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</row>
    <row r="479" spans="1:21" ht="13" x14ac:dyDescent="0.15">
      <c r="A479" s="6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</row>
    <row r="480" spans="1:21" ht="13" x14ac:dyDescent="0.15">
      <c r="A480" s="6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</row>
    <row r="481" spans="1:21" ht="13" x14ac:dyDescent="0.15">
      <c r="A481" s="6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</row>
    <row r="482" spans="1:21" ht="13" x14ac:dyDescent="0.15">
      <c r="A482" s="6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</row>
    <row r="483" spans="1:21" ht="13" x14ac:dyDescent="0.15">
      <c r="A483" s="6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</row>
    <row r="484" spans="1:21" ht="13" x14ac:dyDescent="0.15">
      <c r="A484" s="6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</row>
    <row r="485" spans="1:21" ht="13" x14ac:dyDescent="0.15">
      <c r="A485" s="6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</row>
    <row r="486" spans="1:21" ht="13" x14ac:dyDescent="0.15">
      <c r="A486" s="6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</row>
    <row r="487" spans="1:21" ht="13" x14ac:dyDescent="0.15">
      <c r="A487" s="6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</row>
    <row r="488" spans="1:21" ht="13" x14ac:dyDescent="0.15">
      <c r="A488" s="6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</row>
    <row r="489" spans="1:21" ht="13" x14ac:dyDescent="0.15">
      <c r="A489" s="6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</row>
    <row r="490" spans="1:21" ht="13" x14ac:dyDescent="0.15">
      <c r="A490" s="6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</row>
    <row r="491" spans="1:21" ht="13" x14ac:dyDescent="0.15">
      <c r="A491" s="6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</row>
    <row r="492" spans="1:21" ht="13" x14ac:dyDescent="0.15">
      <c r="A492" s="6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</row>
    <row r="493" spans="1:21" ht="13" x14ac:dyDescent="0.15">
      <c r="A493" s="6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</row>
    <row r="494" spans="1:21" ht="13" x14ac:dyDescent="0.15">
      <c r="A494" s="6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</row>
    <row r="495" spans="1:21" ht="13" x14ac:dyDescent="0.15">
      <c r="A495" s="6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</row>
    <row r="496" spans="1:21" ht="13" x14ac:dyDescent="0.15">
      <c r="A496" s="6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</row>
    <row r="497" spans="1:21" ht="13" x14ac:dyDescent="0.15">
      <c r="A497" s="6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</row>
    <row r="498" spans="1:21" ht="13" x14ac:dyDescent="0.15">
      <c r="A498" s="6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</row>
    <row r="499" spans="1:21" ht="13" x14ac:dyDescent="0.15">
      <c r="A499" s="6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</row>
    <row r="500" spans="1:21" ht="13" x14ac:dyDescent="0.15">
      <c r="A500" s="6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</row>
    <row r="501" spans="1:21" ht="13" x14ac:dyDescent="0.15">
      <c r="A501" s="6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</row>
    <row r="502" spans="1:21" ht="13" x14ac:dyDescent="0.15">
      <c r="A502" s="6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</row>
    <row r="503" spans="1:21" ht="13" x14ac:dyDescent="0.15">
      <c r="A503" s="6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</row>
    <row r="504" spans="1:21" ht="13" x14ac:dyDescent="0.15">
      <c r="A504" s="6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</row>
    <row r="505" spans="1:21" ht="13" x14ac:dyDescent="0.15">
      <c r="A505" s="6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</row>
    <row r="506" spans="1:21" ht="13" x14ac:dyDescent="0.15">
      <c r="A506" s="6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</row>
    <row r="507" spans="1:21" ht="13" x14ac:dyDescent="0.15">
      <c r="A507" s="6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</row>
    <row r="508" spans="1:21" ht="13" x14ac:dyDescent="0.15">
      <c r="A508" s="6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</row>
    <row r="509" spans="1:21" ht="13" x14ac:dyDescent="0.15">
      <c r="A509" s="6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</row>
    <row r="510" spans="1:21" ht="13" x14ac:dyDescent="0.15">
      <c r="A510" s="6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</row>
    <row r="511" spans="1:21" ht="13" x14ac:dyDescent="0.15">
      <c r="A511" s="6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</row>
    <row r="512" spans="1:21" ht="13" x14ac:dyDescent="0.15">
      <c r="A512" s="6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</row>
    <row r="513" spans="1:21" ht="13" x14ac:dyDescent="0.15">
      <c r="A513" s="6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</row>
    <row r="514" spans="1:21" ht="13" x14ac:dyDescent="0.15">
      <c r="A514" s="6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</row>
    <row r="515" spans="1:21" ht="13" x14ac:dyDescent="0.15">
      <c r="A515" s="6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</row>
    <row r="516" spans="1:21" ht="13" x14ac:dyDescent="0.15">
      <c r="A516" s="6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</row>
    <row r="517" spans="1:21" ht="13" x14ac:dyDescent="0.15">
      <c r="A517" s="6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</row>
    <row r="518" spans="1:21" ht="13" x14ac:dyDescent="0.15">
      <c r="A518" s="6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</row>
    <row r="519" spans="1:21" ht="13" x14ac:dyDescent="0.15">
      <c r="A519" s="6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</row>
    <row r="520" spans="1:21" ht="13" x14ac:dyDescent="0.15">
      <c r="A520" s="6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</row>
    <row r="521" spans="1:21" ht="13" x14ac:dyDescent="0.15">
      <c r="A521" s="6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</row>
    <row r="522" spans="1:21" ht="13" x14ac:dyDescent="0.15">
      <c r="A522" s="6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</row>
    <row r="523" spans="1:21" ht="13" x14ac:dyDescent="0.15">
      <c r="A523" s="6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</row>
    <row r="524" spans="1:21" ht="13" x14ac:dyDescent="0.15">
      <c r="A524" s="6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</row>
    <row r="525" spans="1:21" ht="13" x14ac:dyDescent="0.15">
      <c r="A525" s="6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</row>
    <row r="526" spans="1:21" ht="13" x14ac:dyDescent="0.15">
      <c r="A526" s="6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</row>
    <row r="527" spans="1:21" ht="13" x14ac:dyDescent="0.15">
      <c r="A527" s="6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</row>
    <row r="528" spans="1:21" ht="13" x14ac:dyDescent="0.15">
      <c r="A528" s="6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</row>
    <row r="529" spans="1:21" ht="13" x14ac:dyDescent="0.15">
      <c r="A529" s="6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</row>
    <row r="530" spans="1:21" ht="13" x14ac:dyDescent="0.15">
      <c r="A530" s="6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</row>
    <row r="531" spans="1:21" ht="13" x14ac:dyDescent="0.15">
      <c r="A531" s="6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</row>
    <row r="532" spans="1:21" ht="13" x14ac:dyDescent="0.15">
      <c r="A532" s="6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</row>
    <row r="533" spans="1:21" ht="13" x14ac:dyDescent="0.15">
      <c r="A533" s="6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</row>
    <row r="534" spans="1:21" ht="13" x14ac:dyDescent="0.15">
      <c r="A534" s="6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</row>
    <row r="535" spans="1:21" ht="13" x14ac:dyDescent="0.15">
      <c r="A535" s="6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</row>
    <row r="536" spans="1:21" ht="13" x14ac:dyDescent="0.15">
      <c r="A536" s="6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</row>
    <row r="537" spans="1:21" ht="13" x14ac:dyDescent="0.15">
      <c r="A537" s="6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</row>
    <row r="538" spans="1:21" ht="13" x14ac:dyDescent="0.15">
      <c r="A538" s="6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</row>
    <row r="539" spans="1:21" ht="13" x14ac:dyDescent="0.15">
      <c r="A539" s="6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</row>
    <row r="540" spans="1:21" ht="13" x14ac:dyDescent="0.15">
      <c r="A540" s="6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</row>
    <row r="541" spans="1:21" ht="13" x14ac:dyDescent="0.15">
      <c r="A541" s="6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</row>
    <row r="542" spans="1:21" ht="13" x14ac:dyDescent="0.15">
      <c r="A542" s="6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</row>
    <row r="543" spans="1:21" ht="13" x14ac:dyDescent="0.15">
      <c r="A543" s="6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</row>
    <row r="544" spans="1:21" ht="13" x14ac:dyDescent="0.15">
      <c r="A544" s="6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</row>
    <row r="545" spans="1:21" ht="13" x14ac:dyDescent="0.15">
      <c r="A545" s="6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</row>
    <row r="546" spans="1:21" ht="13" x14ac:dyDescent="0.15">
      <c r="A546" s="6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</row>
    <row r="547" spans="1:21" ht="13" x14ac:dyDescent="0.15">
      <c r="A547" s="6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</row>
    <row r="548" spans="1:21" ht="13" x14ac:dyDescent="0.15">
      <c r="A548" s="6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</row>
    <row r="549" spans="1:21" ht="13" x14ac:dyDescent="0.15">
      <c r="A549" s="6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</row>
    <row r="550" spans="1:21" ht="13" x14ac:dyDescent="0.15">
      <c r="A550" s="6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</row>
    <row r="551" spans="1:21" ht="13" x14ac:dyDescent="0.15">
      <c r="A551" s="6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</row>
    <row r="552" spans="1:21" ht="13" x14ac:dyDescent="0.15">
      <c r="A552" s="6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</row>
    <row r="553" spans="1:21" ht="13" x14ac:dyDescent="0.15">
      <c r="A553" s="6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</row>
    <row r="554" spans="1:21" ht="13" x14ac:dyDescent="0.15">
      <c r="A554" s="6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</row>
    <row r="555" spans="1:21" ht="13" x14ac:dyDescent="0.15">
      <c r="A555" s="6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</row>
    <row r="556" spans="1:21" ht="13" x14ac:dyDescent="0.15">
      <c r="A556" s="6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</row>
    <row r="557" spans="1:21" ht="13" x14ac:dyDescent="0.15">
      <c r="A557" s="6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</row>
    <row r="558" spans="1:21" ht="13" x14ac:dyDescent="0.15">
      <c r="A558" s="6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</row>
    <row r="559" spans="1:21" ht="13" x14ac:dyDescent="0.15">
      <c r="A559" s="6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</row>
    <row r="560" spans="1:21" ht="13" x14ac:dyDescent="0.15">
      <c r="A560" s="6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</row>
    <row r="561" spans="1:21" ht="13" x14ac:dyDescent="0.15">
      <c r="A561" s="6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</row>
    <row r="562" spans="1:21" ht="13" x14ac:dyDescent="0.15">
      <c r="A562" s="6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</row>
    <row r="563" spans="1:21" ht="13" x14ac:dyDescent="0.15">
      <c r="A563" s="6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</row>
    <row r="564" spans="1:21" ht="13" x14ac:dyDescent="0.15">
      <c r="A564" s="6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</row>
    <row r="565" spans="1:21" ht="13" x14ac:dyDescent="0.15">
      <c r="A565" s="6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</row>
    <row r="566" spans="1:21" ht="13" x14ac:dyDescent="0.15">
      <c r="A566" s="6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</row>
    <row r="567" spans="1:21" ht="13" x14ac:dyDescent="0.15">
      <c r="A567" s="6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</row>
    <row r="568" spans="1:21" ht="13" x14ac:dyDescent="0.15">
      <c r="A568" s="6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</row>
    <row r="569" spans="1:21" ht="13" x14ac:dyDescent="0.15">
      <c r="A569" s="6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</row>
    <row r="570" spans="1:21" ht="13" x14ac:dyDescent="0.15">
      <c r="A570" s="6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</row>
    <row r="571" spans="1:21" ht="13" x14ac:dyDescent="0.15">
      <c r="A571" s="6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</row>
    <row r="572" spans="1:21" ht="13" x14ac:dyDescent="0.15">
      <c r="A572" s="6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</row>
    <row r="573" spans="1:21" ht="13" x14ac:dyDescent="0.15">
      <c r="A573" s="6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</row>
    <row r="574" spans="1:21" ht="13" x14ac:dyDescent="0.15">
      <c r="A574" s="6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</row>
    <row r="575" spans="1:21" ht="13" x14ac:dyDescent="0.15">
      <c r="A575" s="6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</row>
    <row r="576" spans="1:21" ht="13" x14ac:dyDescent="0.15">
      <c r="A576" s="6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</row>
    <row r="577" spans="1:21" ht="13" x14ac:dyDescent="0.15">
      <c r="A577" s="6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</row>
    <row r="578" spans="1:21" ht="13" x14ac:dyDescent="0.15">
      <c r="A578" s="6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</row>
    <row r="579" spans="1:21" ht="13" x14ac:dyDescent="0.15">
      <c r="A579" s="6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</row>
    <row r="580" spans="1:21" ht="13" x14ac:dyDescent="0.15">
      <c r="A580" s="6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</row>
    <row r="581" spans="1:21" ht="13" x14ac:dyDescent="0.15">
      <c r="A581" s="6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</row>
    <row r="582" spans="1:21" ht="13" x14ac:dyDescent="0.15">
      <c r="A582" s="6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</row>
    <row r="583" spans="1:21" ht="13" x14ac:dyDescent="0.15">
      <c r="A583" s="6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</row>
    <row r="584" spans="1:21" ht="13" x14ac:dyDescent="0.15">
      <c r="A584" s="6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</row>
    <row r="585" spans="1:21" ht="13" x14ac:dyDescent="0.15">
      <c r="A585" s="6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</row>
    <row r="586" spans="1:21" ht="13" x14ac:dyDescent="0.15">
      <c r="A586" s="6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</row>
    <row r="587" spans="1:21" ht="13" x14ac:dyDescent="0.15">
      <c r="A587" s="6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</row>
    <row r="588" spans="1:21" ht="13" x14ac:dyDescent="0.15">
      <c r="A588" s="6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</row>
    <row r="589" spans="1:21" ht="13" x14ac:dyDescent="0.15">
      <c r="A589" s="6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</row>
    <row r="590" spans="1:21" ht="13" x14ac:dyDescent="0.15">
      <c r="A590" s="6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</row>
    <row r="591" spans="1:21" ht="13" x14ac:dyDescent="0.15">
      <c r="A591" s="6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</row>
    <row r="592" spans="1:21" ht="13" x14ac:dyDescent="0.15">
      <c r="A592" s="6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</row>
    <row r="593" spans="1:21" ht="13" x14ac:dyDescent="0.15">
      <c r="A593" s="6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</row>
    <row r="594" spans="1:21" ht="13" x14ac:dyDescent="0.15">
      <c r="A594" s="6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</row>
    <row r="595" spans="1:21" ht="13" x14ac:dyDescent="0.15">
      <c r="A595" s="6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</row>
    <row r="596" spans="1:21" ht="13" x14ac:dyDescent="0.15">
      <c r="A596" s="6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</row>
    <row r="597" spans="1:21" ht="13" x14ac:dyDescent="0.15">
      <c r="A597" s="6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</row>
    <row r="598" spans="1:21" ht="13" x14ac:dyDescent="0.15">
      <c r="A598" s="6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</row>
    <row r="599" spans="1:21" ht="13" x14ac:dyDescent="0.15">
      <c r="A599" s="6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</row>
    <row r="600" spans="1:21" ht="13" x14ac:dyDescent="0.15">
      <c r="A600" s="6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</row>
    <row r="601" spans="1:21" ht="13" x14ac:dyDescent="0.15">
      <c r="A601" s="6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</row>
    <row r="602" spans="1:21" ht="13" x14ac:dyDescent="0.15">
      <c r="A602" s="6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</row>
    <row r="603" spans="1:21" ht="13" x14ac:dyDescent="0.15">
      <c r="A603" s="6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</row>
    <row r="604" spans="1:21" ht="13" x14ac:dyDescent="0.15">
      <c r="A604" s="6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</row>
    <row r="605" spans="1:21" ht="13" x14ac:dyDescent="0.15">
      <c r="A605" s="6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</row>
    <row r="606" spans="1:21" ht="13" x14ac:dyDescent="0.15">
      <c r="A606" s="6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</row>
    <row r="607" spans="1:21" ht="13" x14ac:dyDescent="0.15">
      <c r="A607" s="6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</row>
    <row r="608" spans="1:21" ht="13" x14ac:dyDescent="0.15">
      <c r="A608" s="6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</row>
    <row r="609" spans="1:21" ht="13" x14ac:dyDescent="0.15">
      <c r="A609" s="6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</row>
    <row r="610" spans="1:21" ht="13" x14ac:dyDescent="0.15">
      <c r="A610" s="6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</row>
    <row r="611" spans="1:21" ht="13" x14ac:dyDescent="0.15">
      <c r="A611" s="6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</row>
    <row r="612" spans="1:21" ht="13" x14ac:dyDescent="0.15">
      <c r="A612" s="6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</row>
    <row r="613" spans="1:21" ht="13" x14ac:dyDescent="0.15">
      <c r="A613" s="6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</row>
    <row r="614" spans="1:21" ht="13" x14ac:dyDescent="0.15">
      <c r="A614" s="6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</row>
    <row r="615" spans="1:21" ht="13" x14ac:dyDescent="0.15">
      <c r="A615" s="6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</row>
    <row r="616" spans="1:21" ht="13" x14ac:dyDescent="0.15">
      <c r="A616" s="6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</row>
    <row r="617" spans="1:21" ht="13" x14ac:dyDescent="0.15">
      <c r="A617" s="6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</row>
    <row r="618" spans="1:21" ht="13" x14ac:dyDescent="0.15">
      <c r="A618" s="6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</row>
    <row r="619" spans="1:21" ht="13" x14ac:dyDescent="0.15">
      <c r="A619" s="6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</row>
    <row r="620" spans="1:21" ht="13" x14ac:dyDescent="0.15">
      <c r="A620" s="6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</row>
    <row r="621" spans="1:21" ht="13" x14ac:dyDescent="0.15">
      <c r="A621" s="6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</row>
    <row r="622" spans="1:21" ht="13" x14ac:dyDescent="0.15">
      <c r="A622" s="6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</row>
    <row r="623" spans="1:21" ht="13" x14ac:dyDescent="0.15">
      <c r="A623" s="6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</row>
    <row r="624" spans="1:21" ht="13" x14ac:dyDescent="0.15">
      <c r="A624" s="6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</row>
    <row r="625" spans="1:21" ht="13" x14ac:dyDescent="0.15">
      <c r="A625" s="6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</row>
    <row r="626" spans="1:21" ht="13" x14ac:dyDescent="0.15">
      <c r="A626" s="6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</row>
    <row r="627" spans="1:21" ht="13" x14ac:dyDescent="0.15">
      <c r="A627" s="6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</row>
    <row r="628" spans="1:21" ht="13" x14ac:dyDescent="0.15">
      <c r="A628" s="6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</row>
    <row r="629" spans="1:21" ht="13" x14ac:dyDescent="0.15">
      <c r="A629" s="6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</row>
    <row r="630" spans="1:21" ht="13" x14ac:dyDescent="0.15">
      <c r="A630" s="6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</row>
    <row r="631" spans="1:21" ht="13" x14ac:dyDescent="0.15">
      <c r="A631" s="6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</row>
    <row r="632" spans="1:21" ht="13" x14ac:dyDescent="0.15">
      <c r="A632" s="6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</row>
    <row r="633" spans="1:21" ht="13" x14ac:dyDescent="0.15">
      <c r="A633" s="6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</row>
    <row r="634" spans="1:21" ht="13" x14ac:dyDescent="0.15">
      <c r="A634" s="6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</row>
    <row r="635" spans="1:21" ht="13" x14ac:dyDescent="0.15">
      <c r="A635" s="6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</row>
    <row r="636" spans="1:21" ht="13" x14ac:dyDescent="0.15">
      <c r="A636" s="6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</row>
    <row r="637" spans="1:21" ht="13" x14ac:dyDescent="0.15">
      <c r="A637" s="6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</row>
    <row r="638" spans="1:21" ht="13" x14ac:dyDescent="0.15">
      <c r="A638" s="6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</row>
    <row r="639" spans="1:21" ht="13" x14ac:dyDescent="0.15">
      <c r="A639" s="6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</row>
    <row r="640" spans="1:21" ht="13" x14ac:dyDescent="0.15">
      <c r="A640" s="6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</row>
    <row r="641" spans="1:21" ht="13" x14ac:dyDescent="0.15">
      <c r="A641" s="6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</row>
    <row r="642" spans="1:21" ht="13" x14ac:dyDescent="0.15">
      <c r="A642" s="6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</row>
    <row r="643" spans="1:21" ht="13" x14ac:dyDescent="0.15">
      <c r="A643" s="6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</row>
    <row r="644" spans="1:21" ht="13" x14ac:dyDescent="0.15">
      <c r="A644" s="6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</row>
    <row r="645" spans="1:21" ht="13" x14ac:dyDescent="0.15">
      <c r="A645" s="6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</row>
    <row r="646" spans="1:21" ht="13" x14ac:dyDescent="0.15">
      <c r="A646" s="6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</row>
    <row r="647" spans="1:21" ht="13" x14ac:dyDescent="0.15">
      <c r="A647" s="6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</row>
    <row r="648" spans="1:21" ht="13" x14ac:dyDescent="0.15">
      <c r="A648" s="6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</row>
    <row r="649" spans="1:21" ht="13" x14ac:dyDescent="0.15">
      <c r="A649" s="6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</row>
    <row r="650" spans="1:21" ht="13" x14ac:dyDescent="0.15">
      <c r="A650" s="6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</row>
    <row r="651" spans="1:21" ht="13" x14ac:dyDescent="0.15">
      <c r="A651" s="6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</row>
    <row r="652" spans="1:21" ht="13" x14ac:dyDescent="0.15">
      <c r="A652" s="6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</row>
    <row r="653" spans="1:21" ht="13" x14ac:dyDescent="0.15">
      <c r="A653" s="6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</row>
    <row r="654" spans="1:21" ht="13" x14ac:dyDescent="0.15">
      <c r="A654" s="6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</row>
    <row r="655" spans="1:21" ht="13" x14ac:dyDescent="0.15">
      <c r="A655" s="6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</row>
    <row r="656" spans="1:21" ht="13" x14ac:dyDescent="0.15">
      <c r="A656" s="6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</row>
    <row r="657" spans="1:21" ht="13" x14ac:dyDescent="0.15">
      <c r="A657" s="6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</row>
    <row r="658" spans="1:21" ht="13" x14ac:dyDescent="0.15">
      <c r="A658" s="6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</row>
    <row r="659" spans="1:21" ht="13" x14ac:dyDescent="0.15">
      <c r="A659" s="6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</row>
    <row r="660" spans="1:21" ht="13" x14ac:dyDescent="0.15">
      <c r="A660" s="6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</row>
    <row r="661" spans="1:21" ht="13" x14ac:dyDescent="0.15">
      <c r="A661" s="6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</row>
    <row r="662" spans="1:21" ht="13" x14ac:dyDescent="0.15">
      <c r="A662" s="6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</row>
    <row r="663" spans="1:21" ht="13" x14ac:dyDescent="0.15">
      <c r="A663" s="6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</row>
    <row r="664" spans="1:21" ht="13" x14ac:dyDescent="0.15">
      <c r="A664" s="6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</row>
    <row r="665" spans="1:21" ht="13" x14ac:dyDescent="0.15">
      <c r="A665" s="6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</row>
    <row r="666" spans="1:21" ht="13" x14ac:dyDescent="0.15">
      <c r="A666" s="6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</row>
    <row r="667" spans="1:21" ht="13" x14ac:dyDescent="0.15">
      <c r="A667" s="6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</row>
    <row r="668" spans="1:21" ht="13" x14ac:dyDescent="0.15">
      <c r="A668" s="6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</row>
    <row r="669" spans="1:21" ht="13" x14ac:dyDescent="0.15">
      <c r="A669" s="6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</row>
    <row r="670" spans="1:21" ht="13" x14ac:dyDescent="0.15">
      <c r="A670" s="6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</row>
    <row r="671" spans="1:21" ht="13" x14ac:dyDescent="0.15">
      <c r="A671" s="6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</row>
    <row r="672" spans="1:21" ht="13" x14ac:dyDescent="0.15">
      <c r="A672" s="6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</row>
    <row r="673" spans="1:21" ht="13" x14ac:dyDescent="0.15">
      <c r="A673" s="6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</row>
    <row r="674" spans="1:21" ht="13" x14ac:dyDescent="0.15">
      <c r="A674" s="6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</row>
    <row r="675" spans="1:21" ht="13" x14ac:dyDescent="0.15">
      <c r="A675" s="62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</row>
    <row r="676" spans="1:21" ht="13" x14ac:dyDescent="0.15">
      <c r="A676" s="62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</row>
    <row r="677" spans="1:21" ht="13" x14ac:dyDescent="0.15">
      <c r="A677" s="62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</row>
    <row r="678" spans="1:21" ht="13" x14ac:dyDescent="0.15">
      <c r="A678" s="62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</row>
    <row r="679" spans="1:21" ht="13" x14ac:dyDescent="0.15">
      <c r="A679" s="62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</row>
    <row r="680" spans="1:21" ht="13" x14ac:dyDescent="0.15">
      <c r="A680" s="62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</row>
    <row r="681" spans="1:21" ht="13" x14ac:dyDescent="0.15">
      <c r="A681" s="62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</row>
    <row r="682" spans="1:21" ht="13" x14ac:dyDescent="0.15">
      <c r="A682" s="62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</row>
    <row r="683" spans="1:21" ht="13" x14ac:dyDescent="0.15">
      <c r="A683" s="62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</row>
    <row r="684" spans="1:21" ht="13" x14ac:dyDescent="0.15">
      <c r="A684" s="62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</row>
    <row r="685" spans="1:21" ht="13" x14ac:dyDescent="0.15">
      <c r="A685" s="62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</row>
    <row r="686" spans="1:21" ht="13" x14ac:dyDescent="0.15">
      <c r="A686" s="62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</row>
    <row r="687" spans="1:21" ht="13" x14ac:dyDescent="0.15">
      <c r="A687" s="62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</row>
    <row r="688" spans="1:21" ht="13" x14ac:dyDescent="0.15">
      <c r="A688" s="62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</row>
    <row r="689" spans="1:21" ht="13" x14ac:dyDescent="0.15">
      <c r="A689" s="62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</row>
    <row r="690" spans="1:21" ht="13" x14ac:dyDescent="0.15">
      <c r="A690" s="62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</row>
    <row r="691" spans="1:21" ht="13" x14ac:dyDescent="0.15">
      <c r="A691" s="62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</row>
    <row r="692" spans="1:21" ht="13" x14ac:dyDescent="0.15">
      <c r="A692" s="62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</row>
    <row r="693" spans="1:21" ht="13" x14ac:dyDescent="0.15">
      <c r="A693" s="62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</row>
    <row r="694" spans="1:21" ht="13" x14ac:dyDescent="0.15">
      <c r="A694" s="62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</row>
    <row r="695" spans="1:21" ht="13" x14ac:dyDescent="0.15">
      <c r="A695" s="62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</row>
    <row r="696" spans="1:21" ht="13" x14ac:dyDescent="0.15">
      <c r="A696" s="62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</row>
    <row r="697" spans="1:21" ht="13" x14ac:dyDescent="0.15">
      <c r="A697" s="62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</row>
    <row r="698" spans="1:21" ht="13" x14ac:dyDescent="0.15">
      <c r="A698" s="62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</row>
    <row r="699" spans="1:21" ht="13" x14ac:dyDescent="0.15">
      <c r="A699" s="62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</row>
    <row r="700" spans="1:21" ht="13" x14ac:dyDescent="0.15">
      <c r="A700" s="62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</row>
    <row r="701" spans="1:21" ht="13" x14ac:dyDescent="0.15">
      <c r="A701" s="62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</row>
    <row r="702" spans="1:21" ht="13" x14ac:dyDescent="0.15">
      <c r="A702" s="62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</row>
    <row r="703" spans="1:21" ht="13" x14ac:dyDescent="0.15">
      <c r="A703" s="62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</row>
    <row r="704" spans="1:21" ht="13" x14ac:dyDescent="0.15">
      <c r="A704" s="62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</row>
    <row r="705" spans="1:21" ht="13" x14ac:dyDescent="0.15">
      <c r="A705" s="62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</row>
    <row r="706" spans="1:21" ht="13" x14ac:dyDescent="0.15">
      <c r="A706" s="62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</row>
    <row r="707" spans="1:21" ht="13" x14ac:dyDescent="0.15">
      <c r="A707" s="62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</row>
    <row r="708" spans="1:21" ht="13" x14ac:dyDescent="0.15">
      <c r="A708" s="62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</row>
    <row r="709" spans="1:21" ht="13" x14ac:dyDescent="0.15">
      <c r="A709" s="62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</row>
    <row r="710" spans="1:21" ht="13" x14ac:dyDescent="0.15">
      <c r="A710" s="62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</row>
    <row r="711" spans="1:21" ht="13" x14ac:dyDescent="0.15">
      <c r="A711" s="62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</row>
    <row r="712" spans="1:21" ht="13" x14ac:dyDescent="0.15">
      <c r="A712" s="62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</row>
    <row r="713" spans="1:21" ht="13" x14ac:dyDescent="0.15">
      <c r="A713" s="62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</row>
    <row r="714" spans="1:21" ht="13" x14ac:dyDescent="0.15">
      <c r="A714" s="62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</row>
    <row r="715" spans="1:21" ht="13" x14ac:dyDescent="0.15">
      <c r="A715" s="62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</row>
    <row r="716" spans="1:21" ht="13" x14ac:dyDescent="0.15">
      <c r="A716" s="62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</row>
    <row r="717" spans="1:21" ht="13" x14ac:dyDescent="0.15">
      <c r="A717" s="62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</row>
    <row r="718" spans="1:21" ht="13" x14ac:dyDescent="0.15">
      <c r="A718" s="62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</row>
    <row r="719" spans="1:21" ht="13" x14ac:dyDescent="0.15">
      <c r="A719" s="62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</row>
    <row r="720" spans="1:21" ht="13" x14ac:dyDescent="0.15">
      <c r="A720" s="62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</row>
    <row r="721" spans="1:21" ht="13" x14ac:dyDescent="0.15">
      <c r="A721" s="62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</row>
    <row r="722" spans="1:21" ht="13" x14ac:dyDescent="0.15">
      <c r="A722" s="62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</row>
    <row r="723" spans="1:21" ht="13" x14ac:dyDescent="0.15">
      <c r="A723" s="62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</row>
    <row r="724" spans="1:21" ht="13" x14ac:dyDescent="0.15">
      <c r="A724" s="62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</row>
    <row r="725" spans="1:21" ht="13" x14ac:dyDescent="0.15">
      <c r="A725" s="62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</row>
    <row r="726" spans="1:21" ht="13" x14ac:dyDescent="0.15">
      <c r="A726" s="62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</row>
    <row r="727" spans="1:21" ht="13" x14ac:dyDescent="0.15">
      <c r="A727" s="62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</row>
    <row r="728" spans="1:21" ht="13" x14ac:dyDescent="0.15">
      <c r="A728" s="62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</row>
    <row r="729" spans="1:21" ht="13" x14ac:dyDescent="0.15">
      <c r="A729" s="62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</row>
    <row r="730" spans="1:21" ht="13" x14ac:dyDescent="0.15">
      <c r="A730" s="62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</row>
    <row r="731" spans="1:21" ht="13" x14ac:dyDescent="0.15">
      <c r="A731" s="62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</row>
    <row r="732" spans="1:21" ht="13" x14ac:dyDescent="0.15">
      <c r="A732" s="62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</row>
    <row r="733" spans="1:21" ht="13" x14ac:dyDescent="0.15">
      <c r="A733" s="62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</row>
    <row r="734" spans="1:21" ht="13" x14ac:dyDescent="0.15">
      <c r="A734" s="62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</row>
    <row r="735" spans="1:21" ht="13" x14ac:dyDescent="0.15">
      <c r="A735" s="62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</row>
    <row r="736" spans="1:21" ht="13" x14ac:dyDescent="0.15">
      <c r="A736" s="62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</row>
    <row r="737" spans="1:21" ht="13" x14ac:dyDescent="0.15">
      <c r="A737" s="62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</row>
    <row r="738" spans="1:21" ht="13" x14ac:dyDescent="0.15">
      <c r="A738" s="62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</row>
    <row r="739" spans="1:21" ht="13" x14ac:dyDescent="0.15">
      <c r="A739" s="62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</row>
    <row r="740" spans="1:21" ht="13" x14ac:dyDescent="0.15">
      <c r="A740" s="62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</row>
    <row r="741" spans="1:21" ht="13" x14ac:dyDescent="0.15">
      <c r="A741" s="62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</row>
    <row r="742" spans="1:21" ht="13" x14ac:dyDescent="0.15">
      <c r="A742" s="62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</row>
    <row r="743" spans="1:21" ht="13" x14ac:dyDescent="0.15">
      <c r="A743" s="62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</row>
    <row r="744" spans="1:21" ht="13" x14ac:dyDescent="0.15">
      <c r="A744" s="62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</row>
    <row r="745" spans="1:21" ht="13" x14ac:dyDescent="0.15">
      <c r="A745" s="62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</row>
    <row r="746" spans="1:21" ht="13" x14ac:dyDescent="0.15">
      <c r="A746" s="62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</row>
    <row r="747" spans="1:21" ht="13" x14ac:dyDescent="0.15">
      <c r="A747" s="62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</row>
    <row r="748" spans="1:21" ht="13" x14ac:dyDescent="0.15">
      <c r="A748" s="62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</row>
    <row r="749" spans="1:21" ht="13" x14ac:dyDescent="0.15">
      <c r="A749" s="62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</row>
    <row r="750" spans="1:21" ht="13" x14ac:dyDescent="0.15">
      <c r="A750" s="62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</row>
    <row r="751" spans="1:21" ht="13" x14ac:dyDescent="0.15">
      <c r="A751" s="62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</row>
    <row r="752" spans="1:21" ht="13" x14ac:dyDescent="0.15">
      <c r="A752" s="62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</row>
    <row r="753" spans="1:21" ht="13" x14ac:dyDescent="0.15">
      <c r="A753" s="62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</row>
    <row r="754" spans="1:21" ht="13" x14ac:dyDescent="0.15">
      <c r="A754" s="62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</row>
    <row r="755" spans="1:21" ht="13" x14ac:dyDescent="0.15">
      <c r="A755" s="62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</row>
    <row r="756" spans="1:21" ht="13" x14ac:dyDescent="0.15">
      <c r="A756" s="62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</row>
    <row r="757" spans="1:21" ht="13" x14ac:dyDescent="0.15">
      <c r="A757" s="62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</row>
    <row r="758" spans="1:21" ht="13" x14ac:dyDescent="0.15">
      <c r="A758" s="62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</row>
    <row r="759" spans="1:21" ht="13" x14ac:dyDescent="0.15">
      <c r="A759" s="62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</row>
    <row r="760" spans="1:21" ht="13" x14ac:dyDescent="0.15">
      <c r="A760" s="62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</row>
    <row r="761" spans="1:21" ht="13" x14ac:dyDescent="0.15">
      <c r="A761" s="62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</row>
    <row r="762" spans="1:21" ht="13" x14ac:dyDescent="0.15">
      <c r="A762" s="62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</row>
    <row r="763" spans="1:21" ht="13" x14ac:dyDescent="0.15">
      <c r="A763" s="62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</row>
    <row r="764" spans="1:21" ht="13" x14ac:dyDescent="0.15">
      <c r="A764" s="62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</row>
    <row r="765" spans="1:21" ht="13" x14ac:dyDescent="0.15">
      <c r="A765" s="62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</row>
    <row r="766" spans="1:21" ht="13" x14ac:dyDescent="0.15">
      <c r="A766" s="62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</row>
    <row r="767" spans="1:21" ht="13" x14ac:dyDescent="0.15">
      <c r="A767" s="62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</row>
    <row r="768" spans="1:21" ht="13" x14ac:dyDescent="0.15">
      <c r="A768" s="62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</row>
    <row r="769" spans="1:21" ht="13" x14ac:dyDescent="0.15">
      <c r="A769" s="62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</row>
    <row r="770" spans="1:21" ht="13" x14ac:dyDescent="0.15">
      <c r="A770" s="62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</row>
    <row r="771" spans="1:21" ht="13" x14ac:dyDescent="0.15">
      <c r="A771" s="62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</row>
    <row r="772" spans="1:21" ht="13" x14ac:dyDescent="0.15">
      <c r="A772" s="62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</row>
    <row r="773" spans="1:21" ht="13" x14ac:dyDescent="0.15">
      <c r="A773" s="62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</row>
    <row r="774" spans="1:21" ht="13" x14ac:dyDescent="0.15">
      <c r="A774" s="62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</row>
    <row r="775" spans="1:21" ht="13" x14ac:dyDescent="0.15">
      <c r="A775" s="62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</row>
    <row r="776" spans="1:21" ht="13" x14ac:dyDescent="0.15">
      <c r="A776" s="62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</row>
    <row r="777" spans="1:21" ht="13" x14ac:dyDescent="0.15">
      <c r="A777" s="62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</row>
    <row r="778" spans="1:21" ht="13" x14ac:dyDescent="0.15">
      <c r="A778" s="62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</row>
    <row r="779" spans="1:21" ht="13" x14ac:dyDescent="0.15">
      <c r="A779" s="62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</row>
    <row r="780" spans="1:21" ht="13" x14ac:dyDescent="0.15">
      <c r="A780" s="62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</row>
    <row r="781" spans="1:21" ht="13" x14ac:dyDescent="0.15">
      <c r="A781" s="62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</row>
    <row r="782" spans="1:21" ht="13" x14ac:dyDescent="0.15">
      <c r="A782" s="62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</row>
    <row r="783" spans="1:21" ht="13" x14ac:dyDescent="0.15">
      <c r="A783" s="62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</row>
    <row r="784" spans="1:21" ht="13" x14ac:dyDescent="0.15">
      <c r="A784" s="62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</row>
    <row r="785" spans="1:21" ht="13" x14ac:dyDescent="0.15">
      <c r="A785" s="62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</row>
    <row r="786" spans="1:21" ht="13" x14ac:dyDescent="0.15">
      <c r="A786" s="62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</row>
    <row r="787" spans="1:21" ht="13" x14ac:dyDescent="0.15">
      <c r="A787" s="62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</row>
    <row r="788" spans="1:21" ht="13" x14ac:dyDescent="0.15">
      <c r="A788" s="62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</row>
    <row r="789" spans="1:21" ht="13" x14ac:dyDescent="0.15">
      <c r="A789" s="62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</row>
    <row r="790" spans="1:21" ht="13" x14ac:dyDescent="0.15">
      <c r="A790" s="62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</row>
    <row r="791" spans="1:21" ht="13" x14ac:dyDescent="0.15">
      <c r="A791" s="62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</row>
    <row r="792" spans="1:21" ht="13" x14ac:dyDescent="0.15">
      <c r="A792" s="62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</row>
    <row r="793" spans="1:21" ht="13" x14ac:dyDescent="0.15">
      <c r="A793" s="62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</row>
    <row r="794" spans="1:21" ht="13" x14ac:dyDescent="0.15">
      <c r="A794" s="62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</row>
    <row r="795" spans="1:21" ht="13" x14ac:dyDescent="0.15">
      <c r="A795" s="62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</row>
    <row r="796" spans="1:21" ht="13" x14ac:dyDescent="0.15">
      <c r="A796" s="62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</row>
    <row r="797" spans="1:21" ht="13" x14ac:dyDescent="0.15">
      <c r="A797" s="62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</row>
    <row r="798" spans="1:21" ht="13" x14ac:dyDescent="0.15">
      <c r="A798" s="62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</row>
    <row r="799" spans="1:21" ht="13" x14ac:dyDescent="0.15">
      <c r="A799" s="62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</row>
    <row r="800" spans="1:21" ht="13" x14ac:dyDescent="0.15">
      <c r="A800" s="62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</row>
    <row r="801" spans="1:21" ht="13" x14ac:dyDescent="0.15">
      <c r="A801" s="62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</row>
    <row r="802" spans="1:21" ht="13" x14ac:dyDescent="0.15">
      <c r="A802" s="62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</row>
    <row r="803" spans="1:21" ht="13" x14ac:dyDescent="0.15">
      <c r="A803" s="62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</row>
    <row r="804" spans="1:21" ht="13" x14ac:dyDescent="0.15">
      <c r="A804" s="62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</row>
    <row r="805" spans="1:21" ht="13" x14ac:dyDescent="0.15">
      <c r="A805" s="62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</row>
    <row r="806" spans="1:21" ht="13" x14ac:dyDescent="0.15">
      <c r="A806" s="62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</row>
    <row r="807" spans="1:21" ht="13" x14ac:dyDescent="0.15">
      <c r="A807" s="62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</row>
    <row r="808" spans="1:21" ht="13" x14ac:dyDescent="0.15">
      <c r="A808" s="62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</row>
    <row r="809" spans="1:21" ht="13" x14ac:dyDescent="0.15">
      <c r="A809" s="62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</row>
    <row r="810" spans="1:21" ht="13" x14ac:dyDescent="0.15">
      <c r="A810" s="62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</row>
    <row r="811" spans="1:21" ht="13" x14ac:dyDescent="0.15">
      <c r="A811" s="62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</row>
    <row r="812" spans="1:21" ht="13" x14ac:dyDescent="0.15">
      <c r="A812" s="62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</row>
    <row r="813" spans="1:21" ht="13" x14ac:dyDescent="0.15">
      <c r="A813" s="62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</row>
    <row r="814" spans="1:21" ht="13" x14ac:dyDescent="0.15">
      <c r="A814" s="62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</row>
    <row r="815" spans="1:21" ht="13" x14ac:dyDescent="0.15">
      <c r="A815" s="62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</row>
    <row r="816" spans="1:21" ht="13" x14ac:dyDescent="0.15">
      <c r="A816" s="62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</row>
    <row r="817" spans="1:21" ht="13" x14ac:dyDescent="0.15">
      <c r="A817" s="62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</row>
    <row r="818" spans="1:21" ht="13" x14ac:dyDescent="0.15">
      <c r="A818" s="62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</row>
    <row r="819" spans="1:21" ht="13" x14ac:dyDescent="0.15">
      <c r="A819" s="62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</row>
    <row r="820" spans="1:21" ht="13" x14ac:dyDescent="0.15">
      <c r="A820" s="62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</row>
    <row r="821" spans="1:21" ht="13" x14ac:dyDescent="0.15">
      <c r="A821" s="62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</row>
    <row r="822" spans="1:21" ht="13" x14ac:dyDescent="0.15">
      <c r="A822" s="62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</row>
    <row r="823" spans="1:21" ht="13" x14ac:dyDescent="0.15">
      <c r="A823" s="62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</row>
    <row r="824" spans="1:21" ht="13" x14ac:dyDescent="0.15">
      <c r="A824" s="62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</row>
    <row r="825" spans="1:21" ht="13" x14ac:dyDescent="0.15">
      <c r="A825" s="62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</row>
    <row r="826" spans="1:21" ht="13" x14ac:dyDescent="0.15">
      <c r="A826" s="62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</row>
    <row r="827" spans="1:21" ht="13" x14ac:dyDescent="0.15">
      <c r="A827" s="62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</row>
    <row r="828" spans="1:21" ht="13" x14ac:dyDescent="0.15">
      <c r="A828" s="62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</row>
    <row r="829" spans="1:21" ht="13" x14ac:dyDescent="0.15">
      <c r="A829" s="62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</row>
    <row r="830" spans="1:21" ht="13" x14ac:dyDescent="0.15">
      <c r="A830" s="62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</row>
    <row r="831" spans="1:21" ht="13" x14ac:dyDescent="0.15">
      <c r="A831" s="62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</row>
    <row r="832" spans="1:21" ht="13" x14ac:dyDescent="0.15">
      <c r="A832" s="62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</row>
    <row r="833" spans="1:21" ht="13" x14ac:dyDescent="0.15">
      <c r="A833" s="62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</row>
    <row r="834" spans="1:21" ht="13" x14ac:dyDescent="0.15">
      <c r="A834" s="62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</row>
    <row r="835" spans="1:21" ht="13" x14ac:dyDescent="0.15">
      <c r="A835" s="62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</row>
    <row r="836" spans="1:21" ht="13" x14ac:dyDescent="0.15">
      <c r="A836" s="62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</row>
    <row r="837" spans="1:21" ht="13" x14ac:dyDescent="0.15">
      <c r="A837" s="62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</row>
    <row r="838" spans="1:21" ht="13" x14ac:dyDescent="0.15">
      <c r="A838" s="62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</row>
    <row r="839" spans="1:21" ht="13" x14ac:dyDescent="0.15">
      <c r="A839" s="62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</row>
    <row r="840" spans="1:21" ht="13" x14ac:dyDescent="0.15">
      <c r="A840" s="62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</row>
    <row r="841" spans="1:21" ht="13" x14ac:dyDescent="0.15">
      <c r="A841" s="62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</row>
    <row r="842" spans="1:21" ht="13" x14ac:dyDescent="0.15">
      <c r="A842" s="62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</row>
    <row r="843" spans="1:21" ht="13" x14ac:dyDescent="0.15">
      <c r="A843" s="62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</row>
    <row r="844" spans="1:21" ht="13" x14ac:dyDescent="0.15">
      <c r="A844" s="62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</row>
    <row r="845" spans="1:21" ht="13" x14ac:dyDescent="0.15">
      <c r="A845" s="62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</row>
    <row r="846" spans="1:21" ht="13" x14ac:dyDescent="0.15">
      <c r="A846" s="62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</row>
    <row r="847" spans="1:21" ht="13" x14ac:dyDescent="0.15">
      <c r="A847" s="62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</row>
    <row r="848" spans="1:21" ht="13" x14ac:dyDescent="0.15">
      <c r="A848" s="62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</row>
    <row r="849" spans="1:21" ht="13" x14ac:dyDescent="0.15">
      <c r="A849" s="62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</row>
    <row r="850" spans="1:21" ht="13" x14ac:dyDescent="0.15">
      <c r="A850" s="62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</row>
    <row r="851" spans="1:21" ht="13" x14ac:dyDescent="0.15">
      <c r="A851" s="62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</row>
    <row r="852" spans="1:21" ht="13" x14ac:dyDescent="0.15">
      <c r="A852" s="62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</row>
    <row r="853" spans="1:21" ht="13" x14ac:dyDescent="0.15">
      <c r="A853" s="62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</row>
    <row r="854" spans="1:21" ht="13" x14ac:dyDescent="0.15">
      <c r="A854" s="62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</row>
    <row r="855" spans="1:21" ht="13" x14ac:dyDescent="0.15">
      <c r="A855" s="62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</row>
    <row r="856" spans="1:21" ht="13" x14ac:dyDescent="0.15">
      <c r="A856" s="62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</row>
    <row r="857" spans="1:21" ht="13" x14ac:dyDescent="0.15">
      <c r="A857" s="62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</row>
    <row r="858" spans="1:21" ht="13" x14ac:dyDescent="0.15">
      <c r="A858" s="62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</row>
    <row r="859" spans="1:21" ht="13" x14ac:dyDescent="0.15">
      <c r="A859" s="62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</row>
    <row r="860" spans="1:21" ht="13" x14ac:dyDescent="0.15">
      <c r="A860" s="62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</row>
    <row r="861" spans="1:21" ht="13" x14ac:dyDescent="0.15">
      <c r="A861" s="62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</row>
    <row r="862" spans="1:21" ht="13" x14ac:dyDescent="0.15">
      <c r="A862" s="62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</row>
    <row r="863" spans="1:21" ht="13" x14ac:dyDescent="0.15">
      <c r="A863" s="62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</row>
    <row r="864" spans="1:21" ht="13" x14ac:dyDescent="0.15">
      <c r="A864" s="62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</row>
    <row r="865" spans="1:21" ht="13" x14ac:dyDescent="0.15">
      <c r="A865" s="62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</row>
    <row r="866" spans="1:21" ht="13" x14ac:dyDescent="0.15">
      <c r="A866" s="62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</row>
    <row r="867" spans="1:21" ht="13" x14ac:dyDescent="0.15">
      <c r="A867" s="62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</row>
    <row r="868" spans="1:21" ht="13" x14ac:dyDescent="0.15">
      <c r="A868" s="62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</row>
    <row r="869" spans="1:21" ht="13" x14ac:dyDescent="0.15">
      <c r="A869" s="62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</row>
    <row r="870" spans="1:21" ht="13" x14ac:dyDescent="0.15">
      <c r="A870" s="62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</row>
    <row r="871" spans="1:21" ht="13" x14ac:dyDescent="0.15">
      <c r="A871" s="62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</row>
    <row r="872" spans="1:21" ht="13" x14ac:dyDescent="0.15">
      <c r="A872" s="62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</row>
    <row r="873" spans="1:21" ht="13" x14ac:dyDescent="0.15">
      <c r="A873" s="62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</row>
    <row r="874" spans="1:21" ht="13" x14ac:dyDescent="0.15">
      <c r="A874" s="62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</row>
    <row r="875" spans="1:21" ht="13" x14ac:dyDescent="0.15">
      <c r="A875" s="62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</row>
    <row r="876" spans="1:21" ht="13" x14ac:dyDescent="0.15">
      <c r="A876" s="62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</row>
    <row r="877" spans="1:21" ht="13" x14ac:dyDescent="0.15">
      <c r="A877" s="62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</row>
    <row r="878" spans="1:21" ht="13" x14ac:dyDescent="0.15">
      <c r="A878" s="62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</row>
    <row r="879" spans="1:21" ht="13" x14ac:dyDescent="0.15">
      <c r="A879" s="62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</row>
    <row r="880" spans="1:21" ht="13" x14ac:dyDescent="0.15">
      <c r="A880" s="62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</row>
    <row r="881" spans="1:21" ht="13" x14ac:dyDescent="0.15">
      <c r="A881" s="62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</row>
    <row r="882" spans="1:21" ht="13" x14ac:dyDescent="0.15">
      <c r="A882" s="62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</row>
    <row r="883" spans="1:21" ht="13" x14ac:dyDescent="0.15">
      <c r="A883" s="62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</row>
    <row r="884" spans="1:21" ht="13" x14ac:dyDescent="0.15">
      <c r="A884" s="62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</row>
    <row r="885" spans="1:21" ht="13" x14ac:dyDescent="0.15">
      <c r="A885" s="62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</row>
    <row r="886" spans="1:21" ht="13" x14ac:dyDescent="0.15">
      <c r="A886" s="62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</row>
    <row r="887" spans="1:21" ht="13" x14ac:dyDescent="0.15">
      <c r="A887" s="62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</row>
    <row r="888" spans="1:21" ht="13" x14ac:dyDescent="0.15">
      <c r="A888" s="62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</row>
    <row r="889" spans="1:21" ht="13" x14ac:dyDescent="0.15">
      <c r="A889" s="62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</row>
    <row r="890" spans="1:21" ht="13" x14ac:dyDescent="0.15">
      <c r="A890" s="62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</row>
    <row r="891" spans="1:21" ht="13" x14ac:dyDescent="0.15">
      <c r="A891" s="62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</row>
    <row r="892" spans="1:21" ht="13" x14ac:dyDescent="0.15">
      <c r="A892" s="62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</row>
    <row r="893" spans="1:21" ht="13" x14ac:dyDescent="0.15">
      <c r="A893" s="62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</row>
    <row r="894" spans="1:21" ht="13" x14ac:dyDescent="0.15">
      <c r="A894" s="62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</row>
    <row r="895" spans="1:21" ht="13" x14ac:dyDescent="0.15">
      <c r="A895" s="62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</row>
    <row r="896" spans="1:21" ht="13" x14ac:dyDescent="0.15">
      <c r="A896" s="62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</row>
    <row r="897" spans="1:21" ht="13" x14ac:dyDescent="0.15">
      <c r="A897" s="62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</row>
    <row r="898" spans="1:21" ht="13" x14ac:dyDescent="0.15">
      <c r="A898" s="62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</row>
    <row r="899" spans="1:21" ht="13" x14ac:dyDescent="0.15">
      <c r="A899" s="62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</row>
    <row r="900" spans="1:21" ht="13" x14ac:dyDescent="0.15">
      <c r="A900" s="62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</row>
    <row r="901" spans="1:21" ht="13" x14ac:dyDescent="0.15">
      <c r="A901" s="62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</row>
    <row r="902" spans="1:21" ht="13" x14ac:dyDescent="0.15">
      <c r="A902" s="62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</row>
    <row r="903" spans="1:21" ht="13" x14ac:dyDescent="0.15">
      <c r="A903" s="62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</row>
    <row r="904" spans="1:21" ht="13" x14ac:dyDescent="0.15">
      <c r="A904" s="62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</row>
    <row r="905" spans="1:21" ht="13" x14ac:dyDescent="0.15">
      <c r="A905" s="62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</row>
    <row r="906" spans="1:21" ht="13" x14ac:dyDescent="0.15">
      <c r="A906" s="62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</row>
    <row r="907" spans="1:21" ht="13" x14ac:dyDescent="0.15">
      <c r="A907" s="62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</row>
    <row r="908" spans="1:21" ht="13" x14ac:dyDescent="0.15">
      <c r="A908" s="62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</row>
    <row r="909" spans="1:21" ht="13" x14ac:dyDescent="0.15">
      <c r="A909" s="62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</row>
    <row r="910" spans="1:21" ht="13" x14ac:dyDescent="0.15">
      <c r="A910" s="62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</row>
    <row r="911" spans="1:21" ht="13" x14ac:dyDescent="0.15">
      <c r="A911" s="62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</row>
    <row r="912" spans="1:21" ht="13" x14ac:dyDescent="0.15">
      <c r="A912" s="62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</row>
    <row r="913" spans="1:21" ht="13" x14ac:dyDescent="0.15">
      <c r="A913" s="62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</row>
    <row r="914" spans="1:21" ht="13" x14ac:dyDescent="0.15">
      <c r="A914" s="62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</row>
    <row r="915" spans="1:21" ht="13" x14ac:dyDescent="0.15">
      <c r="A915" s="62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</row>
    <row r="916" spans="1:21" ht="13" x14ac:dyDescent="0.15">
      <c r="A916" s="62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</row>
    <row r="917" spans="1:21" ht="13" x14ac:dyDescent="0.15">
      <c r="A917" s="62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</row>
    <row r="918" spans="1:21" ht="13" x14ac:dyDescent="0.15">
      <c r="A918" s="62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</row>
    <row r="919" spans="1:21" ht="13" x14ac:dyDescent="0.15">
      <c r="A919" s="62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</row>
    <row r="920" spans="1:21" ht="13" x14ac:dyDescent="0.15">
      <c r="A920" s="62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</row>
    <row r="921" spans="1:21" ht="13" x14ac:dyDescent="0.15">
      <c r="A921" s="62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</row>
    <row r="922" spans="1:21" ht="13" x14ac:dyDescent="0.15">
      <c r="A922" s="62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</row>
    <row r="923" spans="1:21" ht="13" x14ac:dyDescent="0.15">
      <c r="A923" s="62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</row>
    <row r="924" spans="1:21" ht="13" x14ac:dyDescent="0.15">
      <c r="A924" s="62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</row>
    <row r="925" spans="1:21" ht="13" x14ac:dyDescent="0.15">
      <c r="A925" s="62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</row>
    <row r="926" spans="1:21" ht="13" x14ac:dyDescent="0.15">
      <c r="A926" s="62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</row>
    <row r="927" spans="1:21" ht="13" x14ac:dyDescent="0.15">
      <c r="A927" s="62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</row>
    <row r="928" spans="1:21" ht="13" x14ac:dyDescent="0.15">
      <c r="A928" s="62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</row>
    <row r="929" spans="1:21" ht="13" x14ac:dyDescent="0.15">
      <c r="A929" s="62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</row>
    <row r="930" spans="1:21" ht="13" x14ac:dyDescent="0.15">
      <c r="A930" s="62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</row>
    <row r="931" spans="1:21" ht="13" x14ac:dyDescent="0.15">
      <c r="A931" s="62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</row>
    <row r="932" spans="1:21" ht="13" x14ac:dyDescent="0.15">
      <c r="A932" s="62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</row>
    <row r="933" spans="1:21" ht="13" x14ac:dyDescent="0.15">
      <c r="A933" s="62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</row>
    <row r="934" spans="1:21" ht="13" x14ac:dyDescent="0.15">
      <c r="A934" s="62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</row>
    <row r="935" spans="1:21" ht="13" x14ac:dyDescent="0.15">
      <c r="A935" s="62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</row>
    <row r="936" spans="1:21" ht="13" x14ac:dyDescent="0.15">
      <c r="A936" s="62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</row>
    <row r="937" spans="1:21" ht="13" x14ac:dyDescent="0.15">
      <c r="A937" s="62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</row>
    <row r="938" spans="1:21" ht="13" x14ac:dyDescent="0.15">
      <c r="A938" s="62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</row>
    <row r="939" spans="1:21" ht="13" x14ac:dyDescent="0.15">
      <c r="A939" s="62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</row>
    <row r="940" spans="1:21" ht="13" x14ac:dyDescent="0.15">
      <c r="A940" s="62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</row>
    <row r="941" spans="1:21" ht="13" x14ac:dyDescent="0.15">
      <c r="A941" s="62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</row>
    <row r="942" spans="1:21" ht="13" x14ac:dyDescent="0.15">
      <c r="A942" s="62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</row>
    <row r="943" spans="1:21" ht="13" x14ac:dyDescent="0.15">
      <c r="A943" s="62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</row>
    <row r="944" spans="1:21" ht="13" x14ac:dyDescent="0.15">
      <c r="A944" s="62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</row>
    <row r="945" spans="1:21" ht="13" x14ac:dyDescent="0.15">
      <c r="A945" s="62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</row>
    <row r="946" spans="1:21" ht="13" x14ac:dyDescent="0.15">
      <c r="A946" s="62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</row>
    <row r="947" spans="1:21" ht="13" x14ac:dyDescent="0.15">
      <c r="A947" s="62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</row>
    <row r="948" spans="1:21" ht="13" x14ac:dyDescent="0.15">
      <c r="A948" s="62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</row>
    <row r="949" spans="1:21" ht="13" x14ac:dyDescent="0.15">
      <c r="A949" s="62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</row>
    <row r="950" spans="1:21" ht="13" x14ac:dyDescent="0.15">
      <c r="A950" s="62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</row>
    <row r="951" spans="1:21" ht="13" x14ac:dyDescent="0.15">
      <c r="A951" s="62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</row>
    <row r="952" spans="1:21" ht="13" x14ac:dyDescent="0.15">
      <c r="A952" s="62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</row>
    <row r="953" spans="1:21" ht="13" x14ac:dyDescent="0.15">
      <c r="A953" s="62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</row>
    <row r="954" spans="1:21" ht="13" x14ac:dyDescent="0.15">
      <c r="A954" s="62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</row>
    <row r="955" spans="1:21" ht="13" x14ac:dyDescent="0.15">
      <c r="A955" s="62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</row>
    <row r="956" spans="1:21" ht="13" x14ac:dyDescent="0.15">
      <c r="A956" s="62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</row>
    <row r="957" spans="1:21" ht="13" x14ac:dyDescent="0.15">
      <c r="A957" s="62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</row>
    <row r="958" spans="1:21" ht="13" x14ac:dyDescent="0.15">
      <c r="A958" s="62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</row>
    <row r="959" spans="1:21" ht="13" x14ac:dyDescent="0.15">
      <c r="A959" s="62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</row>
    <row r="960" spans="1:21" ht="13" x14ac:dyDescent="0.15">
      <c r="A960" s="62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</row>
    <row r="961" spans="1:21" ht="13" x14ac:dyDescent="0.15">
      <c r="A961" s="62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</row>
    <row r="962" spans="1:21" ht="13" x14ac:dyDescent="0.15">
      <c r="A962" s="62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</row>
    <row r="963" spans="1:21" ht="13" x14ac:dyDescent="0.15">
      <c r="A963" s="62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</row>
    <row r="964" spans="1:21" ht="13" x14ac:dyDescent="0.15">
      <c r="A964" s="62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</row>
    <row r="965" spans="1:21" ht="13" x14ac:dyDescent="0.15">
      <c r="A965" s="62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</row>
    <row r="966" spans="1:21" ht="13" x14ac:dyDescent="0.15">
      <c r="A966" s="62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</row>
    <row r="967" spans="1:21" ht="13" x14ac:dyDescent="0.15">
      <c r="A967" s="62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</row>
    <row r="968" spans="1:21" ht="13" x14ac:dyDescent="0.15">
      <c r="A968" s="62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</row>
    <row r="969" spans="1:21" ht="13" x14ac:dyDescent="0.15">
      <c r="A969" s="62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</row>
    <row r="970" spans="1:21" ht="13" x14ac:dyDescent="0.15">
      <c r="A970" s="62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</row>
    <row r="971" spans="1:21" ht="13" x14ac:dyDescent="0.15">
      <c r="A971" s="62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</row>
    <row r="972" spans="1:21" ht="13" x14ac:dyDescent="0.15">
      <c r="A972" s="62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</row>
    <row r="973" spans="1:21" ht="13" x14ac:dyDescent="0.15">
      <c r="A973" s="62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</row>
    <row r="974" spans="1:21" ht="13" x14ac:dyDescent="0.15">
      <c r="A974" s="62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</row>
    <row r="975" spans="1:21" ht="13" x14ac:dyDescent="0.15">
      <c r="A975" s="62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</row>
    <row r="976" spans="1:21" ht="13" x14ac:dyDescent="0.15">
      <c r="A976" s="62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</row>
    <row r="977" spans="1:21" ht="13" x14ac:dyDescent="0.15">
      <c r="A977" s="62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</row>
    <row r="978" spans="1:21" ht="13" x14ac:dyDescent="0.15">
      <c r="A978" s="62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</row>
    <row r="979" spans="1:21" ht="13" x14ac:dyDescent="0.15">
      <c r="A979" s="62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</row>
    <row r="980" spans="1:21" ht="13" x14ac:dyDescent="0.15">
      <c r="A980" s="62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</row>
    <row r="981" spans="1:21" ht="13" x14ac:dyDescent="0.15">
      <c r="A981" s="62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</row>
    <row r="982" spans="1:21" ht="13" x14ac:dyDescent="0.15">
      <c r="A982" s="62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</row>
    <row r="983" spans="1:21" ht="13" x14ac:dyDescent="0.15">
      <c r="A983" s="62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</row>
    <row r="984" spans="1:21" ht="13" x14ac:dyDescent="0.15">
      <c r="A984" s="62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</row>
    <row r="985" spans="1:21" ht="13" x14ac:dyDescent="0.15">
      <c r="A985" s="62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</row>
    <row r="986" spans="1:21" ht="13" x14ac:dyDescent="0.15">
      <c r="A986" s="62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</row>
    <row r="987" spans="1:21" ht="13" x14ac:dyDescent="0.15">
      <c r="A987" s="62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</row>
    <row r="988" spans="1:21" ht="13" x14ac:dyDescent="0.15">
      <c r="A988" s="62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</row>
    <row r="989" spans="1:21" ht="13" x14ac:dyDescent="0.15">
      <c r="A989" s="62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</row>
    <row r="990" spans="1:21" ht="13" x14ac:dyDescent="0.15">
      <c r="A990" s="62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</row>
    <row r="991" spans="1:21" ht="13" x14ac:dyDescent="0.15">
      <c r="A991" s="62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</row>
    <row r="992" spans="1:21" ht="13" x14ac:dyDescent="0.15">
      <c r="A992" s="62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</row>
    <row r="993" spans="1:21" ht="13" x14ac:dyDescent="0.15">
      <c r="A993" s="62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</row>
    <row r="994" spans="1:21" ht="13" x14ac:dyDescent="0.15">
      <c r="A994" s="62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</row>
    <row r="995" spans="1:21" ht="13" x14ac:dyDescent="0.15">
      <c r="A995" s="62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</row>
    <row r="996" spans="1:21" ht="13" x14ac:dyDescent="0.15">
      <c r="A996" s="62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</row>
    <row r="997" spans="1:21" ht="13" x14ac:dyDescent="0.15">
      <c r="A997" s="62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</row>
    <row r="998" spans="1:21" ht="13" x14ac:dyDescent="0.15">
      <c r="A998" s="62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</row>
    <row r="999" spans="1:21" ht="13" x14ac:dyDescent="0.15">
      <c r="A999" s="62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</row>
    <row r="1000" spans="1:21" ht="13" x14ac:dyDescent="0.15">
      <c r="A1000" s="62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</row>
    <row r="1001" spans="1:21" ht="13" x14ac:dyDescent="0.15">
      <c r="A1001" s="62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</row>
    <row r="1002" spans="1:21" ht="13" x14ac:dyDescent="0.15">
      <c r="A1002" s="62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</row>
  </sheetData>
  <mergeCells count="1">
    <mergeCell ref="F1:U1"/>
  </mergeCells>
  <conditionalFormatting sqref="D3:E3">
    <cfRule type="containsText" dxfId="2" priority="1" operator="containsText" text="hosteller">
      <formula>NOT(ISERROR(SEARCH(("hosteller"),(D3))))</formula>
    </cfRule>
  </conditionalFormatting>
  <printOptions horizontalCentered="1" gridLines="1"/>
  <pageMargins left="0.7" right="0.7" top="0.75" bottom="0.75" header="0" footer="0"/>
  <pageSetup paperSize="9" scale="130" pageOrder="overThenDown" orientation="landscape" cellComments="atEnd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F1000"/>
  <sheetViews>
    <sheetView workbookViewId="0"/>
  </sheetViews>
  <sheetFormatPr baseColWidth="10" defaultColWidth="12.6640625" defaultRowHeight="15.75" customHeight="1" x14ac:dyDescent="0.15"/>
  <cols>
    <col min="1" max="1" width="14.33203125" customWidth="1"/>
    <col min="2" max="2" width="17.1640625" customWidth="1"/>
    <col min="3" max="3" width="19" customWidth="1"/>
    <col min="4" max="4" width="16.6640625" customWidth="1"/>
    <col min="5" max="5" width="12" customWidth="1"/>
    <col min="6" max="6" width="5.83203125" customWidth="1"/>
    <col min="7" max="7" width="5.6640625" customWidth="1"/>
    <col min="8" max="8" width="4" customWidth="1"/>
    <col min="9" max="10" width="5.5" customWidth="1"/>
    <col min="11" max="11" width="4.83203125" customWidth="1"/>
    <col min="12" max="12" width="6.1640625" customWidth="1"/>
    <col min="13" max="13" width="4.83203125" customWidth="1"/>
    <col min="14" max="14" width="5.6640625" customWidth="1"/>
    <col min="15" max="15" width="4.6640625" customWidth="1"/>
    <col min="16" max="16" width="4.1640625" customWidth="1"/>
    <col min="17" max="17" width="3.1640625" customWidth="1"/>
    <col min="18" max="18" width="5.1640625" customWidth="1"/>
    <col min="19" max="19" width="5" customWidth="1"/>
    <col min="20" max="20" width="5.1640625" customWidth="1"/>
    <col min="21" max="21" width="7.6640625" customWidth="1"/>
  </cols>
  <sheetData>
    <row r="1" spans="1:32" ht="15.75" customHeight="1" x14ac:dyDescent="0.15">
      <c r="A1" s="52" t="s">
        <v>584</v>
      </c>
      <c r="B1" s="52" t="s">
        <v>15</v>
      </c>
      <c r="C1" s="52" t="s">
        <v>22</v>
      </c>
      <c r="D1" s="63"/>
      <c r="E1" s="63" t="s">
        <v>567</v>
      </c>
      <c r="F1" s="100" t="s">
        <v>550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32" ht="15.75" customHeight="1" x14ac:dyDescent="0.15">
      <c r="A2" s="54">
        <f>COUNT(A4:A364)</f>
        <v>15</v>
      </c>
      <c r="B2" s="2">
        <f t="shared" ref="B2:C2" si="0">COUNTIF($E$4:$E$190,B1)</f>
        <v>13</v>
      </c>
      <c r="C2" s="2">
        <f t="shared" si="0"/>
        <v>3</v>
      </c>
      <c r="D2" s="64"/>
      <c r="E2" s="64">
        <f>SUM(F2:U2)</f>
        <v>596080</v>
      </c>
      <c r="F2" s="55">
        <f t="shared" ref="F2:H2" si="1">SUM(F$4:F$1000)</f>
        <v>36150</v>
      </c>
      <c r="G2" s="55">
        <f t="shared" si="1"/>
        <v>44550</v>
      </c>
      <c r="H2" s="55">
        <f t="shared" si="1"/>
        <v>48750</v>
      </c>
      <c r="I2" s="55">
        <f>SUM(I4:I29)</f>
        <v>3000</v>
      </c>
      <c r="J2" s="55">
        <f t="shared" ref="J2:U2" si="2">SUM(J$4:J$1000)</f>
        <v>48750</v>
      </c>
      <c r="K2" s="55">
        <f t="shared" si="2"/>
        <v>48750</v>
      </c>
      <c r="L2" s="55">
        <f t="shared" si="2"/>
        <v>47900</v>
      </c>
      <c r="M2" s="55">
        <f t="shared" si="2"/>
        <v>2500</v>
      </c>
      <c r="N2" s="55">
        <f t="shared" si="2"/>
        <v>47900</v>
      </c>
      <c r="O2" s="55">
        <f t="shared" si="2"/>
        <v>52100</v>
      </c>
      <c r="P2" s="55">
        <f t="shared" si="2"/>
        <v>52100</v>
      </c>
      <c r="Q2" s="55">
        <f t="shared" si="2"/>
        <v>2500</v>
      </c>
      <c r="R2" s="55">
        <f t="shared" si="2"/>
        <v>52100</v>
      </c>
      <c r="S2" s="55">
        <f t="shared" si="2"/>
        <v>52100</v>
      </c>
      <c r="T2" s="55">
        <f t="shared" si="2"/>
        <v>4830</v>
      </c>
      <c r="U2" s="55">
        <f t="shared" si="2"/>
        <v>52100</v>
      </c>
    </row>
    <row r="3" spans="1:32" ht="15.75" customHeight="1" x14ac:dyDescent="0.15">
      <c r="A3" s="56" t="s">
        <v>551</v>
      </c>
      <c r="B3" s="56" t="s">
        <v>3</v>
      </c>
      <c r="C3" s="56" t="s">
        <v>552</v>
      </c>
      <c r="D3" s="57" t="s">
        <v>582</v>
      </c>
      <c r="E3" s="56" t="s">
        <v>2</v>
      </c>
      <c r="F3" s="56" t="s">
        <v>557</v>
      </c>
      <c r="G3" s="56" t="s">
        <v>558</v>
      </c>
      <c r="H3" s="56" t="s">
        <v>559</v>
      </c>
      <c r="I3" s="57" t="s">
        <v>585</v>
      </c>
      <c r="J3" s="56" t="s">
        <v>560</v>
      </c>
      <c r="K3" s="56" t="s">
        <v>561</v>
      </c>
      <c r="L3" s="56" t="s">
        <v>562</v>
      </c>
      <c r="M3" s="57" t="s">
        <v>570</v>
      </c>
      <c r="N3" s="56" t="s">
        <v>563</v>
      </c>
      <c r="O3" s="56" t="s">
        <v>564</v>
      </c>
      <c r="P3" s="56" t="s">
        <v>565</v>
      </c>
      <c r="Q3" s="57" t="s">
        <v>570</v>
      </c>
      <c r="R3" s="56" t="s">
        <v>554</v>
      </c>
      <c r="S3" s="56" t="s">
        <v>555</v>
      </c>
      <c r="T3" s="57" t="s">
        <v>570</v>
      </c>
      <c r="U3" s="56" t="s">
        <v>556</v>
      </c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spans="1:32" ht="15.75" customHeight="1" x14ac:dyDescent="0.15">
      <c r="A4" s="58">
        <v>6</v>
      </c>
      <c r="B4" s="59" t="str">
        <f>IFERROR(VLOOKUP($A4,Admission!$1:$998,4,0),"")</f>
        <v>MD ESHARUL HAQUE</v>
      </c>
      <c r="C4" s="59" t="str">
        <f>IFERROR(VLOOKUP($A4,Admission!$1:$998,5,0),"")</f>
        <v>MD MOHAJERUL HAQUE</v>
      </c>
      <c r="D4" s="59">
        <f>IFERROR(VLOOKUP($A4,Admission!$1:$998,10,0),"")</f>
        <v>9939748660</v>
      </c>
      <c r="E4" s="59" t="str">
        <f>IFERROR(VLOOKUP($A4,Admission!$1:$998,3,0),"")</f>
        <v>Day Scholar</v>
      </c>
      <c r="F4" s="25">
        <v>850</v>
      </c>
      <c r="G4" s="25">
        <v>850</v>
      </c>
      <c r="H4" s="25">
        <v>850</v>
      </c>
      <c r="I4" s="25">
        <v>250</v>
      </c>
      <c r="J4" s="25">
        <v>850</v>
      </c>
      <c r="K4" s="25">
        <v>850</v>
      </c>
      <c r="L4" s="25">
        <v>850</v>
      </c>
      <c r="M4" s="25"/>
      <c r="N4" s="25">
        <v>850</v>
      </c>
      <c r="O4" s="25">
        <v>850</v>
      </c>
      <c r="P4" s="25">
        <v>850</v>
      </c>
      <c r="Q4" s="25"/>
      <c r="R4" s="25">
        <v>850</v>
      </c>
      <c r="S4" s="25">
        <v>850</v>
      </c>
      <c r="T4" s="25"/>
      <c r="U4" s="25">
        <v>850</v>
      </c>
    </row>
    <row r="5" spans="1:32" ht="15.75" customHeight="1" x14ac:dyDescent="0.15">
      <c r="A5" s="58">
        <v>8</v>
      </c>
      <c r="B5" s="59" t="str">
        <f>IFERROR(VLOOKUP($A5,Admission!$1:$998,4,0),"")</f>
        <v>MD ADIL ANSARI</v>
      </c>
      <c r="C5" s="59" t="str">
        <f>IFERROR(VLOOKUP($A5,Admission!$1:$998,5,0),"")</f>
        <v>MD ATAUR RAHMAN ANSARI</v>
      </c>
      <c r="D5" s="59">
        <f>IFERROR(VLOOKUP($A5,Admission!$1:$998,10,0),"")</f>
        <v>9123150068</v>
      </c>
      <c r="E5" s="59" t="str">
        <f>IFERROR(VLOOKUP($A5,Admission!$1:$998,3,0),"")</f>
        <v>Hosteller</v>
      </c>
      <c r="F5" s="25">
        <v>4200</v>
      </c>
      <c r="G5" s="25">
        <v>4200</v>
      </c>
      <c r="H5" s="25">
        <v>4200</v>
      </c>
      <c r="I5" s="25">
        <v>250</v>
      </c>
      <c r="J5" s="25">
        <v>4200</v>
      </c>
      <c r="K5" s="25">
        <v>4200</v>
      </c>
      <c r="L5" s="25">
        <v>4200</v>
      </c>
      <c r="M5" s="25">
        <v>250</v>
      </c>
      <c r="N5" s="25">
        <v>4200</v>
      </c>
      <c r="O5" s="25">
        <v>4200</v>
      </c>
      <c r="P5" s="23">
        <v>4200</v>
      </c>
      <c r="Q5" s="25"/>
      <c r="R5" s="25">
        <v>4200</v>
      </c>
      <c r="S5" s="25">
        <v>4200</v>
      </c>
      <c r="T5" s="25"/>
      <c r="U5" s="25">
        <v>4200</v>
      </c>
    </row>
    <row r="6" spans="1:32" ht="15.75" customHeight="1" x14ac:dyDescent="0.15">
      <c r="A6" s="58">
        <v>16</v>
      </c>
      <c r="B6" s="59" t="str">
        <f>IFERROR(VLOOKUP($A6,Admission!$1:$998,4,0),"")</f>
        <v>AYAAN AKHTAR</v>
      </c>
      <c r="C6" s="59" t="str">
        <f>IFERROR(VLOOKUP($A6,Admission!$1:$998,5,0),"")</f>
        <v>NASIM AKTAR</v>
      </c>
      <c r="D6" s="59">
        <f>IFERROR(VLOOKUP($A6,Admission!$1:$998,10,0),"")</f>
        <v>9430329392</v>
      </c>
      <c r="E6" s="59" t="str">
        <f>IFERROR(VLOOKUP($A6,Admission!$1:$998,3,0),"")</f>
        <v>Hosteller</v>
      </c>
      <c r="F6" s="25">
        <v>4200</v>
      </c>
      <c r="G6" s="25">
        <v>4200</v>
      </c>
      <c r="H6" s="25">
        <v>4200</v>
      </c>
      <c r="I6" s="25">
        <v>250</v>
      </c>
      <c r="J6" s="25">
        <v>4200</v>
      </c>
      <c r="K6" s="25">
        <v>4200</v>
      </c>
      <c r="L6" s="25">
        <v>4200</v>
      </c>
      <c r="M6" s="25">
        <v>250</v>
      </c>
      <c r="N6" s="25">
        <v>4200</v>
      </c>
      <c r="O6" s="25">
        <v>4200</v>
      </c>
      <c r="P6" s="25">
        <v>4200</v>
      </c>
      <c r="Q6" s="25">
        <v>250</v>
      </c>
      <c r="R6" s="25">
        <v>4200</v>
      </c>
      <c r="S6" s="25">
        <v>4200</v>
      </c>
      <c r="T6" s="25">
        <v>250</v>
      </c>
      <c r="U6" s="25">
        <v>4200</v>
      </c>
    </row>
    <row r="7" spans="1:32" ht="15.75" customHeight="1" x14ac:dyDescent="0.15">
      <c r="A7" s="58">
        <v>32</v>
      </c>
      <c r="B7" s="59" t="str">
        <f>IFERROR(VLOOKUP($A7,Admission!$1:$998,4,0),"")</f>
        <v>IMRAN ANSARI</v>
      </c>
      <c r="C7" s="59" t="str">
        <f>IFERROR(VLOOKUP($A7,Admission!$1:$998,5,0),"")</f>
        <v>AMIR HAMZA ANSARI</v>
      </c>
      <c r="D7" s="59">
        <f>IFERROR(VLOOKUP($A7,Admission!$1:$998,10,0),"")</f>
        <v>9771026583</v>
      </c>
      <c r="E7" s="59" t="str">
        <f>IFERROR(VLOOKUP($A7,Admission!$1:$998,3,0),"")</f>
        <v>Hosteller</v>
      </c>
      <c r="F7" s="25">
        <v>4200</v>
      </c>
      <c r="G7" s="25">
        <v>4200</v>
      </c>
      <c r="H7" s="25">
        <v>4200</v>
      </c>
      <c r="I7" s="25">
        <v>250</v>
      </c>
      <c r="J7" s="25">
        <v>4200</v>
      </c>
      <c r="K7" s="25">
        <v>4200</v>
      </c>
      <c r="L7" s="25">
        <v>4200</v>
      </c>
      <c r="M7" s="25">
        <v>250</v>
      </c>
      <c r="N7" s="25">
        <v>4200</v>
      </c>
      <c r="O7" s="25">
        <v>4200</v>
      </c>
      <c r="P7" s="25">
        <v>4200</v>
      </c>
      <c r="Q7" s="25">
        <v>250</v>
      </c>
      <c r="R7" s="25">
        <v>4200</v>
      </c>
      <c r="S7" s="25">
        <v>4200</v>
      </c>
      <c r="T7" s="25">
        <v>250</v>
      </c>
      <c r="U7" s="25">
        <v>4200</v>
      </c>
    </row>
    <row r="8" spans="1:32" ht="15.75" customHeight="1" x14ac:dyDescent="0.15">
      <c r="A8" s="58">
        <v>36</v>
      </c>
      <c r="B8" s="59" t="str">
        <f>IFERROR(VLOOKUP($A8,Admission!$1:$998,4,0),"")</f>
        <v>TOUHID ALAM</v>
      </c>
      <c r="C8" s="59" t="str">
        <f>IFERROR(VLOOKUP($A8,Admission!$1:$998,5,0),"")</f>
        <v>TOFAIL ISLAM</v>
      </c>
      <c r="D8" s="59">
        <f>IFERROR(VLOOKUP($A8,Admission!$1:$998,10,0),"")</f>
        <v>8340101326</v>
      </c>
      <c r="E8" s="59" t="str">
        <f>IFERROR(VLOOKUP($A8,Admission!$1:$998,3,0),"")</f>
        <v>Day Scholar</v>
      </c>
      <c r="F8" s="25">
        <v>850</v>
      </c>
      <c r="G8" s="25">
        <v>850</v>
      </c>
      <c r="H8" s="25">
        <v>850</v>
      </c>
      <c r="I8" s="25"/>
      <c r="J8" s="25">
        <v>850</v>
      </c>
      <c r="K8" s="25">
        <v>850</v>
      </c>
      <c r="L8" s="25" t="s">
        <v>313</v>
      </c>
      <c r="M8" s="25"/>
      <c r="N8" s="25" t="s">
        <v>313</v>
      </c>
      <c r="O8" s="25" t="s">
        <v>313</v>
      </c>
      <c r="P8" s="25" t="s">
        <v>313</v>
      </c>
      <c r="Q8" s="25" t="s">
        <v>313</v>
      </c>
      <c r="R8" s="25" t="s">
        <v>313</v>
      </c>
      <c r="S8" s="25" t="s">
        <v>313</v>
      </c>
      <c r="T8" s="25" t="s">
        <v>313</v>
      </c>
      <c r="U8" s="25" t="s">
        <v>313</v>
      </c>
    </row>
    <row r="9" spans="1:32" ht="15.75" customHeight="1" x14ac:dyDescent="0.15">
      <c r="A9" s="58">
        <v>49</v>
      </c>
      <c r="B9" s="59" t="str">
        <f>IFERROR(VLOOKUP($A9,Admission!$1:$998,4,0),"")</f>
        <v>FAIYAZ ALAM</v>
      </c>
      <c r="C9" s="59" t="str">
        <f>IFERROR(VLOOKUP($A9,Admission!$1:$998,5,0),"")</f>
        <v>MD AKMAL HUSSAIN</v>
      </c>
      <c r="D9" s="59">
        <f>IFERROR(VLOOKUP($A9,Admission!$1:$998,10,0),"")</f>
        <v>6201125220</v>
      </c>
      <c r="E9" s="59" t="str">
        <f>IFERROR(VLOOKUP($A9,Admission!$1:$998,3,0),"")</f>
        <v>Day Scholar</v>
      </c>
      <c r="F9" s="25">
        <v>850</v>
      </c>
      <c r="G9" s="25">
        <v>850</v>
      </c>
      <c r="H9" s="25">
        <v>850</v>
      </c>
      <c r="I9" s="25">
        <v>250</v>
      </c>
      <c r="J9" s="25">
        <v>850</v>
      </c>
      <c r="K9" s="25">
        <v>850</v>
      </c>
      <c r="L9" s="25">
        <v>850</v>
      </c>
      <c r="M9" s="25">
        <v>250</v>
      </c>
      <c r="N9" s="25">
        <v>850</v>
      </c>
      <c r="O9" s="25">
        <v>850</v>
      </c>
      <c r="P9" s="25">
        <v>850</v>
      </c>
      <c r="Q9" s="25">
        <v>250</v>
      </c>
      <c r="R9" s="25">
        <v>850</v>
      </c>
      <c r="S9" s="25">
        <v>850</v>
      </c>
      <c r="T9" s="25">
        <v>2580</v>
      </c>
      <c r="U9" s="25">
        <v>850</v>
      </c>
    </row>
    <row r="10" spans="1:32" ht="15.75" customHeight="1" x14ac:dyDescent="0.15">
      <c r="A10" s="58">
        <v>94</v>
      </c>
      <c r="B10" s="59" t="str">
        <f>IFERROR(VLOOKUP($A10,Admission!$1:$998,4,0),"")</f>
        <v>MD SARTAJ ANSARI</v>
      </c>
      <c r="C10" s="59" t="str">
        <f>IFERROR(VLOOKUP($A10,Admission!$1:$998,5,0),"")</f>
        <v>TOFIK ANSARI</v>
      </c>
      <c r="D10" s="59">
        <f>IFERROR(VLOOKUP($A10,Admission!$1:$998,10,0),"")</f>
        <v>9065655516</v>
      </c>
      <c r="E10" s="59" t="str">
        <f>IFERROR(VLOOKUP($A10,Admission!$1:$998,3,0),"")</f>
        <v>Hosteller</v>
      </c>
      <c r="F10" s="25">
        <v>0</v>
      </c>
      <c r="G10" s="25">
        <v>4200</v>
      </c>
      <c r="H10" s="25">
        <v>4200</v>
      </c>
      <c r="I10" s="25">
        <v>250</v>
      </c>
      <c r="J10" s="25">
        <v>4200</v>
      </c>
      <c r="K10" s="25">
        <v>4200</v>
      </c>
      <c r="L10" s="25">
        <v>4200</v>
      </c>
      <c r="M10" s="25">
        <v>250</v>
      </c>
      <c r="N10" s="25">
        <v>4200</v>
      </c>
      <c r="O10" s="25">
        <v>4200</v>
      </c>
      <c r="P10" s="25">
        <v>4200</v>
      </c>
      <c r="Q10" s="25">
        <v>250</v>
      </c>
      <c r="R10" s="25">
        <v>4200</v>
      </c>
      <c r="S10" s="25">
        <v>4200</v>
      </c>
      <c r="T10" s="25">
        <v>250</v>
      </c>
      <c r="U10" s="25">
        <v>4200</v>
      </c>
    </row>
    <row r="11" spans="1:32" ht="15.75" customHeight="1" x14ac:dyDescent="0.15">
      <c r="A11" s="58">
        <v>111</v>
      </c>
      <c r="B11" s="59" t="str">
        <f>IFERROR(VLOOKUP($A11,Admission!$1:$998,4,0),"")</f>
        <v>SOHIL ANWAR</v>
      </c>
      <c r="C11" s="59" t="str">
        <f>IFERROR(VLOOKUP($A11,Admission!$1:$998,5,0),"")</f>
        <v>KAUSAR SHAIKH</v>
      </c>
      <c r="D11" s="59">
        <f>IFERROR(VLOOKUP($A11,Admission!$1:$998,10,0),"")</f>
        <v>9523044245</v>
      </c>
      <c r="E11" s="59" t="str">
        <f>IFERROR(VLOOKUP($A11,Admission!$1:$998,3,0),"")</f>
        <v>Hosteller</v>
      </c>
      <c r="F11" s="25">
        <v>0</v>
      </c>
      <c r="G11" s="25">
        <v>4200</v>
      </c>
      <c r="H11" s="25">
        <v>4200</v>
      </c>
      <c r="I11" s="25">
        <v>250</v>
      </c>
      <c r="J11" s="25">
        <v>4200</v>
      </c>
      <c r="K11" s="25">
        <v>4200</v>
      </c>
      <c r="L11" s="25">
        <v>4200</v>
      </c>
      <c r="N11" s="25">
        <v>4200</v>
      </c>
      <c r="O11" s="25">
        <v>4200</v>
      </c>
      <c r="P11" s="25">
        <v>4200</v>
      </c>
      <c r="Q11" s="25"/>
      <c r="R11" s="25">
        <v>4200</v>
      </c>
      <c r="S11" s="25">
        <v>4200</v>
      </c>
      <c r="T11" s="25"/>
      <c r="U11" s="25">
        <v>4200</v>
      </c>
    </row>
    <row r="12" spans="1:32" ht="15.75" customHeight="1" x14ac:dyDescent="0.15">
      <c r="A12" s="58">
        <v>114</v>
      </c>
      <c r="B12" s="59" t="str">
        <f>IFERROR(VLOOKUP($A12,Admission!$1:$998,4,0),"")</f>
        <v>MD ARIF ANSARI</v>
      </c>
      <c r="C12" s="59" t="str">
        <f>IFERROR(VLOOKUP($A12,Admission!$1:$998,5,0),"")</f>
        <v>MD HUSSAIN</v>
      </c>
      <c r="D12" s="59">
        <f>IFERROR(VLOOKUP($A12,Admission!$1:$998,10,0),"")</f>
        <v>9883087421</v>
      </c>
      <c r="E12" s="59" t="str">
        <f>IFERROR(VLOOKUP($A12,Admission!$1:$998,3,0),"")</f>
        <v>Hosteller</v>
      </c>
      <c r="F12" s="25">
        <v>0</v>
      </c>
      <c r="G12" s="25">
        <v>4200</v>
      </c>
      <c r="H12" s="25">
        <v>4200</v>
      </c>
      <c r="I12" s="25">
        <v>250</v>
      </c>
      <c r="J12" s="25">
        <v>4200</v>
      </c>
      <c r="K12" s="25">
        <v>4200</v>
      </c>
      <c r="L12" s="25">
        <v>4200</v>
      </c>
      <c r="M12" s="25">
        <v>250</v>
      </c>
      <c r="N12" s="25">
        <v>4200</v>
      </c>
      <c r="O12" s="25">
        <v>4200</v>
      </c>
      <c r="P12" s="25">
        <v>4200</v>
      </c>
      <c r="Q12" s="25">
        <v>250</v>
      </c>
      <c r="R12" s="25">
        <v>4200</v>
      </c>
      <c r="S12" s="25">
        <v>4200</v>
      </c>
      <c r="T12" s="25">
        <v>250</v>
      </c>
      <c r="U12" s="25">
        <v>4200</v>
      </c>
    </row>
    <row r="13" spans="1:32" ht="15.75" customHeight="1" x14ac:dyDescent="0.15">
      <c r="A13" s="58">
        <v>127</v>
      </c>
      <c r="B13" s="59" t="str">
        <f>IFERROR(VLOOKUP($A13,Admission!$1:$998,4,0),"")</f>
        <v>FAUZAN ALAM</v>
      </c>
      <c r="C13" s="59" t="str">
        <f>IFERROR(VLOOKUP($A13,Admission!$1:$998,5,0),"")</f>
        <v xml:space="preserve">ABDUL KHABIR </v>
      </c>
      <c r="D13" s="59">
        <f>IFERROR(VLOOKUP($A13,Admission!$1:$998,10,0),"")</f>
        <v>9572384523</v>
      </c>
      <c r="E13" s="59" t="str">
        <f>IFERROR(VLOOKUP($A13,Admission!$1:$998,3,0),"")</f>
        <v>Hosteller</v>
      </c>
      <c r="F13" s="25">
        <v>4200</v>
      </c>
      <c r="G13" s="25">
        <v>4200</v>
      </c>
      <c r="H13" s="25">
        <v>4200</v>
      </c>
      <c r="I13" s="25"/>
      <c r="J13" s="25">
        <v>4200</v>
      </c>
      <c r="K13" s="25">
        <v>4200</v>
      </c>
      <c r="L13" s="25">
        <v>4200</v>
      </c>
      <c r="M13" s="25"/>
      <c r="N13" s="25">
        <v>4200</v>
      </c>
      <c r="O13" s="25">
        <v>4200</v>
      </c>
      <c r="P13" s="25">
        <v>4200</v>
      </c>
      <c r="Q13" s="25"/>
      <c r="R13" s="25">
        <v>4200</v>
      </c>
      <c r="S13" s="25">
        <v>4200</v>
      </c>
      <c r="T13" s="25"/>
      <c r="U13" s="25">
        <v>4200</v>
      </c>
    </row>
    <row r="14" spans="1:32" ht="15.75" customHeight="1" x14ac:dyDescent="0.15">
      <c r="A14" s="58">
        <v>107</v>
      </c>
      <c r="B14" s="59" t="str">
        <f>IFERROR(VLOOKUP($A14,Admission!$1:$998,4,0),"")</f>
        <v>MAHBUB ANSARI</v>
      </c>
      <c r="C14" s="59" t="str">
        <f>IFERROR(VLOOKUP($A14,Admission!$1:$998,5,0),"")</f>
        <v>TOFIK  ANSARI</v>
      </c>
      <c r="D14" s="59">
        <f>IFERROR(VLOOKUP($A14,Admission!$1:$998,10,0),"")</f>
        <v>7739685238</v>
      </c>
      <c r="E14" s="59" t="str">
        <f>IFERROR(VLOOKUP($A14,Admission!$1:$998,3,0),"")</f>
        <v>Hosteller</v>
      </c>
      <c r="F14" s="25">
        <v>4200</v>
      </c>
      <c r="G14" s="25">
        <v>4200</v>
      </c>
      <c r="H14" s="25">
        <v>4200</v>
      </c>
      <c r="I14" s="25">
        <v>250</v>
      </c>
      <c r="J14" s="25">
        <v>4200</v>
      </c>
      <c r="K14" s="25">
        <v>4200</v>
      </c>
      <c r="L14" s="25">
        <v>4200</v>
      </c>
      <c r="M14" s="25">
        <v>250</v>
      </c>
      <c r="N14" s="25">
        <v>4200</v>
      </c>
      <c r="O14" s="25">
        <v>4200</v>
      </c>
      <c r="P14" s="25">
        <v>4200</v>
      </c>
      <c r="Q14" s="25">
        <v>250</v>
      </c>
      <c r="R14" s="25">
        <v>4200</v>
      </c>
      <c r="S14" s="25">
        <v>4200</v>
      </c>
      <c r="T14" s="25">
        <v>250</v>
      </c>
      <c r="U14" s="25">
        <v>4200</v>
      </c>
    </row>
    <row r="15" spans="1:32" ht="15.75" customHeight="1" x14ac:dyDescent="0.15">
      <c r="A15" s="58">
        <v>132</v>
      </c>
      <c r="B15" s="59" t="str">
        <f>IFERROR(VLOOKUP($A15,Admission!$1:$998,4,0),"")</f>
        <v>SUPAYAN ANSARI</v>
      </c>
      <c r="C15" s="59" t="str">
        <f>IFERROR(VLOOKUP($A15,Admission!$1:$998,5,0),"")</f>
        <v>BAHARUDDIN ANSARI</v>
      </c>
      <c r="D15" s="59">
        <f>IFERROR(VLOOKUP($A15,Admission!$1:$998,10,0),"")</f>
        <v>7783066339</v>
      </c>
      <c r="E15" s="59" t="str">
        <f>IFERROR(VLOOKUP($A15,Admission!$1:$998,3,0),"")</f>
        <v>Hosteller</v>
      </c>
      <c r="F15" s="25">
        <v>4200</v>
      </c>
      <c r="G15" s="25">
        <v>4200</v>
      </c>
      <c r="H15" s="25">
        <v>4200</v>
      </c>
      <c r="I15" s="25">
        <v>250</v>
      </c>
      <c r="J15" s="25">
        <v>4200</v>
      </c>
      <c r="K15" s="25">
        <v>4200</v>
      </c>
      <c r="L15" s="25">
        <v>4200</v>
      </c>
      <c r="M15" s="25">
        <v>250</v>
      </c>
      <c r="N15" s="25">
        <v>4200</v>
      </c>
      <c r="O15" s="25">
        <v>4200</v>
      </c>
      <c r="P15" s="25">
        <v>4200</v>
      </c>
      <c r="Q15" s="25">
        <v>250</v>
      </c>
      <c r="R15" s="25">
        <v>4200</v>
      </c>
      <c r="S15" s="25">
        <v>4200</v>
      </c>
      <c r="T15" s="25">
        <v>250</v>
      </c>
      <c r="U15" s="25">
        <v>4200</v>
      </c>
    </row>
    <row r="16" spans="1:32" ht="15.75" customHeight="1" x14ac:dyDescent="0.15">
      <c r="A16" s="58">
        <v>134</v>
      </c>
      <c r="B16" s="59" t="str">
        <f>IFERROR(VLOOKUP($A16,Admission!$1:$998,4,0),"")</f>
        <v>RAFIKUL ISLAM,</v>
      </c>
      <c r="C16" s="59" t="str">
        <f>IFERROR(VLOOKUP($A16,Admission!$1:$998,5,0),"")</f>
        <v>TARIKUL ISLAM</v>
      </c>
      <c r="D16" s="59">
        <f>IFERROR(VLOOKUP($A16,Admission!$1:$998,10,0),"")</f>
        <v>9006089948</v>
      </c>
      <c r="E16" s="59" t="str">
        <f>IFERROR(VLOOKUP($A16,Admission!$1:$998,3,0),"")</f>
        <v>Hosteller</v>
      </c>
      <c r="F16" s="25">
        <v>4200</v>
      </c>
      <c r="G16" s="25">
        <v>4200</v>
      </c>
      <c r="H16" s="25">
        <v>4200</v>
      </c>
      <c r="I16" s="25">
        <v>250</v>
      </c>
      <c r="J16" s="25">
        <v>4200</v>
      </c>
      <c r="K16" s="25">
        <v>4200</v>
      </c>
      <c r="L16" s="25">
        <v>4200</v>
      </c>
      <c r="M16" s="25">
        <v>250</v>
      </c>
      <c r="N16" s="25">
        <v>4200</v>
      </c>
      <c r="O16" s="25">
        <v>4200</v>
      </c>
      <c r="P16" s="25">
        <v>4200</v>
      </c>
      <c r="Q16" s="25">
        <v>250</v>
      </c>
      <c r="R16" s="25">
        <v>4200</v>
      </c>
      <c r="S16" s="25">
        <v>4200</v>
      </c>
      <c r="T16" s="25">
        <v>250</v>
      </c>
      <c r="U16" s="25">
        <v>4200</v>
      </c>
    </row>
    <row r="17" spans="1:21" ht="15.75" customHeight="1" x14ac:dyDescent="0.15">
      <c r="A17" s="58">
        <v>136</v>
      </c>
      <c r="B17" s="59" t="str">
        <f>IFERROR(VLOOKUP($A17,Admission!$1:$998,4,0),"")</f>
        <v>ASFAQ ALAM</v>
      </c>
      <c r="C17" s="59" t="str">
        <f>IFERROR(VLOOKUP($A17,Admission!$1:$998,5,0),"")</f>
        <v>TARIKUL ISLAM</v>
      </c>
      <c r="D17" s="59">
        <f>IFERROR(VLOOKUP($A17,Admission!$1:$998,10,0),"")</f>
        <v>9801066582</v>
      </c>
      <c r="E17" s="59" t="str">
        <f>IFERROR(VLOOKUP($A17,Admission!$1:$998,3,0),"")</f>
        <v>Hosteller</v>
      </c>
      <c r="F17" s="25">
        <v>4200</v>
      </c>
      <c r="G17" s="25"/>
      <c r="H17" s="25"/>
      <c r="I17" s="25"/>
      <c r="J17" s="25" t="s">
        <v>579</v>
      </c>
      <c r="K17" s="25" t="s">
        <v>313</v>
      </c>
      <c r="L17" s="25" t="s">
        <v>313</v>
      </c>
      <c r="M17" s="25" t="s">
        <v>313</v>
      </c>
      <c r="N17" s="25" t="s">
        <v>313</v>
      </c>
      <c r="O17" s="25" t="s">
        <v>579</v>
      </c>
      <c r="P17" s="25" t="s">
        <v>579</v>
      </c>
      <c r="Q17" s="25" t="s">
        <v>579</v>
      </c>
      <c r="R17" s="25" t="s">
        <v>579</v>
      </c>
      <c r="S17" s="25" t="s">
        <v>579</v>
      </c>
      <c r="T17" s="25" t="s">
        <v>579</v>
      </c>
      <c r="U17" s="25" t="s">
        <v>579</v>
      </c>
    </row>
    <row r="18" spans="1:21" ht="15.75" customHeight="1" x14ac:dyDescent="0.15">
      <c r="A18" s="58">
        <v>150</v>
      </c>
      <c r="B18" s="59" t="str">
        <f>IFERROR(VLOOKUP($A18,Admission!$1:$998,4,0),"")</f>
        <v>HABIBUR  BASAR</v>
      </c>
      <c r="C18" s="59" t="str">
        <f>IFERROR(VLOOKUP($A18,Admission!$1:$998,5,0),"")</f>
        <v>MUNSUR SHEKH</v>
      </c>
      <c r="D18" s="59">
        <f>IFERROR(VLOOKUP($A18,Admission!$1:$998,10,0),"")</f>
        <v>9060522417</v>
      </c>
      <c r="E18" s="59" t="str">
        <f>IFERROR(VLOOKUP($A18,Admission!$1:$998,3,0),"")</f>
        <v>Hosteller</v>
      </c>
      <c r="F18" s="25">
        <v>0</v>
      </c>
      <c r="G18" s="25">
        <v>0</v>
      </c>
      <c r="H18" s="25">
        <v>4200</v>
      </c>
      <c r="I18" s="25">
        <v>250</v>
      </c>
      <c r="J18" s="25">
        <v>4200</v>
      </c>
      <c r="K18" s="25">
        <v>4200</v>
      </c>
      <c r="L18" s="25">
        <v>4200</v>
      </c>
      <c r="M18" s="25">
        <v>250</v>
      </c>
      <c r="N18" s="25">
        <v>4200</v>
      </c>
      <c r="O18" s="25">
        <v>4200</v>
      </c>
      <c r="P18" s="25">
        <v>4200</v>
      </c>
      <c r="Q18" s="25">
        <v>250</v>
      </c>
      <c r="R18" s="25">
        <v>4200</v>
      </c>
      <c r="S18" s="25">
        <v>4200</v>
      </c>
      <c r="T18" s="25">
        <v>250</v>
      </c>
      <c r="U18" s="25">
        <v>4200</v>
      </c>
    </row>
    <row r="19" spans="1:21" ht="15.75" customHeight="1" x14ac:dyDescent="0.15">
      <c r="A19" s="58" t="s">
        <v>586</v>
      </c>
      <c r="B19" s="59" t="s">
        <v>546</v>
      </c>
      <c r="C19" s="59" t="s">
        <v>587</v>
      </c>
      <c r="D19" s="59">
        <v>6200648579</v>
      </c>
      <c r="E19" s="59" t="s">
        <v>15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4200</v>
      </c>
      <c r="P19" s="25">
        <v>4200</v>
      </c>
      <c r="Q19" s="25">
        <v>250</v>
      </c>
      <c r="R19" s="25">
        <v>4200</v>
      </c>
      <c r="S19" s="25">
        <v>4200</v>
      </c>
      <c r="T19" s="25">
        <v>250</v>
      </c>
      <c r="U19" s="25">
        <v>4200</v>
      </c>
    </row>
    <row r="20" spans="1:21" ht="15.75" customHeight="1" x14ac:dyDescent="0.15">
      <c r="A20" s="58"/>
      <c r="B20" s="59" t="str">
        <f>IFERROR(VLOOKUP($A20,Admission!$1:$998,4,0),"")</f>
        <v/>
      </c>
      <c r="C20" s="59" t="str">
        <f>IFERROR(VLOOKUP($A20,Admission!$1:$998,5,0),"")</f>
        <v/>
      </c>
      <c r="D20" s="59" t="str">
        <f>IFERROR(VLOOKUP($A20,Admission!$1:$998,10,0),"")</f>
        <v/>
      </c>
      <c r="E20" s="59" t="str">
        <f>IFERROR(VLOOKUP($A20,Admission!$1:$998,3,0),"")</f>
        <v/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r="21" spans="1:21" ht="15.75" customHeight="1" x14ac:dyDescent="0.15">
      <c r="A21" s="58"/>
      <c r="B21" s="59" t="str">
        <f>IFERROR(VLOOKUP($A21,Admission!$1:$998,4,0),"")</f>
        <v/>
      </c>
      <c r="C21" s="59" t="str">
        <f>IFERROR(VLOOKUP($A21,Admission!$1:$998,5,0),"")</f>
        <v/>
      </c>
      <c r="D21" s="59" t="str">
        <f>IFERROR(VLOOKUP($A21,Admission!$1:$998,10,0),"")</f>
        <v/>
      </c>
      <c r="E21" s="59" t="str">
        <f>IFERROR(VLOOKUP($A21,Admission!$1:$998,3,0),"")</f>
        <v/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</row>
    <row r="22" spans="1:21" ht="15.75" customHeight="1" x14ac:dyDescent="0.15">
      <c r="A22" s="58"/>
      <c r="B22" s="59" t="str">
        <f>IFERROR(VLOOKUP($A22,Admission!$1:$998,4,0),"")</f>
        <v/>
      </c>
      <c r="C22" s="59" t="str">
        <f>IFERROR(VLOOKUP($A22,Admission!$1:$998,5,0),"")</f>
        <v/>
      </c>
      <c r="D22" s="59"/>
      <c r="E22" s="59" t="str">
        <f>IFERROR(VLOOKUP($A22,Admission!$1:$998,3,0),"")</f>
        <v/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1" ht="15.75" customHeight="1" x14ac:dyDescent="0.15">
      <c r="A23" s="58"/>
      <c r="B23" s="59" t="str">
        <f>IFERROR(VLOOKUP($A23,Admission!$1:$998,4,0),"")</f>
        <v/>
      </c>
      <c r="C23" s="59" t="str">
        <f>IFERROR(VLOOKUP($A23,Admission!$1:$998,5,0),"")</f>
        <v/>
      </c>
      <c r="D23" s="59"/>
      <c r="E23" s="59" t="str">
        <f>IFERROR(VLOOKUP($A23,Admission!$1:$998,3,0),"")</f>
        <v/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1" ht="15.75" customHeight="1" x14ac:dyDescent="0.15">
      <c r="A24" s="58"/>
      <c r="B24" s="59" t="str">
        <f>IFERROR(VLOOKUP($A24,Admission!$1:$998,4,0),"")</f>
        <v/>
      </c>
      <c r="C24" s="59" t="str">
        <f>IFERROR(VLOOKUP($A24,Admission!$1:$998,5,0),"")</f>
        <v/>
      </c>
      <c r="D24" s="59"/>
      <c r="E24" s="59" t="str">
        <f>IFERROR(VLOOKUP($A24,Admission!$1:$998,3,0),"")</f>
        <v/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1" ht="15.75" customHeight="1" x14ac:dyDescent="0.15">
      <c r="A25" s="58"/>
      <c r="B25" s="59" t="str">
        <f>IFERROR(VLOOKUP($A25,Admission!$1:$998,4,0),"")</f>
        <v/>
      </c>
      <c r="C25" s="59" t="str">
        <f>IFERROR(VLOOKUP($A25,Admission!$1:$998,5,0),"")</f>
        <v/>
      </c>
      <c r="D25" s="59"/>
      <c r="E25" s="59" t="str">
        <f>IFERROR(VLOOKUP($A25,Admission!$1:$998,3,0),"")</f>
        <v/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1:21" ht="15.75" customHeight="1" x14ac:dyDescent="0.15">
      <c r="A26" s="58"/>
      <c r="B26" s="59" t="str">
        <f>IFERROR(VLOOKUP($A26,Admission!$1:$998,4,0),"")</f>
        <v/>
      </c>
      <c r="C26" s="59" t="str">
        <f>IFERROR(VLOOKUP($A26,Admission!$1:$998,5,0),"")</f>
        <v/>
      </c>
      <c r="D26" s="59"/>
      <c r="E26" s="59" t="str">
        <f>IFERROR(VLOOKUP($A26,Admission!$1:$998,3,0),"")</f>
        <v/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ht="15.75" customHeight="1" x14ac:dyDescent="0.15">
      <c r="A27" s="58"/>
      <c r="B27" s="59" t="str">
        <f>IFERROR(VLOOKUP($A27,Admission!$1:$998,4,0),"")</f>
        <v/>
      </c>
      <c r="C27" s="59" t="str">
        <f>IFERROR(VLOOKUP($A27,Admission!$1:$998,5,0),"")</f>
        <v/>
      </c>
      <c r="D27" s="59"/>
      <c r="E27" s="59" t="str">
        <f>IFERROR(VLOOKUP($A27,Admission!$1:$998,3,0),"")</f>
        <v/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1" ht="15.75" customHeight="1" x14ac:dyDescent="0.15">
      <c r="A28" s="58"/>
      <c r="B28" s="59" t="str">
        <f>IFERROR(VLOOKUP($A28,Admission!$1:$998,4,0),"")</f>
        <v/>
      </c>
      <c r="C28" s="59" t="str">
        <f>IFERROR(VLOOKUP($A28,Admission!$1:$998,5,0),"")</f>
        <v/>
      </c>
      <c r="D28" s="59"/>
      <c r="E28" s="59" t="str">
        <f>IFERROR(VLOOKUP($A28,Admission!$1:$998,3,0),"")</f>
        <v/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ht="15.75" customHeight="1" x14ac:dyDescent="0.15">
      <c r="A29" s="58"/>
      <c r="B29" s="59" t="str">
        <f>IFERROR(VLOOKUP($A29,Admission!$1:$998,4,0),"")</f>
        <v/>
      </c>
      <c r="C29" s="59" t="str">
        <f>IFERROR(VLOOKUP($A29,Admission!$1:$998,5,0),"")</f>
        <v/>
      </c>
      <c r="D29" s="59"/>
      <c r="E29" s="59" t="str">
        <f>IFERROR(VLOOKUP($A29,Admission!$1:$998,3,0),"")</f>
        <v/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ht="15.75" customHeight="1" x14ac:dyDescent="0.15">
      <c r="A30" s="58"/>
      <c r="B30" s="59" t="str">
        <f>IFERROR(VLOOKUP($A30,Admission!$1:$998,4,0),"")</f>
        <v/>
      </c>
      <c r="C30" s="59" t="str">
        <f>IFERROR(VLOOKUP($A30,Admission!$1:$998,5,0),"")</f>
        <v/>
      </c>
      <c r="D30" s="59"/>
      <c r="E30" s="59" t="str">
        <f>IFERROR(VLOOKUP($A30,Admission!$1:$998,3,0),"")</f>
        <v/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 ht="15.75" customHeight="1" x14ac:dyDescent="0.15">
      <c r="A31" s="58"/>
      <c r="B31" s="59" t="str">
        <f>IFERROR(VLOOKUP($A31,Admission!$1:$998,4,0),"")</f>
        <v/>
      </c>
      <c r="C31" s="59" t="str">
        <f>IFERROR(VLOOKUP($A31,Admission!$1:$998,5,0),"")</f>
        <v/>
      </c>
      <c r="D31" s="59"/>
      <c r="E31" s="59" t="str">
        <f>IFERROR(VLOOKUP($A31,Admission!$1:$998,3,0),"")</f>
        <v/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1:21" ht="15.75" customHeight="1" x14ac:dyDescent="0.15">
      <c r="A32" s="58"/>
      <c r="B32" s="59" t="str">
        <f>IFERROR(VLOOKUP($A32,Admission!$1:$998,4,0),"")</f>
        <v/>
      </c>
      <c r="C32" s="59" t="str">
        <f>IFERROR(VLOOKUP($A32,Admission!$1:$998,5,0),"")</f>
        <v/>
      </c>
      <c r="D32" s="59"/>
      <c r="E32" s="59" t="str">
        <f>IFERROR(VLOOKUP($A32,Admission!$1:$998,3,0),"")</f>
        <v/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1:21" ht="15.75" customHeight="1" x14ac:dyDescent="0.15">
      <c r="A33" s="58"/>
      <c r="B33" s="59" t="str">
        <f>IFERROR(VLOOKUP($A33,Admission!$1:$998,4,0),"")</f>
        <v/>
      </c>
      <c r="C33" s="59" t="str">
        <f>IFERROR(VLOOKUP($A33,Admission!$1:$998,5,0),"")</f>
        <v/>
      </c>
      <c r="D33" s="59"/>
      <c r="E33" s="59" t="str">
        <f>IFERROR(VLOOKUP($A33,Admission!$1:$998,3,0),"")</f>
        <v/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1:21" ht="15.75" customHeight="1" x14ac:dyDescent="0.15">
      <c r="A34" s="58"/>
      <c r="B34" s="59" t="str">
        <f>IFERROR(VLOOKUP($A34,Admission!$1:$998,4,0),"")</f>
        <v/>
      </c>
      <c r="C34" s="59" t="str">
        <f>IFERROR(VLOOKUP($A34,Admission!$1:$998,5,0),"")</f>
        <v/>
      </c>
      <c r="D34" s="59"/>
      <c r="E34" s="59" t="str">
        <f>IFERROR(VLOOKUP($A34,Admission!$1:$998,3,0),"")</f>
        <v/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1:21" ht="15.75" customHeight="1" x14ac:dyDescent="0.15">
      <c r="A35" s="58"/>
      <c r="B35" s="59" t="str">
        <f>IFERROR(VLOOKUP($A35,Admission!$1:$998,4,0),"")</f>
        <v/>
      </c>
      <c r="C35" s="59" t="str">
        <f>IFERROR(VLOOKUP($A35,Admission!$1:$998,5,0),"")</f>
        <v/>
      </c>
      <c r="D35" s="59"/>
      <c r="E35" s="59" t="str">
        <f>IFERROR(VLOOKUP($A35,Admission!$1:$998,3,0),"")</f>
        <v/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1:21" ht="15.75" customHeight="1" x14ac:dyDescent="0.15">
      <c r="A36" s="58"/>
      <c r="B36" s="59" t="str">
        <f>IFERROR(VLOOKUP($A36,Admission!$1:$998,4,0),"")</f>
        <v/>
      </c>
      <c r="C36" s="59" t="str">
        <f>IFERROR(VLOOKUP($A36,Admission!$1:$998,5,0),"")</f>
        <v/>
      </c>
      <c r="D36" s="59"/>
      <c r="E36" s="59" t="str">
        <f>IFERROR(VLOOKUP($A36,Admission!$1:$998,3,0),"")</f>
        <v/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1:21" ht="15.75" customHeight="1" x14ac:dyDescent="0.15">
      <c r="A37" s="58"/>
      <c r="B37" s="59" t="str">
        <f>IFERROR(VLOOKUP($A37,Admission!$1:$998,4,0),"")</f>
        <v/>
      </c>
      <c r="C37" s="59" t="str">
        <f>IFERROR(VLOOKUP($A37,Admission!$1:$998,5,0),"")</f>
        <v/>
      </c>
      <c r="D37" s="59"/>
      <c r="E37" s="59" t="str">
        <f>IFERROR(VLOOKUP($A37,Admission!$1:$998,3,0),"")</f>
        <v/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1:21" ht="15.75" customHeight="1" x14ac:dyDescent="0.15">
      <c r="A38" s="58"/>
      <c r="B38" s="59" t="str">
        <f>IFERROR(VLOOKUP($A38,Admission!$1:$998,4,0),"")</f>
        <v/>
      </c>
      <c r="C38" s="59" t="str">
        <f>IFERROR(VLOOKUP($A38,Admission!$1:$998,5,0),"")</f>
        <v/>
      </c>
      <c r="D38" s="59"/>
      <c r="E38" s="59" t="str">
        <f>IFERROR(VLOOKUP($A38,Admission!$1:$998,3,0),"")</f>
        <v/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1:21" ht="15.75" customHeight="1" x14ac:dyDescent="0.15">
      <c r="A39" s="58"/>
      <c r="B39" s="59" t="str">
        <f>IFERROR(VLOOKUP($A39,Admission!$1:$998,4,0),"")</f>
        <v/>
      </c>
      <c r="C39" s="59" t="str">
        <f>IFERROR(VLOOKUP($A39,Admission!$1:$998,5,0),"")</f>
        <v/>
      </c>
      <c r="D39" s="59"/>
      <c r="E39" s="59" t="str">
        <f>IFERROR(VLOOKUP($A39,Admission!$1:$998,3,0),"")</f>
        <v/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ht="15.75" customHeight="1" x14ac:dyDescent="0.15">
      <c r="A40" s="58"/>
      <c r="B40" s="59" t="str">
        <f>IFERROR(VLOOKUP($A40,Admission!$1:$998,4,0),"")</f>
        <v/>
      </c>
      <c r="C40" s="59" t="str">
        <f>IFERROR(VLOOKUP($A40,Admission!$1:$998,5,0),"")</f>
        <v/>
      </c>
      <c r="D40" s="59"/>
      <c r="E40" s="59" t="str">
        <f>IFERROR(VLOOKUP($A40,Admission!$1:$998,3,0),"")</f>
        <v/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1:21" ht="15.75" customHeight="1" x14ac:dyDescent="0.15">
      <c r="A41" s="58"/>
      <c r="B41" s="59" t="str">
        <f>IFERROR(VLOOKUP($A41,Admission!$1:$998,4,0),"")</f>
        <v/>
      </c>
      <c r="C41" s="59" t="str">
        <f>IFERROR(VLOOKUP($A41,Admission!$1:$998,5,0),"")</f>
        <v/>
      </c>
      <c r="D41" s="59"/>
      <c r="E41" s="59" t="str">
        <f>IFERROR(VLOOKUP($A41,Admission!$1:$998,3,0),"")</f>
        <v/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1:21" ht="15.75" customHeight="1" x14ac:dyDescent="0.15">
      <c r="A42" s="58"/>
      <c r="B42" s="59" t="str">
        <f>IFERROR(VLOOKUP($A42,Admission!$1:$998,4,0),"")</f>
        <v/>
      </c>
      <c r="C42" s="59" t="str">
        <f>IFERROR(VLOOKUP($A42,Admission!$1:$998,5,0),"")</f>
        <v/>
      </c>
      <c r="D42" s="59"/>
      <c r="E42" s="59" t="str">
        <f>IFERROR(VLOOKUP($A42,Admission!$1:$998,3,0),"")</f>
        <v/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1:21" ht="15.75" customHeight="1" x14ac:dyDescent="0.15">
      <c r="A43" s="58"/>
      <c r="B43" s="59" t="str">
        <f>IFERROR(VLOOKUP($A43,Admission!$1:$998,4,0),"")</f>
        <v/>
      </c>
      <c r="C43" s="59" t="str">
        <f>IFERROR(VLOOKUP($A43,Admission!$1:$998,5,0),"")</f>
        <v/>
      </c>
      <c r="D43" s="59"/>
      <c r="E43" s="59" t="str">
        <f>IFERROR(VLOOKUP($A43,Admission!$1:$998,3,0),"")</f>
        <v/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21" ht="15.75" customHeight="1" x14ac:dyDescent="0.15">
      <c r="A44" s="58"/>
      <c r="B44" s="59" t="str">
        <f>IFERROR(VLOOKUP($A44,Admission!$1:$998,4,0),"")</f>
        <v/>
      </c>
      <c r="C44" s="59" t="str">
        <f>IFERROR(VLOOKUP($A44,Admission!$1:$998,5,0),"")</f>
        <v/>
      </c>
      <c r="D44" s="59"/>
      <c r="E44" s="59" t="str">
        <f>IFERROR(VLOOKUP($A44,Admission!$1:$998,3,0),"")</f>
        <v/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21" ht="15.75" customHeight="1" x14ac:dyDescent="0.15">
      <c r="A45" s="58"/>
      <c r="B45" s="59" t="str">
        <f>IFERROR(VLOOKUP($A45,Admission!$1:$998,4,0),"")</f>
        <v/>
      </c>
      <c r="C45" s="59" t="str">
        <f>IFERROR(VLOOKUP($A45,Admission!$1:$998,5,0),"")</f>
        <v/>
      </c>
      <c r="D45" s="59"/>
      <c r="E45" s="59" t="str">
        <f>IFERROR(VLOOKUP($A45,Admission!$1:$998,3,0),"")</f>
        <v/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1:21" ht="15.75" customHeight="1" x14ac:dyDescent="0.15">
      <c r="A46" s="58"/>
      <c r="B46" s="59" t="str">
        <f>IFERROR(VLOOKUP($A46,Admission!$1:$998,4,0),"")</f>
        <v/>
      </c>
      <c r="C46" s="59" t="str">
        <f>IFERROR(VLOOKUP($A46,Admission!$1:$998,5,0),"")</f>
        <v/>
      </c>
      <c r="D46" s="59"/>
      <c r="E46" s="59" t="str">
        <f>IFERROR(VLOOKUP($A46,Admission!$1:$998,3,0),"")</f>
        <v/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1:21" ht="15.75" customHeight="1" x14ac:dyDescent="0.15">
      <c r="A47" s="58"/>
      <c r="B47" s="59" t="str">
        <f>IFERROR(VLOOKUP($A47,Admission!$1:$998,4,0),"")</f>
        <v/>
      </c>
      <c r="C47" s="59" t="str">
        <f>IFERROR(VLOOKUP($A47,Admission!$1:$998,5,0),"")</f>
        <v/>
      </c>
      <c r="D47" s="59"/>
      <c r="E47" s="59" t="str">
        <f>IFERROR(VLOOKUP($A47,Admission!$1:$998,3,0),"")</f>
        <v/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1:21" ht="15.75" customHeight="1" x14ac:dyDescent="0.15">
      <c r="A48" s="58"/>
      <c r="B48" s="59" t="str">
        <f>IFERROR(VLOOKUP($A48,Admission!$1:$998,4,0),"")</f>
        <v/>
      </c>
      <c r="C48" s="59" t="str">
        <f>IFERROR(VLOOKUP($A48,Admission!$1:$998,5,0),"")</f>
        <v/>
      </c>
      <c r="D48" s="59"/>
      <c r="E48" s="59" t="str">
        <f>IFERROR(VLOOKUP($A48,Admission!$1:$998,3,0),"")</f>
        <v/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1:21" ht="15.75" customHeight="1" x14ac:dyDescent="0.15">
      <c r="A49" s="58"/>
      <c r="B49" s="59" t="str">
        <f>IFERROR(VLOOKUP($A49,Admission!$1:$998,4,0),"")</f>
        <v/>
      </c>
      <c r="C49" s="59" t="str">
        <f>IFERROR(VLOOKUP($A49,Admission!$1:$998,5,0),"")</f>
        <v/>
      </c>
      <c r="D49" s="59"/>
      <c r="E49" s="59" t="str">
        <f>IFERROR(VLOOKUP($A49,Admission!$1:$998,3,0),"")</f>
        <v/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1:21" ht="15.75" customHeight="1" x14ac:dyDescent="0.15">
      <c r="A50" s="58"/>
      <c r="B50" s="59" t="str">
        <f>IFERROR(VLOOKUP($A50,Admission!$1:$998,4,0),"")</f>
        <v/>
      </c>
      <c r="C50" s="59" t="str">
        <f>IFERROR(VLOOKUP($A50,Admission!$1:$998,5,0),"")</f>
        <v/>
      </c>
      <c r="D50" s="59"/>
      <c r="E50" s="59" t="str">
        <f>IFERROR(VLOOKUP($A50,Admission!$1:$998,3,0),"")</f>
        <v/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1:21" ht="15.75" customHeight="1" x14ac:dyDescent="0.15">
      <c r="A51" s="58"/>
      <c r="B51" s="59" t="str">
        <f>IFERROR(VLOOKUP($A51,Admission!$1:$998,4,0),"")</f>
        <v/>
      </c>
      <c r="C51" s="59" t="str">
        <f>IFERROR(VLOOKUP($A51,Admission!$1:$998,5,0),"")</f>
        <v/>
      </c>
      <c r="D51" s="59"/>
      <c r="E51" s="59" t="str">
        <f>IFERROR(VLOOKUP($A51,Admission!$1:$998,3,0),"")</f>
        <v/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</row>
    <row r="52" spans="1:21" ht="15.75" customHeight="1" x14ac:dyDescent="0.15">
      <c r="A52" s="58"/>
      <c r="B52" s="59" t="str">
        <f>IFERROR(VLOOKUP($A52,Admission!$1:$998,4,0),"")</f>
        <v/>
      </c>
      <c r="C52" s="59" t="str">
        <f>IFERROR(VLOOKUP($A52,Admission!$1:$998,5,0),"")</f>
        <v/>
      </c>
      <c r="D52" s="59"/>
      <c r="E52" s="59" t="str">
        <f>IFERROR(VLOOKUP($A52,Admission!$1:$998,3,0),"")</f>
        <v/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ht="15.75" customHeight="1" x14ac:dyDescent="0.15">
      <c r="A53" s="58"/>
      <c r="B53" s="59" t="str">
        <f>IFERROR(VLOOKUP($A53,Admission!$1:$998,4,0),"")</f>
        <v/>
      </c>
      <c r="C53" s="59" t="str">
        <f>IFERROR(VLOOKUP($A53,Admission!$1:$998,5,0),"")</f>
        <v/>
      </c>
      <c r="D53" s="59"/>
      <c r="E53" s="59" t="str">
        <f>IFERROR(VLOOKUP($A53,Admission!$1:$998,3,0),"")</f>
        <v/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1:21" ht="15.75" customHeight="1" x14ac:dyDescent="0.15">
      <c r="A54" s="58"/>
      <c r="B54" s="59" t="str">
        <f>IFERROR(VLOOKUP($A54,Admission!$1:$998,4,0),"")</f>
        <v/>
      </c>
      <c r="C54" s="59" t="str">
        <f>IFERROR(VLOOKUP($A54,Admission!$1:$998,5,0),"")</f>
        <v/>
      </c>
      <c r="D54" s="59"/>
      <c r="E54" s="59" t="str">
        <f>IFERROR(VLOOKUP($A54,Admission!$1:$998,3,0),"")</f>
        <v/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1:21" ht="15.75" customHeight="1" x14ac:dyDescent="0.15">
      <c r="A55" s="58"/>
      <c r="B55" s="59" t="str">
        <f>IFERROR(VLOOKUP($A55,Admission!$1:$998,4,0),"")</f>
        <v/>
      </c>
      <c r="C55" s="59" t="str">
        <f>IFERROR(VLOOKUP($A55,Admission!$1:$998,5,0),"")</f>
        <v/>
      </c>
      <c r="D55" s="59"/>
      <c r="E55" s="59" t="str">
        <f>IFERROR(VLOOKUP($A55,Admission!$1:$998,3,0),"")</f>
        <v/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 spans="1:21" ht="15.75" customHeight="1" x14ac:dyDescent="0.15">
      <c r="A56" s="58"/>
      <c r="B56" s="59" t="str">
        <f>IFERROR(VLOOKUP($A56,Admission!$1:$998,4,0),"")</f>
        <v/>
      </c>
      <c r="C56" s="59" t="str">
        <f>IFERROR(VLOOKUP($A56,Admission!$1:$998,5,0),"")</f>
        <v/>
      </c>
      <c r="D56" s="59"/>
      <c r="E56" s="59" t="str">
        <f>IFERROR(VLOOKUP($A56,Admission!$1:$998,3,0),"")</f>
        <v/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1:21" ht="15.75" customHeight="1" x14ac:dyDescent="0.15">
      <c r="A57" s="58"/>
      <c r="B57" s="59" t="str">
        <f>IFERROR(VLOOKUP($A57,Admission!$1:$998,4,0),"")</f>
        <v/>
      </c>
      <c r="C57" s="59" t="str">
        <f>IFERROR(VLOOKUP($A57,Admission!$1:$998,5,0),"")</f>
        <v/>
      </c>
      <c r="D57" s="59"/>
      <c r="E57" s="59" t="str">
        <f>IFERROR(VLOOKUP($A57,Admission!$1:$998,3,0),"")</f>
        <v/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1:21" ht="15.75" customHeight="1" x14ac:dyDescent="0.15">
      <c r="A58" s="58"/>
      <c r="B58" s="59" t="str">
        <f>IFERROR(VLOOKUP($A58,Admission!$1:$998,4,0),"")</f>
        <v/>
      </c>
      <c r="C58" s="59" t="str">
        <f>IFERROR(VLOOKUP($A58,Admission!$1:$998,5,0),"")</f>
        <v/>
      </c>
      <c r="D58" s="59"/>
      <c r="E58" s="59" t="str">
        <f>IFERROR(VLOOKUP($A58,Admission!$1:$998,3,0),"")</f>
        <v/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1:21" ht="15.75" customHeight="1" x14ac:dyDescent="0.15">
      <c r="A59" s="58"/>
      <c r="B59" s="59" t="str">
        <f>IFERROR(VLOOKUP($A59,Admission!$1:$998,4,0),"")</f>
        <v/>
      </c>
      <c r="C59" s="59" t="str">
        <f>IFERROR(VLOOKUP($A59,Admission!$1:$998,5,0),"")</f>
        <v/>
      </c>
      <c r="D59" s="59"/>
      <c r="E59" s="59" t="str">
        <f>IFERROR(VLOOKUP($A59,Admission!$1:$998,3,0),"")</f>
        <v/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1:21" ht="15.75" customHeight="1" x14ac:dyDescent="0.15">
      <c r="A60" s="58"/>
      <c r="B60" s="59" t="str">
        <f>IFERROR(VLOOKUP($A60,Admission!$1:$998,4,0),"")</f>
        <v/>
      </c>
      <c r="C60" s="59" t="str">
        <f>IFERROR(VLOOKUP($A60,Admission!$1:$998,5,0),"")</f>
        <v/>
      </c>
      <c r="D60" s="59"/>
      <c r="E60" s="59" t="str">
        <f>IFERROR(VLOOKUP($A60,Admission!$1:$998,3,0),"")</f>
        <v/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</row>
    <row r="61" spans="1:21" ht="15.75" customHeight="1" x14ac:dyDescent="0.15">
      <c r="A61" s="58"/>
      <c r="B61" s="59" t="str">
        <f>IFERROR(VLOOKUP($A61,Admission!$1:$998,4,0),"")</f>
        <v/>
      </c>
      <c r="C61" s="59" t="str">
        <f>IFERROR(VLOOKUP($A61,Admission!$1:$998,5,0),"")</f>
        <v/>
      </c>
      <c r="D61" s="59"/>
      <c r="E61" s="59" t="str">
        <f>IFERROR(VLOOKUP($A61,Admission!$1:$998,3,0),"")</f>
        <v/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1:21" ht="15.75" customHeight="1" x14ac:dyDescent="0.15">
      <c r="A62" s="58"/>
      <c r="B62" s="59" t="str">
        <f>IFERROR(VLOOKUP($A62,Admission!$1:$998,4,0),"")</f>
        <v/>
      </c>
      <c r="C62" s="59" t="str">
        <f>IFERROR(VLOOKUP($A62,Admission!$1:$998,5,0),"")</f>
        <v/>
      </c>
      <c r="D62" s="59"/>
      <c r="E62" s="59" t="str">
        <f>IFERROR(VLOOKUP($A62,Admission!$1:$998,3,0),"")</f>
        <v/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1:21" ht="15.75" customHeight="1" x14ac:dyDescent="0.15">
      <c r="A63" s="58"/>
      <c r="B63" s="59" t="str">
        <f>IFERROR(VLOOKUP($A63,Admission!$1:$998,4,0),"")</f>
        <v/>
      </c>
      <c r="C63" s="59" t="str">
        <f>IFERROR(VLOOKUP($A63,Admission!$1:$998,5,0),"")</f>
        <v/>
      </c>
      <c r="D63" s="59"/>
      <c r="E63" s="59" t="str">
        <f>IFERROR(VLOOKUP($A63,Admission!$1:$998,3,0),"")</f>
        <v/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1:21" ht="15.75" customHeight="1" x14ac:dyDescent="0.15">
      <c r="A64" s="58"/>
      <c r="B64" s="59" t="str">
        <f>IFERROR(VLOOKUP($A64,Admission!$1:$998,4,0),"")</f>
        <v/>
      </c>
      <c r="C64" s="59" t="str">
        <f>IFERROR(VLOOKUP($A64,Admission!$1:$998,5,0),"")</f>
        <v/>
      </c>
      <c r="D64" s="59"/>
      <c r="E64" s="59" t="str">
        <f>IFERROR(VLOOKUP($A64,Admission!$1:$998,3,0),"")</f>
        <v/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</row>
    <row r="65" spans="1:21" ht="15.75" customHeight="1" x14ac:dyDescent="0.15">
      <c r="A65" s="58"/>
      <c r="B65" s="59" t="str">
        <f>IFERROR(VLOOKUP($A65,Admission!$1:$998,4,0),"")</f>
        <v/>
      </c>
      <c r="C65" s="59" t="str">
        <f>IFERROR(VLOOKUP($A65,Admission!$1:$998,5,0),"")</f>
        <v/>
      </c>
      <c r="D65" s="59"/>
      <c r="E65" s="59" t="str">
        <f>IFERROR(VLOOKUP($A65,Admission!$1:$998,3,0),"")</f>
        <v/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1:21" ht="15.75" customHeight="1" x14ac:dyDescent="0.15">
      <c r="A66" s="58"/>
      <c r="B66" s="59" t="str">
        <f>IFERROR(VLOOKUP($A66,Admission!$1:$998,4,0),"")</f>
        <v/>
      </c>
      <c r="C66" s="59" t="str">
        <f>IFERROR(VLOOKUP($A66,Admission!$1:$998,5,0),"")</f>
        <v/>
      </c>
      <c r="D66" s="59"/>
      <c r="E66" s="59" t="str">
        <f>IFERROR(VLOOKUP($A66,Admission!$1:$998,3,0),"")</f>
        <v/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1:21" ht="15.75" customHeight="1" x14ac:dyDescent="0.15">
      <c r="A67" s="58"/>
      <c r="B67" s="59" t="str">
        <f>IFERROR(VLOOKUP($A67,Admission!$1:$998,4,0),"")</f>
        <v/>
      </c>
      <c r="C67" s="59" t="str">
        <f>IFERROR(VLOOKUP($A67,Admission!$1:$998,5,0),"")</f>
        <v/>
      </c>
      <c r="D67" s="59"/>
      <c r="E67" s="59" t="str">
        <f>IFERROR(VLOOKUP($A67,Admission!$1:$998,3,0),"")</f>
        <v/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1:21" ht="15.75" customHeight="1" x14ac:dyDescent="0.15">
      <c r="A68" s="58"/>
      <c r="B68" s="59" t="str">
        <f>IFERROR(VLOOKUP($A68,Admission!$1:$998,4,0),"")</f>
        <v/>
      </c>
      <c r="C68" s="59" t="str">
        <f>IFERROR(VLOOKUP($A68,Admission!$1:$998,5,0),"")</f>
        <v/>
      </c>
      <c r="D68" s="59"/>
      <c r="E68" s="59" t="str">
        <f>IFERROR(VLOOKUP($A68,Admission!$1:$998,3,0),"")</f>
        <v/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</row>
    <row r="69" spans="1:21" ht="15.75" customHeight="1" x14ac:dyDescent="0.15">
      <c r="A69" s="58"/>
      <c r="B69" s="59" t="str">
        <f>IFERROR(VLOOKUP($A69,Admission!$1:$998,4,0),"")</f>
        <v/>
      </c>
      <c r="C69" s="59" t="str">
        <f>IFERROR(VLOOKUP($A69,Admission!$1:$998,5,0),"")</f>
        <v/>
      </c>
      <c r="D69" s="59"/>
      <c r="E69" s="59" t="str">
        <f>IFERROR(VLOOKUP($A69,Admission!$1:$998,3,0),"")</f>
        <v/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1:21" ht="15.75" customHeight="1" x14ac:dyDescent="0.15">
      <c r="A70" s="58"/>
      <c r="B70" s="59" t="str">
        <f>IFERROR(VLOOKUP($A70,Admission!$1:$998,4,0),"")</f>
        <v/>
      </c>
      <c r="C70" s="59" t="str">
        <f>IFERROR(VLOOKUP($A70,Admission!$1:$998,5,0),"")</f>
        <v/>
      </c>
      <c r="D70" s="59"/>
      <c r="E70" s="59" t="str">
        <f>IFERROR(VLOOKUP($A70,Admission!$1:$998,3,0),"")</f>
        <v/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1:21" ht="15.75" customHeight="1" x14ac:dyDescent="0.15">
      <c r="A71" s="58"/>
      <c r="B71" s="59" t="str">
        <f>IFERROR(VLOOKUP($A71,Admission!$1:$998,4,0),"")</f>
        <v/>
      </c>
      <c r="C71" s="59" t="str">
        <f>IFERROR(VLOOKUP($A71,Admission!$1:$998,5,0),"")</f>
        <v/>
      </c>
      <c r="D71" s="59"/>
      <c r="E71" s="59" t="str">
        <f>IFERROR(VLOOKUP($A71,Admission!$1:$998,3,0),"")</f>
        <v/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1:21" ht="15.75" customHeight="1" x14ac:dyDescent="0.15">
      <c r="A72" s="58"/>
      <c r="B72" s="59" t="str">
        <f>IFERROR(VLOOKUP($A72,Admission!$1:$998,4,0),"")</f>
        <v/>
      </c>
      <c r="C72" s="59" t="str">
        <f>IFERROR(VLOOKUP($A72,Admission!$1:$998,5,0),"")</f>
        <v/>
      </c>
      <c r="D72" s="59"/>
      <c r="E72" s="59" t="str">
        <f>IFERROR(VLOOKUP($A72,Admission!$1:$998,3,0),"")</f>
        <v/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1:21" ht="15.75" customHeight="1" x14ac:dyDescent="0.15">
      <c r="A73" s="58"/>
      <c r="B73" s="59" t="str">
        <f>IFERROR(VLOOKUP($A73,Admission!$1:$998,4,0),"")</f>
        <v/>
      </c>
      <c r="C73" s="59" t="str">
        <f>IFERROR(VLOOKUP($A73,Admission!$1:$998,5,0),"")</f>
        <v/>
      </c>
      <c r="D73" s="59"/>
      <c r="E73" s="59" t="str">
        <f>IFERROR(VLOOKUP($A73,Admission!$1:$998,3,0),"")</f>
        <v/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</row>
    <row r="74" spans="1:21" ht="15.75" customHeight="1" x14ac:dyDescent="0.15">
      <c r="A74" s="58"/>
      <c r="B74" s="59" t="str">
        <f>IFERROR(VLOOKUP($A74,Admission!$1:$998,4,0),"")</f>
        <v/>
      </c>
      <c r="C74" s="59" t="str">
        <f>IFERROR(VLOOKUP($A74,Admission!$1:$998,5,0),"")</f>
        <v/>
      </c>
      <c r="D74" s="59"/>
      <c r="E74" s="59" t="str">
        <f>IFERROR(VLOOKUP($A74,Admission!$1:$998,3,0),"")</f>
        <v/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1:21" ht="15.75" customHeight="1" x14ac:dyDescent="0.15">
      <c r="A75" s="58"/>
      <c r="B75" s="59" t="str">
        <f>IFERROR(VLOOKUP($A75,Admission!$1:$998,4,0),"")</f>
        <v/>
      </c>
      <c r="C75" s="59" t="str">
        <f>IFERROR(VLOOKUP($A75,Admission!$1:$998,5,0),"")</f>
        <v/>
      </c>
      <c r="D75" s="59"/>
      <c r="E75" s="59" t="str">
        <f>IFERROR(VLOOKUP($A75,Admission!$1:$998,3,0),"")</f>
        <v/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1:21" ht="15.75" customHeight="1" x14ac:dyDescent="0.15">
      <c r="A76" s="58"/>
      <c r="B76" s="59" t="str">
        <f>IFERROR(VLOOKUP($A76,Admission!$1:$998,4,0),"")</f>
        <v/>
      </c>
      <c r="C76" s="59" t="str">
        <f>IFERROR(VLOOKUP($A76,Admission!$1:$998,5,0),"")</f>
        <v/>
      </c>
      <c r="D76" s="59"/>
      <c r="E76" s="59" t="str">
        <f>IFERROR(VLOOKUP($A76,Admission!$1:$998,3,0),"")</f>
        <v/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1:21" ht="15.75" customHeight="1" x14ac:dyDescent="0.15">
      <c r="A77" s="58"/>
      <c r="B77" s="59" t="str">
        <f>IFERROR(VLOOKUP($A77,Admission!$1:$998,4,0),"")</f>
        <v/>
      </c>
      <c r="C77" s="59" t="str">
        <f>IFERROR(VLOOKUP($A77,Admission!$1:$998,5,0),"")</f>
        <v/>
      </c>
      <c r="D77" s="59"/>
      <c r="E77" s="59" t="str">
        <f>IFERROR(VLOOKUP($A77,Admission!$1:$998,3,0),"")</f>
        <v/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1:21" ht="15.75" customHeight="1" x14ac:dyDescent="0.15">
      <c r="A78" s="58"/>
      <c r="B78" s="59" t="str">
        <f>IFERROR(VLOOKUP($A78,Admission!$1:$998,4,0),"")</f>
        <v/>
      </c>
      <c r="C78" s="59" t="str">
        <f>IFERROR(VLOOKUP($A78,Admission!$1:$998,5,0),"")</f>
        <v/>
      </c>
      <c r="D78" s="59"/>
      <c r="E78" s="59" t="str">
        <f>IFERROR(VLOOKUP($A78,Admission!$1:$998,3,0),"")</f>
        <v/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1:21" ht="15.75" customHeight="1" x14ac:dyDescent="0.15">
      <c r="A79" s="58"/>
      <c r="B79" s="59" t="str">
        <f>IFERROR(VLOOKUP($A79,Admission!$1:$998,4,0),"")</f>
        <v/>
      </c>
      <c r="C79" s="59" t="str">
        <f>IFERROR(VLOOKUP($A79,Admission!$1:$998,5,0),"")</f>
        <v/>
      </c>
      <c r="D79" s="59"/>
      <c r="E79" s="59" t="str">
        <f>IFERROR(VLOOKUP($A79,Admission!$1:$998,3,0),"")</f>
        <v/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1:21" ht="15.75" customHeight="1" x14ac:dyDescent="0.15">
      <c r="A80" s="58"/>
      <c r="B80" s="59" t="str">
        <f>IFERROR(VLOOKUP($A80,Admission!$1:$998,4,0),"")</f>
        <v/>
      </c>
      <c r="C80" s="59" t="str">
        <f>IFERROR(VLOOKUP($A80,Admission!$1:$998,5,0),"")</f>
        <v/>
      </c>
      <c r="D80" s="59"/>
      <c r="E80" s="59" t="str">
        <f>IFERROR(VLOOKUP($A80,Admission!$1:$998,3,0),"")</f>
        <v/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1:21" ht="15.75" customHeight="1" x14ac:dyDescent="0.15">
      <c r="A81" s="58"/>
      <c r="B81" s="59" t="str">
        <f>IFERROR(VLOOKUP($A81,Admission!$1:$998,4,0),"")</f>
        <v/>
      </c>
      <c r="C81" s="59" t="str">
        <f>IFERROR(VLOOKUP($A81,Admission!$1:$998,5,0),"")</f>
        <v/>
      </c>
      <c r="D81" s="59"/>
      <c r="E81" s="59" t="str">
        <f>IFERROR(VLOOKUP($A81,Admission!$1:$998,3,0),"")</f>
        <v/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1:21" ht="15.75" customHeight="1" x14ac:dyDescent="0.15">
      <c r="A82" s="58"/>
      <c r="B82" s="59" t="str">
        <f>IFERROR(VLOOKUP($A82,Admission!$1:$998,4,0),"")</f>
        <v/>
      </c>
      <c r="C82" s="59" t="str">
        <f>IFERROR(VLOOKUP($A82,Admission!$1:$998,5,0),"")</f>
        <v/>
      </c>
      <c r="D82" s="59"/>
      <c r="E82" s="59" t="str">
        <f>IFERROR(VLOOKUP($A82,Admission!$1:$998,3,0),"")</f>
        <v/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1:21" ht="15.75" customHeight="1" x14ac:dyDescent="0.15">
      <c r="A83" s="58"/>
      <c r="B83" s="59" t="str">
        <f>IFERROR(VLOOKUP($A83,Admission!$1:$998,4,0),"")</f>
        <v/>
      </c>
      <c r="C83" s="59" t="str">
        <f>IFERROR(VLOOKUP($A83,Admission!$1:$998,5,0),"")</f>
        <v/>
      </c>
      <c r="D83" s="59"/>
      <c r="E83" s="59" t="str">
        <f>IFERROR(VLOOKUP($A83,Admission!$1:$998,3,0),"")</f>
        <v/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1:21" ht="15.75" customHeight="1" x14ac:dyDescent="0.15">
      <c r="A84" s="58"/>
      <c r="B84" s="59" t="str">
        <f>IFERROR(VLOOKUP($A84,Admission!$1:$998,4,0),"")</f>
        <v/>
      </c>
      <c r="C84" s="59" t="str">
        <f>IFERROR(VLOOKUP($A84,Admission!$1:$998,5,0),"")</f>
        <v/>
      </c>
      <c r="D84" s="59"/>
      <c r="E84" s="59" t="str">
        <f>IFERROR(VLOOKUP($A84,Admission!$1:$998,3,0),"")</f>
        <v/>
      </c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1:21" ht="15.75" customHeight="1" x14ac:dyDescent="0.15">
      <c r="A85" s="58"/>
      <c r="B85" s="59" t="str">
        <f>IFERROR(VLOOKUP($A85,Admission!$1:$998,4,0),"")</f>
        <v/>
      </c>
      <c r="C85" s="59" t="str">
        <f>IFERROR(VLOOKUP($A85,Admission!$1:$998,5,0),"")</f>
        <v/>
      </c>
      <c r="D85" s="59"/>
      <c r="E85" s="59" t="str">
        <f>IFERROR(VLOOKUP($A85,Admission!$1:$998,3,0),"")</f>
        <v/>
      </c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1:21" ht="15.75" customHeight="1" x14ac:dyDescent="0.15">
      <c r="A86" s="58"/>
      <c r="B86" s="59" t="str">
        <f>IFERROR(VLOOKUP($A86,Admission!$1:$998,4,0),"")</f>
        <v/>
      </c>
      <c r="C86" s="59" t="str">
        <f>IFERROR(VLOOKUP($A86,Admission!$1:$998,5,0),"")</f>
        <v/>
      </c>
      <c r="D86" s="59"/>
      <c r="E86" s="59" t="str">
        <f>IFERROR(VLOOKUP($A86,Admission!$1:$998,3,0),"")</f>
        <v/>
      </c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1:21" ht="15.75" customHeight="1" x14ac:dyDescent="0.15">
      <c r="A87" s="58"/>
      <c r="B87" s="59" t="str">
        <f>IFERROR(VLOOKUP($A87,Admission!$1:$998,4,0),"")</f>
        <v/>
      </c>
      <c r="C87" s="59" t="str">
        <f>IFERROR(VLOOKUP($A87,Admission!$1:$998,5,0),"")</f>
        <v/>
      </c>
      <c r="D87" s="59"/>
      <c r="E87" s="59" t="str">
        <f>IFERROR(VLOOKUP($A87,Admission!$1:$998,3,0),"")</f>
        <v/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1:21" ht="15.75" customHeight="1" x14ac:dyDescent="0.15">
      <c r="A88" s="58"/>
      <c r="B88" s="59" t="str">
        <f>IFERROR(VLOOKUP($A88,Admission!$1:$998,4,0),"")</f>
        <v/>
      </c>
      <c r="C88" s="59" t="str">
        <f>IFERROR(VLOOKUP($A88,Admission!$1:$998,5,0),"")</f>
        <v/>
      </c>
      <c r="D88" s="59"/>
      <c r="E88" s="59" t="str">
        <f>IFERROR(VLOOKUP($A88,Admission!$1:$998,3,0),"")</f>
        <v/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1:21" ht="15.75" customHeight="1" x14ac:dyDescent="0.15">
      <c r="A89" s="58"/>
      <c r="B89" s="59" t="str">
        <f>IFERROR(VLOOKUP($A89,Admission!$1:$998,4,0),"")</f>
        <v/>
      </c>
      <c r="C89" s="59" t="str">
        <f>IFERROR(VLOOKUP($A89,Admission!$1:$998,5,0),"")</f>
        <v/>
      </c>
      <c r="D89" s="59"/>
      <c r="E89" s="59" t="str">
        <f>IFERROR(VLOOKUP($A89,Admission!$1:$998,3,0),"")</f>
        <v/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1:21" ht="15.75" customHeight="1" x14ac:dyDescent="0.15">
      <c r="A90" s="58"/>
      <c r="B90" s="59" t="str">
        <f>IFERROR(VLOOKUP($A90,Admission!$1:$998,4,0),"")</f>
        <v/>
      </c>
      <c r="C90" s="59" t="str">
        <f>IFERROR(VLOOKUP($A90,Admission!$1:$998,5,0),"")</f>
        <v/>
      </c>
      <c r="D90" s="59"/>
      <c r="E90" s="59" t="str">
        <f>IFERROR(VLOOKUP($A90,Admission!$1:$998,3,0),"")</f>
        <v/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1:21" ht="13" x14ac:dyDescent="0.15">
      <c r="A91" s="58"/>
      <c r="B91" s="59" t="str">
        <f>IFERROR(VLOOKUP($A91,Admission!$1:$998,4,0),"")</f>
        <v/>
      </c>
      <c r="C91" s="59" t="str">
        <f>IFERROR(VLOOKUP($A91,Admission!$1:$998,5,0),"")</f>
        <v/>
      </c>
      <c r="D91" s="59"/>
      <c r="E91" s="59" t="str">
        <f>IFERROR(VLOOKUP($A91,Admission!$1:$998,3,0),"")</f>
        <v/>
      </c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1:21" ht="13" x14ac:dyDescent="0.15">
      <c r="A92" s="58"/>
      <c r="B92" s="59" t="str">
        <f>IFERROR(VLOOKUP($A92,Admission!$1:$998,4,0),"")</f>
        <v/>
      </c>
      <c r="C92" s="59" t="str">
        <f>IFERROR(VLOOKUP($A92,Admission!$1:$998,5,0),"")</f>
        <v/>
      </c>
      <c r="D92" s="59"/>
      <c r="E92" s="59" t="str">
        <f>IFERROR(VLOOKUP($A92,Admission!$1:$998,3,0),"")</f>
        <v/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1:21" ht="13" x14ac:dyDescent="0.15">
      <c r="A93" s="58"/>
      <c r="B93" s="59" t="str">
        <f>IFERROR(VLOOKUP($A93,Admission!$1:$998,4,0),"")</f>
        <v/>
      </c>
      <c r="C93" s="59" t="str">
        <f>IFERROR(VLOOKUP($A93,Admission!$1:$998,5,0),"")</f>
        <v/>
      </c>
      <c r="D93" s="59"/>
      <c r="E93" s="59" t="str">
        <f>IFERROR(VLOOKUP($A93,Admission!$1:$998,3,0),"")</f>
        <v/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1:21" ht="13" x14ac:dyDescent="0.15">
      <c r="A94" s="58"/>
      <c r="B94" s="59" t="str">
        <f>IFERROR(VLOOKUP($A94,Admission!$1:$998,4,0),"")</f>
        <v/>
      </c>
      <c r="C94" s="59" t="str">
        <f>IFERROR(VLOOKUP($A94,Admission!$1:$998,5,0),"")</f>
        <v/>
      </c>
      <c r="D94" s="59"/>
      <c r="E94" s="59" t="str">
        <f>IFERROR(VLOOKUP($A94,Admission!$1:$998,3,0),"")</f>
        <v/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1:21" ht="13" x14ac:dyDescent="0.15">
      <c r="A95" s="58"/>
      <c r="B95" s="59" t="str">
        <f>IFERROR(VLOOKUP($A95,Admission!$1:$998,4,0),"")</f>
        <v/>
      </c>
      <c r="C95" s="59" t="str">
        <f>IFERROR(VLOOKUP($A95,Admission!$1:$998,5,0),"")</f>
        <v/>
      </c>
      <c r="D95" s="59"/>
      <c r="E95" s="59" t="str">
        <f>IFERROR(VLOOKUP($A95,Admission!$1:$998,3,0),"")</f>
        <v/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1:21" ht="13" x14ac:dyDescent="0.15">
      <c r="A96" s="58"/>
      <c r="B96" s="59" t="str">
        <f>IFERROR(VLOOKUP($A96,Admission!$1:$998,4,0),"")</f>
        <v/>
      </c>
      <c r="C96" s="59" t="str">
        <f>IFERROR(VLOOKUP($A96,Admission!$1:$998,5,0),"")</f>
        <v/>
      </c>
      <c r="D96" s="59"/>
      <c r="E96" s="59" t="str">
        <f>IFERROR(VLOOKUP($A96,Admission!$1:$998,3,0),"")</f>
        <v/>
      </c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1:21" ht="13" x14ac:dyDescent="0.15">
      <c r="A97" s="58"/>
      <c r="B97" s="59" t="str">
        <f>IFERROR(VLOOKUP($A97,Admission!$1:$998,4,0),"")</f>
        <v/>
      </c>
      <c r="C97" s="59" t="str">
        <f>IFERROR(VLOOKUP($A97,Admission!$1:$998,5,0),"")</f>
        <v/>
      </c>
      <c r="D97" s="59"/>
      <c r="E97" s="59" t="str">
        <f>IFERROR(VLOOKUP($A97,Admission!$1:$998,3,0),"")</f>
        <v/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1:21" ht="13" x14ac:dyDescent="0.15">
      <c r="A98" s="58"/>
      <c r="B98" s="59" t="str">
        <f>IFERROR(VLOOKUP($A98,Admission!$1:$998,4,0),"")</f>
        <v/>
      </c>
      <c r="C98" s="59" t="str">
        <f>IFERROR(VLOOKUP($A98,Admission!$1:$998,5,0),"")</f>
        <v/>
      </c>
      <c r="D98" s="59"/>
      <c r="E98" s="59" t="str">
        <f>IFERROR(VLOOKUP($A98,Admission!$1:$998,3,0),"")</f>
        <v/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1:21" ht="13" x14ac:dyDescent="0.15">
      <c r="A99" s="58"/>
      <c r="B99" s="59" t="str">
        <f>IFERROR(VLOOKUP($A99,Admission!$1:$998,4,0),"")</f>
        <v/>
      </c>
      <c r="C99" s="59" t="str">
        <f>IFERROR(VLOOKUP($A99,Admission!$1:$998,5,0),"")</f>
        <v/>
      </c>
      <c r="D99" s="59"/>
      <c r="E99" s="59" t="str">
        <f>IFERROR(VLOOKUP($A99,Admission!$1:$998,3,0),"")</f>
        <v/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1:21" ht="13" x14ac:dyDescent="0.15">
      <c r="A100" s="58"/>
      <c r="B100" s="59" t="str">
        <f>IFERROR(VLOOKUP($A100,Admission!$1:$998,4,0),"")</f>
        <v/>
      </c>
      <c r="C100" s="59" t="str">
        <f>IFERROR(VLOOKUP($A100,Admission!$1:$998,5,0),"")</f>
        <v/>
      </c>
      <c r="D100" s="59"/>
      <c r="E100" s="59" t="str">
        <f>IFERROR(VLOOKUP($A100,Admission!$1:$998,3,0),"")</f>
        <v/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1:21" ht="13" x14ac:dyDescent="0.15">
      <c r="A101" s="58"/>
      <c r="B101" s="59" t="str">
        <f>IFERROR(VLOOKUP($A101,Admission!$1:$998,4,0),"")</f>
        <v/>
      </c>
      <c r="C101" s="59" t="str">
        <f>IFERROR(VLOOKUP($A101,Admission!$1:$998,5,0),"")</f>
        <v/>
      </c>
      <c r="D101" s="59"/>
      <c r="E101" s="59" t="str">
        <f>IFERROR(VLOOKUP($A101,Admission!$1:$998,3,0),"")</f>
        <v/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1:21" ht="13" x14ac:dyDescent="0.15">
      <c r="A102" s="58"/>
      <c r="B102" s="59" t="str">
        <f>IFERROR(VLOOKUP($A102,Admission!$1:$998,4,0),"")</f>
        <v/>
      </c>
      <c r="C102" s="59" t="str">
        <f>IFERROR(VLOOKUP($A102,Admission!$1:$998,5,0),"")</f>
        <v/>
      </c>
      <c r="D102" s="59"/>
      <c r="E102" s="59" t="str">
        <f>IFERROR(VLOOKUP($A102,Admission!$1:$998,3,0),"")</f>
        <v/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1:21" ht="13" x14ac:dyDescent="0.15">
      <c r="A103" s="58"/>
      <c r="B103" s="59" t="str">
        <f>IFERROR(VLOOKUP($A103,Admission!$1:$998,4,0),"")</f>
        <v/>
      </c>
      <c r="C103" s="59" t="str">
        <f>IFERROR(VLOOKUP($A103,Admission!$1:$998,5,0),"")</f>
        <v/>
      </c>
      <c r="D103" s="59"/>
      <c r="E103" s="59" t="str">
        <f>IFERROR(VLOOKUP($A103,Admission!$1:$998,3,0),"")</f>
        <v/>
      </c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1:21" ht="13" x14ac:dyDescent="0.15">
      <c r="A104" s="58"/>
      <c r="B104" s="59" t="str">
        <f>IFERROR(VLOOKUP($A104,Admission!$1:$998,4,0),"")</f>
        <v/>
      </c>
      <c r="C104" s="59" t="str">
        <f>IFERROR(VLOOKUP($A104,Admission!$1:$998,5,0),"")</f>
        <v/>
      </c>
      <c r="D104" s="59"/>
      <c r="E104" s="59" t="str">
        <f>IFERROR(VLOOKUP($A104,Admission!$1:$998,3,0),"")</f>
        <v/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1:21" ht="13" x14ac:dyDescent="0.15">
      <c r="A105" s="58"/>
      <c r="B105" s="59" t="str">
        <f>IFERROR(VLOOKUP($A105,Admission!$1:$998,4,0),"")</f>
        <v/>
      </c>
      <c r="C105" s="59" t="str">
        <f>IFERROR(VLOOKUP($A105,Admission!$1:$998,5,0),"")</f>
        <v/>
      </c>
      <c r="D105" s="59"/>
      <c r="E105" s="59" t="str">
        <f>IFERROR(VLOOKUP($A105,Admission!$1:$998,3,0),"")</f>
        <v/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1:21" ht="13" x14ac:dyDescent="0.15">
      <c r="A106" s="58"/>
      <c r="B106" s="59" t="str">
        <f>IFERROR(VLOOKUP($A106,Admission!$1:$998,4,0),"")</f>
        <v/>
      </c>
      <c r="C106" s="59" t="str">
        <f>IFERROR(VLOOKUP($A106,Admission!$1:$998,5,0),"")</f>
        <v/>
      </c>
      <c r="D106" s="59"/>
      <c r="E106" s="59" t="str">
        <f>IFERROR(VLOOKUP($A106,Admission!$1:$998,3,0),"")</f>
        <v/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1:21" ht="13" x14ac:dyDescent="0.15">
      <c r="A107" s="58"/>
      <c r="B107" s="59" t="str">
        <f>IFERROR(VLOOKUP($A107,Admission!$1:$998,4,0),"")</f>
        <v/>
      </c>
      <c r="C107" s="59" t="str">
        <f>IFERROR(VLOOKUP($A107,Admission!$1:$998,5,0),"")</f>
        <v/>
      </c>
      <c r="D107" s="59"/>
      <c r="E107" s="59" t="str">
        <f>IFERROR(VLOOKUP($A107,Admission!$1:$998,3,0),"")</f>
        <v/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 ht="13" x14ac:dyDescent="0.15">
      <c r="A108" s="58"/>
      <c r="B108" s="59" t="str">
        <f>IFERROR(VLOOKUP($A108,Admission!$1:$998,4,0),"")</f>
        <v/>
      </c>
      <c r="C108" s="59" t="str">
        <f>IFERROR(VLOOKUP($A108,Admission!$1:$998,5,0),"")</f>
        <v/>
      </c>
      <c r="D108" s="59"/>
      <c r="E108" s="59" t="str">
        <f>IFERROR(VLOOKUP($A108,Admission!$1:$998,3,0),"")</f>
        <v/>
      </c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1:21" ht="13" x14ac:dyDescent="0.15">
      <c r="A109" s="58"/>
      <c r="B109" s="59" t="str">
        <f>IFERROR(VLOOKUP($A109,Admission!$1:$998,4,0),"")</f>
        <v/>
      </c>
      <c r="C109" s="59" t="str">
        <f>IFERROR(VLOOKUP($A109,Admission!$1:$998,5,0),"")</f>
        <v/>
      </c>
      <c r="D109" s="59"/>
      <c r="E109" s="59" t="str">
        <f>IFERROR(VLOOKUP($A109,Admission!$1:$998,3,0),"")</f>
        <v/>
      </c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1:21" ht="13" x14ac:dyDescent="0.15">
      <c r="A110" s="58"/>
      <c r="B110" s="59" t="str">
        <f>IFERROR(VLOOKUP($A110,Admission!$1:$998,4,0),"")</f>
        <v/>
      </c>
      <c r="C110" s="59" t="str">
        <f>IFERROR(VLOOKUP($A110,Admission!$1:$998,5,0),"")</f>
        <v/>
      </c>
      <c r="D110" s="59"/>
      <c r="E110" s="59" t="str">
        <f>IFERROR(VLOOKUP($A110,Admission!$1:$998,3,0),"")</f>
        <v/>
      </c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ht="13" x14ac:dyDescent="0.15">
      <c r="A111" s="58"/>
      <c r="B111" s="59" t="str">
        <f>IFERROR(VLOOKUP($A111,Admission!$1:$998,4,0),"")</f>
        <v/>
      </c>
      <c r="C111" s="59" t="str">
        <f>IFERROR(VLOOKUP($A111,Admission!$1:$998,5,0),"")</f>
        <v/>
      </c>
      <c r="D111" s="59"/>
      <c r="E111" s="59" t="str">
        <f>IFERROR(VLOOKUP($A111,Admission!$1:$998,3,0),"")</f>
        <v/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1:21" ht="13" x14ac:dyDescent="0.15">
      <c r="A112" s="58"/>
      <c r="B112" s="59" t="str">
        <f>IFERROR(VLOOKUP($A112,Admission!$1:$998,4,0),"")</f>
        <v/>
      </c>
      <c r="C112" s="59" t="str">
        <f>IFERROR(VLOOKUP($A112,Admission!$1:$998,5,0),"")</f>
        <v/>
      </c>
      <c r="D112" s="59"/>
      <c r="E112" s="59" t="str">
        <f>IFERROR(VLOOKUP($A112,Admission!$1:$998,3,0),"")</f>
        <v/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1:21" ht="13" x14ac:dyDescent="0.15">
      <c r="A113" s="58"/>
      <c r="B113" s="59" t="str">
        <f>IFERROR(VLOOKUP($A113,Admission!$1:$998,4,0),"")</f>
        <v/>
      </c>
      <c r="C113" s="59" t="str">
        <f>IFERROR(VLOOKUP($A113,Admission!$1:$998,5,0),"")</f>
        <v/>
      </c>
      <c r="D113" s="59"/>
      <c r="E113" s="59" t="str">
        <f>IFERROR(VLOOKUP($A113,Admission!$1:$998,3,0),"")</f>
        <v/>
      </c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1:21" ht="13" x14ac:dyDescent="0.15">
      <c r="A114" s="58"/>
      <c r="B114" s="59" t="str">
        <f>IFERROR(VLOOKUP($A114,Admission!$1:$998,4,0),"")</f>
        <v/>
      </c>
      <c r="C114" s="59" t="str">
        <f>IFERROR(VLOOKUP($A114,Admission!$1:$998,5,0),"")</f>
        <v/>
      </c>
      <c r="D114" s="59"/>
      <c r="E114" s="59" t="str">
        <f>IFERROR(VLOOKUP($A114,Admission!$1:$998,3,0),"")</f>
        <v/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1:21" ht="13" x14ac:dyDescent="0.15">
      <c r="A115" s="58"/>
      <c r="B115" s="59" t="str">
        <f>IFERROR(VLOOKUP($A115,Admission!$1:$998,4,0),"")</f>
        <v/>
      </c>
      <c r="C115" s="59" t="str">
        <f>IFERROR(VLOOKUP($A115,Admission!$1:$998,5,0),"")</f>
        <v/>
      </c>
      <c r="D115" s="59"/>
      <c r="E115" s="59" t="str">
        <f>IFERROR(VLOOKUP($A115,Admission!$1:$998,3,0),"")</f>
        <v/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1:21" ht="13" x14ac:dyDescent="0.15">
      <c r="A116" s="58"/>
      <c r="B116" s="59" t="str">
        <f>IFERROR(VLOOKUP($A116,Admission!$1:$998,4,0),"")</f>
        <v/>
      </c>
      <c r="C116" s="59" t="str">
        <f>IFERROR(VLOOKUP($A116,Admission!$1:$998,5,0),"")</f>
        <v/>
      </c>
      <c r="D116" s="59"/>
      <c r="E116" s="59" t="str">
        <f>IFERROR(VLOOKUP($A116,Admission!$1:$998,3,0),"")</f>
        <v/>
      </c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1:21" ht="13" x14ac:dyDescent="0.15">
      <c r="A117" s="58"/>
      <c r="B117" s="59" t="str">
        <f>IFERROR(VLOOKUP($A117,Admission!$1:$998,4,0),"")</f>
        <v/>
      </c>
      <c r="C117" s="59" t="str">
        <f>IFERROR(VLOOKUP($A117,Admission!$1:$998,5,0),"")</f>
        <v/>
      </c>
      <c r="D117" s="59"/>
      <c r="E117" s="59" t="str">
        <f>IFERROR(VLOOKUP($A117,Admission!$1:$998,3,0),"")</f>
        <v/>
      </c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1:21" ht="13" x14ac:dyDescent="0.15">
      <c r="A118" s="58"/>
      <c r="B118" s="59" t="str">
        <f>IFERROR(VLOOKUP($A118,Admission!$1:$998,4,0),"")</f>
        <v/>
      </c>
      <c r="C118" s="59" t="str">
        <f>IFERROR(VLOOKUP($A118,Admission!$1:$998,5,0),"")</f>
        <v/>
      </c>
      <c r="D118" s="59"/>
      <c r="E118" s="59" t="str">
        <f>IFERROR(VLOOKUP($A118,Admission!$1:$998,3,0),"")</f>
        <v/>
      </c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1:21" ht="13" x14ac:dyDescent="0.15">
      <c r="A119" s="58"/>
      <c r="B119" s="59" t="str">
        <f>IFERROR(VLOOKUP($A119,Admission!$1:$998,4,0),"")</f>
        <v/>
      </c>
      <c r="C119" s="59" t="str">
        <f>IFERROR(VLOOKUP($A119,Admission!$1:$998,5,0),"")</f>
        <v/>
      </c>
      <c r="D119" s="59"/>
      <c r="E119" s="59" t="str">
        <f>IFERROR(VLOOKUP($A119,Admission!$1:$998,3,0),"")</f>
        <v/>
      </c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1:21" ht="13" x14ac:dyDescent="0.15">
      <c r="A120" s="58"/>
      <c r="B120" s="59" t="str">
        <f>IFERROR(VLOOKUP($A120,Admission!$1:$998,4,0),"")</f>
        <v/>
      </c>
      <c r="C120" s="59" t="str">
        <f>IFERROR(VLOOKUP($A120,Admission!$1:$998,5,0),"")</f>
        <v/>
      </c>
      <c r="D120" s="59"/>
      <c r="E120" s="59" t="str">
        <f>IFERROR(VLOOKUP($A120,Admission!$1:$998,3,0),"")</f>
        <v/>
      </c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1:21" ht="13" x14ac:dyDescent="0.15">
      <c r="A121" s="62"/>
      <c r="B121" s="59" t="str">
        <f>IFERROR(VLOOKUP($A121,Admission!$1:$998,4,0),"")</f>
        <v/>
      </c>
      <c r="C121" s="59" t="str">
        <f>IFERROR(VLOOKUP($A121,Admission!$1:$998,5,0),"")</f>
        <v/>
      </c>
      <c r="D121" s="59"/>
      <c r="E121" s="59" t="str">
        <f>IFERROR(VLOOKUP($A121,Admission!$1:$998,3,0),"")</f>
        <v/>
      </c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1:21" ht="13" x14ac:dyDescent="0.15">
      <c r="A122" s="62"/>
      <c r="B122" s="59" t="str">
        <f>IFERROR(VLOOKUP($A122,Admission!$1:$998,4,0),"")</f>
        <v/>
      </c>
      <c r="C122" s="59" t="str">
        <f>IFERROR(VLOOKUP($A122,Admission!$1:$998,5,0),"")</f>
        <v/>
      </c>
      <c r="D122" s="59"/>
      <c r="E122" s="59" t="str">
        <f>IFERROR(VLOOKUP($A122,Admission!$1:$998,3,0),"")</f>
        <v/>
      </c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1:21" ht="13" x14ac:dyDescent="0.15">
      <c r="A123" s="62"/>
      <c r="B123" s="59" t="str">
        <f>IFERROR(VLOOKUP($A123,Admission!$1:$998,4,0),"")</f>
        <v/>
      </c>
      <c r="C123" s="59" t="str">
        <f>IFERROR(VLOOKUP($A123,Admission!$1:$998,5,0),"")</f>
        <v/>
      </c>
      <c r="D123" s="59"/>
      <c r="E123" s="59" t="str">
        <f>IFERROR(VLOOKUP($A123,Admission!$1:$998,3,0),"")</f>
        <v/>
      </c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1:21" ht="13" x14ac:dyDescent="0.15">
      <c r="A124" s="62"/>
      <c r="B124" s="59" t="str">
        <f>IFERROR(VLOOKUP($A124,Admission!$1:$998,4,0),"")</f>
        <v/>
      </c>
      <c r="C124" s="59" t="str">
        <f>IFERROR(VLOOKUP($A124,Admission!$1:$998,5,0),"")</f>
        <v/>
      </c>
      <c r="D124" s="59"/>
      <c r="E124" s="59" t="str">
        <f>IFERROR(VLOOKUP($A124,Admission!$1:$998,3,0),"")</f>
        <v/>
      </c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1:21" ht="13" x14ac:dyDescent="0.15">
      <c r="A125" s="62"/>
      <c r="B125" s="59" t="str">
        <f>IFERROR(VLOOKUP($A125,Admission!$1:$998,4,0),"")</f>
        <v/>
      </c>
      <c r="C125" s="59" t="str">
        <f>IFERROR(VLOOKUP($A125,Admission!$1:$998,5,0),"")</f>
        <v/>
      </c>
      <c r="D125" s="59"/>
      <c r="E125" s="59" t="str">
        <f>IFERROR(VLOOKUP($A125,Admission!$1:$998,3,0),"")</f>
        <v/>
      </c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1:21" ht="13" x14ac:dyDescent="0.15">
      <c r="A126" s="62"/>
      <c r="B126" s="59" t="str">
        <f>IFERROR(VLOOKUP($A126,Admission!$1:$998,4,0),"")</f>
        <v/>
      </c>
      <c r="C126" s="59" t="str">
        <f>IFERROR(VLOOKUP($A126,Admission!$1:$998,5,0),"")</f>
        <v/>
      </c>
      <c r="D126" s="59"/>
      <c r="E126" s="59" t="str">
        <f>IFERROR(VLOOKUP($A126,Admission!$1:$998,3,0),"")</f>
        <v/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1:21" ht="13" x14ac:dyDescent="0.15">
      <c r="A127" s="62"/>
      <c r="B127" s="59" t="str">
        <f>IFERROR(VLOOKUP($A127,Admission!$1:$998,4,0),"")</f>
        <v/>
      </c>
      <c r="C127" s="59" t="str">
        <f>IFERROR(VLOOKUP($A127,Admission!$1:$998,5,0),"")</f>
        <v/>
      </c>
      <c r="D127" s="59"/>
      <c r="E127" s="59" t="str">
        <f>IFERROR(VLOOKUP($A127,Admission!$1:$998,3,0),"")</f>
        <v/>
      </c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1:21" ht="13" x14ac:dyDescent="0.15">
      <c r="A128" s="62"/>
      <c r="B128" s="59" t="str">
        <f>IFERROR(VLOOKUP($A128,Admission!$1:$998,4,0),"")</f>
        <v/>
      </c>
      <c r="C128" s="59" t="str">
        <f>IFERROR(VLOOKUP($A128,Admission!$1:$998,5,0),"")</f>
        <v/>
      </c>
      <c r="D128" s="59"/>
      <c r="E128" s="59" t="str">
        <f>IFERROR(VLOOKUP($A128,Admission!$1:$998,3,0),"")</f>
        <v/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1:21" ht="13" x14ac:dyDescent="0.15">
      <c r="A129" s="62"/>
      <c r="B129" s="59" t="str">
        <f>IFERROR(VLOOKUP($A129,Admission!$1:$998,4,0),"")</f>
        <v/>
      </c>
      <c r="C129" s="59" t="str">
        <f>IFERROR(VLOOKUP($A129,Admission!$1:$998,5,0),"")</f>
        <v/>
      </c>
      <c r="D129" s="59"/>
      <c r="E129" s="59" t="str">
        <f>IFERROR(VLOOKUP($A129,Admission!$1:$998,3,0),"")</f>
        <v/>
      </c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1:21" ht="13" x14ac:dyDescent="0.15">
      <c r="A130" s="62"/>
      <c r="B130" s="59" t="str">
        <f>IFERROR(VLOOKUP($A130,Admission!$1:$998,4,0),"")</f>
        <v/>
      </c>
      <c r="C130" s="59" t="str">
        <f>IFERROR(VLOOKUP($A130,Admission!$1:$998,5,0),"")</f>
        <v/>
      </c>
      <c r="D130" s="59"/>
      <c r="E130" s="59" t="str">
        <f>IFERROR(VLOOKUP($A130,Admission!$1:$998,3,0),"")</f>
        <v/>
      </c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1:21" ht="13" x14ac:dyDescent="0.15">
      <c r="A131" s="62"/>
      <c r="B131" s="59" t="str">
        <f>IFERROR(VLOOKUP($A131,Admission!$1:$998,4,0),"")</f>
        <v/>
      </c>
      <c r="C131" s="59" t="str">
        <f>IFERROR(VLOOKUP($A131,Admission!$1:$998,5,0),"")</f>
        <v/>
      </c>
      <c r="D131" s="59"/>
      <c r="E131" s="59" t="str">
        <f>IFERROR(VLOOKUP($A131,Admission!$1:$998,3,0),"")</f>
        <v/>
      </c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1:21" ht="13" x14ac:dyDescent="0.15">
      <c r="A132" s="62"/>
      <c r="B132" s="59" t="str">
        <f>IFERROR(VLOOKUP($A132,Admission!$1:$998,4,0),"")</f>
        <v/>
      </c>
      <c r="C132" s="59" t="str">
        <f>IFERROR(VLOOKUP($A132,Admission!$1:$998,5,0),"")</f>
        <v/>
      </c>
      <c r="D132" s="59"/>
      <c r="E132" s="59" t="str">
        <f>IFERROR(VLOOKUP($A132,Admission!$1:$998,3,0),"")</f>
        <v/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1:21" ht="13" x14ac:dyDescent="0.15">
      <c r="A133" s="62"/>
      <c r="B133" s="59" t="str">
        <f>IFERROR(VLOOKUP($A133,Admission!$1:$998,4,0),"")</f>
        <v/>
      </c>
      <c r="C133" s="59" t="str">
        <f>IFERROR(VLOOKUP($A133,Admission!$1:$998,5,0),"")</f>
        <v/>
      </c>
      <c r="D133" s="59"/>
      <c r="E133" s="59" t="str">
        <f>IFERROR(VLOOKUP($A133,Admission!$1:$998,3,0),"")</f>
        <v/>
      </c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1:21" ht="13" x14ac:dyDescent="0.15">
      <c r="A134" s="62"/>
      <c r="B134" s="59" t="str">
        <f>IFERROR(VLOOKUP($A134,Admission!$1:$998,4,0),"")</f>
        <v/>
      </c>
      <c r="C134" s="59" t="str">
        <f>IFERROR(VLOOKUP($A134,Admission!$1:$998,5,0),"")</f>
        <v/>
      </c>
      <c r="D134" s="59"/>
      <c r="E134" s="59" t="str">
        <f>IFERROR(VLOOKUP($A134,Admission!$1:$998,3,0),"")</f>
        <v/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1:21" ht="13" x14ac:dyDescent="0.15">
      <c r="A135" s="62"/>
      <c r="B135" s="59" t="str">
        <f>IFERROR(VLOOKUP($A135,Admission!$1:$998,4,0),"")</f>
        <v/>
      </c>
      <c r="C135" s="59" t="str">
        <f>IFERROR(VLOOKUP($A135,Admission!$1:$998,5,0),"")</f>
        <v/>
      </c>
      <c r="D135" s="59"/>
      <c r="E135" s="59" t="str">
        <f>IFERROR(VLOOKUP($A135,Admission!$1:$998,3,0),"")</f>
        <v/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1:21" ht="13" x14ac:dyDescent="0.15">
      <c r="A136" s="62"/>
      <c r="B136" s="59" t="str">
        <f>IFERROR(VLOOKUP($A136,Admission!$1:$998,4,0),"")</f>
        <v/>
      </c>
      <c r="C136" s="59" t="str">
        <f>IFERROR(VLOOKUP($A136,Admission!$1:$998,5,0),"")</f>
        <v/>
      </c>
      <c r="D136" s="59"/>
      <c r="E136" s="59" t="str">
        <f>IFERROR(VLOOKUP($A136,Admission!$1:$998,3,0),"")</f>
        <v/>
      </c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1:21" ht="13" x14ac:dyDescent="0.15">
      <c r="A137" s="62"/>
      <c r="B137" s="59" t="str">
        <f>IFERROR(VLOOKUP($A137,Admission!$1:$998,4,0),"")</f>
        <v/>
      </c>
      <c r="C137" s="59" t="str">
        <f>IFERROR(VLOOKUP($A137,Admission!$1:$998,5,0),"")</f>
        <v/>
      </c>
      <c r="D137" s="59"/>
      <c r="E137" s="59" t="str">
        <f>IFERROR(VLOOKUP($A137,Admission!$1:$998,3,0),"")</f>
        <v/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1:21" ht="13" x14ac:dyDescent="0.15">
      <c r="A138" s="62"/>
      <c r="B138" s="59" t="str">
        <f>IFERROR(VLOOKUP($A138,Admission!$1:$998,4,0),"")</f>
        <v/>
      </c>
      <c r="C138" s="59" t="str">
        <f>IFERROR(VLOOKUP($A138,Admission!$1:$998,5,0),"")</f>
        <v/>
      </c>
      <c r="D138" s="59"/>
      <c r="E138" s="59" t="str">
        <f>IFERROR(VLOOKUP($A138,Admission!$1:$998,3,0),"")</f>
        <v/>
      </c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1:21" ht="13" x14ac:dyDescent="0.15">
      <c r="A139" s="62"/>
      <c r="B139" s="59" t="str">
        <f>IFERROR(VLOOKUP($A139,Admission!$1:$998,4,0),"")</f>
        <v/>
      </c>
      <c r="C139" s="59" t="str">
        <f>IFERROR(VLOOKUP($A139,Admission!$1:$998,5,0),"")</f>
        <v/>
      </c>
      <c r="D139" s="59"/>
      <c r="E139" s="59" t="str">
        <f>IFERROR(VLOOKUP($A139,Admission!$1:$998,3,0),"")</f>
        <v/>
      </c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1:21" ht="13" x14ac:dyDescent="0.15">
      <c r="A140" s="62"/>
      <c r="B140" s="59" t="str">
        <f>IFERROR(VLOOKUP($A140,Admission!$1:$998,4,0),"")</f>
        <v/>
      </c>
      <c r="C140" s="59" t="str">
        <f>IFERROR(VLOOKUP($A140,Admission!$1:$998,5,0),"")</f>
        <v/>
      </c>
      <c r="D140" s="59"/>
      <c r="E140" s="59" t="str">
        <f>IFERROR(VLOOKUP($A140,Admission!$1:$998,3,0),"")</f>
        <v/>
      </c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1:21" ht="13" x14ac:dyDescent="0.15">
      <c r="A141" s="62"/>
      <c r="B141" s="59" t="str">
        <f>IFERROR(VLOOKUP($A141,Admission!$1:$998,4,0),"")</f>
        <v/>
      </c>
      <c r="C141" s="59" t="str">
        <f>IFERROR(VLOOKUP($A141,Admission!$1:$998,5,0),"")</f>
        <v/>
      </c>
      <c r="D141" s="59"/>
      <c r="E141" s="59" t="str">
        <f>IFERROR(VLOOKUP($A141,Admission!$1:$998,3,0),"")</f>
        <v/>
      </c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1:21" ht="13" x14ac:dyDescent="0.15">
      <c r="A142" s="62"/>
      <c r="B142" s="59" t="str">
        <f>IFERROR(VLOOKUP($A142,Admission!$1:$998,4,0),"")</f>
        <v/>
      </c>
      <c r="C142" s="59" t="str">
        <f>IFERROR(VLOOKUP($A142,Admission!$1:$998,5,0),"")</f>
        <v/>
      </c>
      <c r="D142" s="59"/>
      <c r="E142" s="59" t="str">
        <f>IFERROR(VLOOKUP($A142,Admission!$1:$998,3,0),"")</f>
        <v/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1:21" ht="13" x14ac:dyDescent="0.15">
      <c r="A143" s="62"/>
      <c r="B143" s="59" t="str">
        <f>IFERROR(VLOOKUP($A143,Admission!$1:$998,4,0),"")</f>
        <v/>
      </c>
      <c r="C143" s="59" t="str">
        <f>IFERROR(VLOOKUP($A143,Admission!$1:$998,5,0),"")</f>
        <v/>
      </c>
      <c r="D143" s="59"/>
      <c r="E143" s="59" t="str">
        <f>IFERROR(VLOOKUP($A143,Admission!$1:$998,3,0),"")</f>
        <v/>
      </c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1:21" ht="13" x14ac:dyDescent="0.15">
      <c r="A144" s="62"/>
      <c r="B144" s="59" t="str">
        <f>IFERROR(VLOOKUP($A144,Admission!$1:$998,4,0),"")</f>
        <v/>
      </c>
      <c r="C144" s="59" t="str">
        <f>IFERROR(VLOOKUP($A144,Admission!$1:$998,5,0),"")</f>
        <v/>
      </c>
      <c r="D144" s="59"/>
      <c r="E144" s="59" t="str">
        <f>IFERROR(VLOOKUP($A144,Admission!$1:$998,3,0),"")</f>
        <v/>
      </c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1:21" ht="13" x14ac:dyDescent="0.15">
      <c r="A145" s="62"/>
      <c r="B145" s="59" t="str">
        <f>IFERROR(VLOOKUP($A145,Admission!$1:$998,4,0),"")</f>
        <v/>
      </c>
      <c r="C145" s="59" t="str">
        <f>IFERROR(VLOOKUP($A145,Admission!$1:$998,5,0),"")</f>
        <v/>
      </c>
      <c r="D145" s="59"/>
      <c r="E145" s="59" t="str">
        <f>IFERROR(VLOOKUP($A145,Admission!$1:$998,3,0),"")</f>
        <v/>
      </c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spans="1:21" ht="13" x14ac:dyDescent="0.15">
      <c r="A146" s="62"/>
      <c r="B146" s="59" t="str">
        <f>IFERROR(VLOOKUP($A146,Admission!$1:$998,4,0),"")</f>
        <v/>
      </c>
      <c r="C146" s="59" t="str">
        <f>IFERROR(VLOOKUP($A146,Admission!$1:$998,5,0),"")</f>
        <v/>
      </c>
      <c r="D146" s="59"/>
      <c r="E146" s="59" t="str">
        <f>IFERROR(VLOOKUP($A146,Admission!$1:$998,3,0),"")</f>
        <v/>
      </c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1:21" ht="13" x14ac:dyDescent="0.15">
      <c r="A147" s="62"/>
      <c r="B147" s="59" t="str">
        <f>IFERROR(VLOOKUP($A147,Admission!$1:$998,4,0),"")</f>
        <v/>
      </c>
      <c r="C147" s="59" t="str">
        <f>IFERROR(VLOOKUP($A147,Admission!$1:$998,5,0),"")</f>
        <v/>
      </c>
      <c r="D147" s="59"/>
      <c r="E147" s="59" t="str">
        <f>IFERROR(VLOOKUP($A147,Admission!$1:$998,3,0),"")</f>
        <v/>
      </c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spans="1:21" ht="13" x14ac:dyDescent="0.15">
      <c r="A148" s="62"/>
      <c r="B148" s="59" t="str">
        <f>IFERROR(VLOOKUP($A148,Admission!$1:$998,4,0),"")</f>
        <v/>
      </c>
      <c r="C148" s="59" t="str">
        <f>IFERROR(VLOOKUP($A148,Admission!$1:$998,5,0),"")</f>
        <v/>
      </c>
      <c r="D148" s="59"/>
      <c r="E148" s="59" t="str">
        <f>IFERROR(VLOOKUP($A148,Admission!$1:$998,3,0),"")</f>
        <v/>
      </c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1:21" ht="13" x14ac:dyDescent="0.15">
      <c r="A149" s="62"/>
      <c r="E149" s="23" t="str">
        <f>IFERROR(VLOOKUP($A149,Admission!150:1145,3,0),"")</f>
        <v/>
      </c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1:21" ht="13" x14ac:dyDescent="0.15">
      <c r="A150" s="62"/>
      <c r="E150" s="23" t="str">
        <f>IFERROR(VLOOKUP($A150,Admission!151:1146,3,0),"")</f>
        <v/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spans="1:21" ht="13" x14ac:dyDescent="0.15">
      <c r="A151" s="62"/>
      <c r="E151" s="23" t="str">
        <f>IFERROR(VLOOKUP($A151,Admission!152:1147,3,0),"")</f>
        <v/>
      </c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 spans="1:21" ht="13" x14ac:dyDescent="0.15">
      <c r="A152" s="62"/>
      <c r="E152" s="23" t="str">
        <f>IFERROR(VLOOKUP($A152,Admission!153:1148,3,0),"")</f>
        <v/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 spans="1:21" ht="13" x14ac:dyDescent="0.15">
      <c r="A153" s="62"/>
      <c r="E153" s="23" t="str">
        <f>IFERROR(VLOOKUP($A153,Admission!154:1149,3,0),"")</f>
        <v/>
      </c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 spans="1:21" ht="13" x14ac:dyDescent="0.15">
      <c r="A154" s="62"/>
      <c r="E154" s="23" t="str">
        <f>IFERROR(VLOOKUP($A154,Admission!155:1150,3,0),"")</f>
        <v/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 spans="1:21" ht="13" x14ac:dyDescent="0.15">
      <c r="A155" s="62"/>
      <c r="E155" s="23" t="str">
        <f>IFERROR(VLOOKUP($A155,Admission!156:1151,3,0),"")</f>
        <v/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 spans="1:21" ht="13" x14ac:dyDescent="0.15">
      <c r="A156" s="62"/>
      <c r="E156" s="23" t="str">
        <f>IFERROR(VLOOKUP($A156,Admission!157:1152,3,0),"")</f>
        <v/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 spans="1:21" ht="13" x14ac:dyDescent="0.15">
      <c r="A157" s="62"/>
      <c r="E157" s="23" t="str">
        <f>IFERROR(VLOOKUP($A157,Admission!158:1153,3,0),"")</f>
        <v/>
      </c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 spans="1:21" ht="13" x14ac:dyDescent="0.15">
      <c r="A158" s="62"/>
      <c r="E158" s="23" t="str">
        <f>IFERROR(VLOOKUP($A158,Admission!159:1154,3,0),"")</f>
        <v/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 spans="1:21" ht="13" x14ac:dyDescent="0.15">
      <c r="A159" s="62"/>
      <c r="E159" s="23" t="str">
        <f>IFERROR(VLOOKUP($A159,Admission!160:1155,3,0),"")</f>
        <v/>
      </c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 spans="1:21" ht="13" x14ac:dyDescent="0.15">
      <c r="A160" s="62"/>
      <c r="E160" s="23" t="str">
        <f>IFERROR(VLOOKUP($A160,Admission!161:1156,3,0),"")</f>
        <v/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</row>
    <row r="161" spans="1:21" ht="13" x14ac:dyDescent="0.15">
      <c r="A161" s="62"/>
      <c r="E161" s="23" t="str">
        <f>IFERROR(VLOOKUP($A161,Admission!162:1157,3,0),"")</f>
        <v/>
      </c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 spans="1:21" ht="13" x14ac:dyDescent="0.15">
      <c r="A162" s="62"/>
      <c r="E162" s="23" t="str">
        <f>IFERROR(VLOOKUP($A162,Admission!163:1158,3,0),"")</f>
        <v/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</row>
    <row r="163" spans="1:21" ht="13" x14ac:dyDescent="0.15">
      <c r="A163" s="62"/>
      <c r="E163" s="23" t="str">
        <f>IFERROR(VLOOKUP($A163,Admission!164:1159,3,0),"")</f>
        <v/>
      </c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 spans="1:21" ht="13" x14ac:dyDescent="0.15">
      <c r="A164" s="62"/>
      <c r="E164" s="23" t="str">
        <f>IFERROR(VLOOKUP($A164,Admission!165:1160,3,0),"")</f>
        <v/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 spans="1:21" ht="13" x14ac:dyDescent="0.15">
      <c r="A165" s="62"/>
      <c r="E165" s="23" t="str">
        <f>IFERROR(VLOOKUP($A165,Admission!166:1161,3,0),"")</f>
        <v/>
      </c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 spans="1:21" ht="13" x14ac:dyDescent="0.15">
      <c r="A166" s="62"/>
      <c r="E166" s="23" t="str">
        <f>IFERROR(VLOOKUP($A166,Admission!167:1162,3,0),"")</f>
        <v/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</row>
    <row r="167" spans="1:21" ht="13" x14ac:dyDescent="0.15">
      <c r="A167" s="62"/>
      <c r="E167" s="23" t="str">
        <f>IFERROR(VLOOKUP($A167,Admission!168:1163,3,0),"")</f>
        <v/>
      </c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</row>
    <row r="168" spans="1:21" ht="13" x14ac:dyDescent="0.15">
      <c r="A168" s="62"/>
      <c r="E168" s="23" t="str">
        <f>IFERROR(VLOOKUP($A168,Admission!169:1164,3,0),"")</f>
        <v/>
      </c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</row>
    <row r="169" spans="1:21" ht="13" x14ac:dyDescent="0.15">
      <c r="A169" s="62"/>
      <c r="E169" s="23" t="str">
        <f>IFERROR(VLOOKUP($A169,Admission!170:1165,3,0),"")</f>
        <v/>
      </c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</row>
    <row r="170" spans="1:21" ht="13" x14ac:dyDescent="0.15">
      <c r="A170" s="62"/>
      <c r="E170" s="23" t="str">
        <f>IFERROR(VLOOKUP($A170,Admission!171:1166,3,0),"")</f>
        <v/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 spans="1:21" ht="13" x14ac:dyDescent="0.15">
      <c r="A171" s="62"/>
      <c r="E171" s="23" t="str">
        <f>IFERROR(VLOOKUP($A171,Admission!172:1167,3,0),"")</f>
        <v/>
      </c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</row>
    <row r="172" spans="1:21" ht="13" x14ac:dyDescent="0.15">
      <c r="A172" s="62"/>
      <c r="E172" s="23" t="str">
        <f>IFERROR(VLOOKUP($A172,Admission!173:1168,3,0),"")</f>
        <v/>
      </c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</row>
    <row r="173" spans="1:21" ht="13" x14ac:dyDescent="0.15">
      <c r="A173" s="62"/>
      <c r="E173" s="23" t="str">
        <f>IFERROR(VLOOKUP($A173,Admission!174:1169,3,0),"")</f>
        <v/>
      </c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</row>
    <row r="174" spans="1:21" ht="13" x14ac:dyDescent="0.15">
      <c r="A174" s="62"/>
      <c r="E174" s="23" t="str">
        <f>IFERROR(VLOOKUP($A174,Admission!175:1170,3,0),"")</f>
        <v/>
      </c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 spans="1:21" ht="13" x14ac:dyDescent="0.15">
      <c r="A175" s="62"/>
      <c r="E175" s="23" t="str">
        <f>IFERROR(VLOOKUP($A175,Admission!176:1171,3,0),"")</f>
        <v/>
      </c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 spans="1:21" ht="13" x14ac:dyDescent="0.15">
      <c r="A176" s="62"/>
      <c r="E176" s="23" t="str">
        <f>IFERROR(VLOOKUP($A176,Admission!177:1172,3,0),"")</f>
        <v/>
      </c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spans="1:21" ht="13" x14ac:dyDescent="0.15">
      <c r="A177" s="62"/>
      <c r="E177" s="23" t="str">
        <f>IFERROR(VLOOKUP($A177,Admission!178:1173,3,0),"")</f>
        <v/>
      </c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spans="1:21" ht="13" x14ac:dyDescent="0.15">
      <c r="A178" s="62"/>
      <c r="E178" s="23" t="str">
        <f>IFERROR(VLOOKUP($A178,Admission!178:1174,3,0),"")</f>
        <v/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</row>
    <row r="179" spans="1:21" ht="13" x14ac:dyDescent="0.15">
      <c r="A179" s="62"/>
      <c r="E179" s="23" t="str">
        <f>IFERROR(VLOOKUP($A179,Admission!178:1175,3,0),"")</f>
        <v/>
      </c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</row>
    <row r="180" spans="1:21" ht="13" x14ac:dyDescent="0.15">
      <c r="A180" s="62"/>
      <c r="E180" s="23" t="str">
        <f>IFERROR(VLOOKUP($A180,Admission!178:1176,3,0),"")</f>
        <v/>
      </c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spans="1:21" ht="13" x14ac:dyDescent="0.15">
      <c r="A181" s="62"/>
      <c r="E181" s="23" t="str">
        <f>IFERROR(VLOOKUP($A181,Admission!178:1177,3,0),"")</f>
        <v/>
      </c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 spans="1:21" ht="13" x14ac:dyDescent="0.15">
      <c r="A182" s="62"/>
      <c r="E182" s="23" t="str">
        <f>IFERROR(VLOOKUP($A182,Admission!179:1178,3,0),"")</f>
        <v/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</row>
    <row r="183" spans="1:21" ht="13" x14ac:dyDescent="0.15">
      <c r="A183" s="62"/>
      <c r="E183" s="23" t="str">
        <f>IFERROR(VLOOKUP($A183,Admission!180:1179,3,0),"")</f>
        <v/>
      </c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</row>
    <row r="184" spans="1:21" ht="13" x14ac:dyDescent="0.15">
      <c r="A184" s="62"/>
      <c r="E184" s="23" t="str">
        <f>IFERROR(VLOOKUP($A184,Admission!181:1180,3,0),"")</f>
        <v/>
      </c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</row>
    <row r="185" spans="1:21" ht="13" x14ac:dyDescent="0.15">
      <c r="A185" s="62"/>
      <c r="E185" s="23" t="str">
        <f>IFERROR(VLOOKUP($A185,Admission!182:1181,3,0),"")</f>
        <v/>
      </c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</row>
    <row r="186" spans="1:21" ht="13" x14ac:dyDescent="0.15">
      <c r="A186" s="62"/>
      <c r="E186" s="23" t="str">
        <f>IFERROR(VLOOKUP($A186,Admission!183:1182,3,0),"")</f>
        <v/>
      </c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</row>
    <row r="187" spans="1:21" ht="13" x14ac:dyDescent="0.15">
      <c r="A187" s="62"/>
      <c r="E187" s="23" t="str">
        <f>IFERROR(VLOOKUP($A187,Admission!184:1183,3,0),"")</f>
        <v/>
      </c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</row>
    <row r="188" spans="1:21" ht="13" x14ac:dyDescent="0.15">
      <c r="A188" s="62"/>
      <c r="E188" s="23" t="str">
        <f>IFERROR(VLOOKUP($A188,Admission!181:1184,3,0),"")</f>
        <v/>
      </c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</row>
    <row r="189" spans="1:21" ht="13" x14ac:dyDescent="0.15">
      <c r="A189" s="62"/>
      <c r="E189" s="23" t="str">
        <f>IFERROR(VLOOKUP($A189,Admission!178:1185,3,0),"")</f>
        <v/>
      </c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</row>
    <row r="190" spans="1:21" ht="13" x14ac:dyDescent="0.15">
      <c r="A190" s="62"/>
      <c r="E190" s="23" t="str">
        <f>IFERROR(VLOOKUP($A190,Admission!179:1186,3,0),"")</f>
        <v/>
      </c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</row>
    <row r="191" spans="1:21" ht="13" x14ac:dyDescent="0.15">
      <c r="A191" s="62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</row>
    <row r="192" spans="1:21" ht="13" x14ac:dyDescent="0.15">
      <c r="A192" s="62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</row>
    <row r="193" spans="1:21" ht="13" x14ac:dyDescent="0.15">
      <c r="A193" s="6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</row>
    <row r="194" spans="1:21" ht="13" x14ac:dyDescent="0.15">
      <c r="A194" s="6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</row>
    <row r="195" spans="1:21" ht="13" x14ac:dyDescent="0.15">
      <c r="A195" s="6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</row>
    <row r="196" spans="1:21" ht="13" x14ac:dyDescent="0.15">
      <c r="A196" s="6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</row>
    <row r="197" spans="1:21" ht="13" x14ac:dyDescent="0.15">
      <c r="A197" s="6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</row>
    <row r="198" spans="1:21" ht="13" x14ac:dyDescent="0.15">
      <c r="A198" s="6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</row>
    <row r="199" spans="1:21" ht="13" x14ac:dyDescent="0.15">
      <c r="A199" s="6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</row>
    <row r="200" spans="1:21" ht="13" x14ac:dyDescent="0.15">
      <c r="A200" s="6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</row>
    <row r="201" spans="1:21" ht="13" x14ac:dyDescent="0.15">
      <c r="A201" s="6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</row>
    <row r="202" spans="1:21" ht="13" x14ac:dyDescent="0.15">
      <c r="A202" s="6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</row>
    <row r="203" spans="1:21" ht="13" x14ac:dyDescent="0.15">
      <c r="A203" s="6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</row>
    <row r="204" spans="1:21" ht="13" x14ac:dyDescent="0.15">
      <c r="A204" s="6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</row>
    <row r="205" spans="1:21" ht="13" x14ac:dyDescent="0.15">
      <c r="A205" s="6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</row>
    <row r="206" spans="1:21" ht="13" x14ac:dyDescent="0.15">
      <c r="A206" s="6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</row>
    <row r="207" spans="1:21" ht="13" x14ac:dyDescent="0.15">
      <c r="A207" s="6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</row>
    <row r="208" spans="1:21" ht="13" x14ac:dyDescent="0.15">
      <c r="A208" s="6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</row>
    <row r="209" spans="1:21" ht="13" x14ac:dyDescent="0.15">
      <c r="A209" s="6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</row>
    <row r="210" spans="1:21" ht="13" x14ac:dyDescent="0.15">
      <c r="A210" s="6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</row>
    <row r="211" spans="1:21" ht="13" x14ac:dyDescent="0.15">
      <c r="A211" s="6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</row>
    <row r="212" spans="1:21" ht="13" x14ac:dyDescent="0.15">
      <c r="A212" s="6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</row>
    <row r="213" spans="1:21" ht="13" x14ac:dyDescent="0.15">
      <c r="A213" s="6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</row>
    <row r="214" spans="1:21" ht="13" x14ac:dyDescent="0.15">
      <c r="A214" s="6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</row>
    <row r="215" spans="1:21" ht="13" x14ac:dyDescent="0.15">
      <c r="A215" s="6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</row>
    <row r="216" spans="1:21" ht="13" x14ac:dyDescent="0.15">
      <c r="A216" s="6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</row>
    <row r="217" spans="1:21" ht="13" x14ac:dyDescent="0.15">
      <c r="A217" s="6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</row>
    <row r="218" spans="1:21" ht="13" x14ac:dyDescent="0.15">
      <c r="A218" s="6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</row>
    <row r="219" spans="1:21" ht="13" x14ac:dyDescent="0.15">
      <c r="A219" s="6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</row>
    <row r="220" spans="1:21" ht="13" x14ac:dyDescent="0.15">
      <c r="A220" s="6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</row>
    <row r="221" spans="1:21" ht="13" x14ac:dyDescent="0.15">
      <c r="A221" s="6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</row>
    <row r="222" spans="1:21" ht="13" x14ac:dyDescent="0.15">
      <c r="A222" s="6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</row>
    <row r="223" spans="1:21" ht="13" x14ac:dyDescent="0.15">
      <c r="A223" s="6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</row>
    <row r="224" spans="1:21" ht="13" x14ac:dyDescent="0.15">
      <c r="A224" s="6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</row>
    <row r="225" spans="1:21" ht="13" x14ac:dyDescent="0.15">
      <c r="A225" s="6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</row>
    <row r="226" spans="1:21" ht="13" x14ac:dyDescent="0.15">
      <c r="A226" s="6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</row>
    <row r="227" spans="1:21" ht="13" x14ac:dyDescent="0.15">
      <c r="A227" s="6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</row>
    <row r="228" spans="1:21" ht="13" x14ac:dyDescent="0.15">
      <c r="A228" s="6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</row>
    <row r="229" spans="1:21" ht="13" x14ac:dyDescent="0.15">
      <c r="A229" s="6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</row>
    <row r="230" spans="1:21" ht="13" x14ac:dyDescent="0.15">
      <c r="A230" s="6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</row>
    <row r="231" spans="1:21" ht="13" x14ac:dyDescent="0.15">
      <c r="A231" s="6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</row>
    <row r="232" spans="1:21" ht="13" x14ac:dyDescent="0.15">
      <c r="A232" s="6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</row>
    <row r="233" spans="1:21" ht="13" x14ac:dyDescent="0.15">
      <c r="A233" s="6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</row>
    <row r="234" spans="1:21" ht="13" x14ac:dyDescent="0.15">
      <c r="A234" s="6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</row>
    <row r="235" spans="1:21" ht="13" x14ac:dyDescent="0.15">
      <c r="A235" s="6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</row>
    <row r="236" spans="1:21" ht="13" x14ac:dyDescent="0.15">
      <c r="A236" s="6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</row>
    <row r="237" spans="1:21" ht="13" x14ac:dyDescent="0.15">
      <c r="A237" s="6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</row>
    <row r="238" spans="1:21" ht="13" x14ac:dyDescent="0.15">
      <c r="A238" s="6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</row>
    <row r="239" spans="1:21" ht="13" x14ac:dyDescent="0.15">
      <c r="A239" s="6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</row>
    <row r="240" spans="1:21" ht="13" x14ac:dyDescent="0.15">
      <c r="A240" s="6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</row>
    <row r="241" spans="1:21" ht="13" x14ac:dyDescent="0.15">
      <c r="A241" s="6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</row>
    <row r="242" spans="1:21" ht="13" x14ac:dyDescent="0.15">
      <c r="A242" s="6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</row>
    <row r="243" spans="1:21" ht="13" x14ac:dyDescent="0.15">
      <c r="A243" s="6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</row>
    <row r="244" spans="1:21" ht="13" x14ac:dyDescent="0.15">
      <c r="A244" s="6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</row>
    <row r="245" spans="1:21" ht="13" x14ac:dyDescent="0.15">
      <c r="A245" s="6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</row>
    <row r="246" spans="1:21" ht="13" x14ac:dyDescent="0.15">
      <c r="A246" s="6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</row>
    <row r="247" spans="1:21" ht="13" x14ac:dyDescent="0.15">
      <c r="A247" s="6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</row>
    <row r="248" spans="1:21" ht="13" x14ac:dyDescent="0.15">
      <c r="A248" s="6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</row>
    <row r="249" spans="1:21" ht="13" x14ac:dyDescent="0.15">
      <c r="A249" s="6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</row>
    <row r="250" spans="1:21" ht="13" x14ac:dyDescent="0.15">
      <c r="A250" s="6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</row>
    <row r="251" spans="1:21" ht="13" x14ac:dyDescent="0.15">
      <c r="A251" s="6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</row>
    <row r="252" spans="1:21" ht="13" x14ac:dyDescent="0.15">
      <c r="A252" s="6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</row>
    <row r="253" spans="1:21" ht="13" x14ac:dyDescent="0.15">
      <c r="A253" s="6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</row>
    <row r="254" spans="1:21" ht="13" x14ac:dyDescent="0.15">
      <c r="A254" s="6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</row>
    <row r="255" spans="1:21" ht="13" x14ac:dyDescent="0.15">
      <c r="A255" s="6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</row>
    <row r="256" spans="1:21" ht="13" x14ac:dyDescent="0.15">
      <c r="A256" s="6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</row>
    <row r="257" spans="1:21" ht="13" x14ac:dyDescent="0.15">
      <c r="A257" s="6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</row>
    <row r="258" spans="1:21" ht="13" x14ac:dyDescent="0.15">
      <c r="A258" s="6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</row>
    <row r="259" spans="1:21" ht="13" x14ac:dyDescent="0.15">
      <c r="A259" s="6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</row>
    <row r="260" spans="1:21" ht="13" x14ac:dyDescent="0.15">
      <c r="A260" s="6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</row>
    <row r="261" spans="1:21" ht="13" x14ac:dyDescent="0.15">
      <c r="A261" s="6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</row>
    <row r="262" spans="1:21" ht="13" x14ac:dyDescent="0.15">
      <c r="A262" s="6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</row>
    <row r="263" spans="1:21" ht="13" x14ac:dyDescent="0.15">
      <c r="A263" s="6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</row>
    <row r="264" spans="1:21" ht="13" x14ac:dyDescent="0.15">
      <c r="A264" s="6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</row>
    <row r="265" spans="1:21" ht="13" x14ac:dyDescent="0.15">
      <c r="A265" s="6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</row>
    <row r="266" spans="1:21" ht="13" x14ac:dyDescent="0.15">
      <c r="A266" s="6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</row>
    <row r="267" spans="1:21" ht="13" x14ac:dyDescent="0.15">
      <c r="A267" s="6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</row>
    <row r="268" spans="1:21" ht="13" x14ac:dyDescent="0.15">
      <c r="A268" s="6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</row>
    <row r="269" spans="1:21" ht="13" x14ac:dyDescent="0.15">
      <c r="A269" s="6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</row>
    <row r="270" spans="1:21" ht="13" x14ac:dyDescent="0.15">
      <c r="A270" s="6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</row>
    <row r="271" spans="1:21" ht="13" x14ac:dyDescent="0.15">
      <c r="A271" s="6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</row>
    <row r="272" spans="1:21" ht="13" x14ac:dyDescent="0.15">
      <c r="A272" s="6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</row>
    <row r="273" spans="1:21" ht="13" x14ac:dyDescent="0.15">
      <c r="A273" s="6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</row>
    <row r="274" spans="1:21" ht="13" x14ac:dyDescent="0.15">
      <c r="A274" s="6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</row>
    <row r="275" spans="1:21" ht="13" x14ac:dyDescent="0.15">
      <c r="A275" s="6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</row>
    <row r="276" spans="1:21" ht="13" x14ac:dyDescent="0.15">
      <c r="A276" s="6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</row>
    <row r="277" spans="1:21" ht="13" x14ac:dyDescent="0.15">
      <c r="A277" s="6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</row>
    <row r="278" spans="1:21" ht="13" x14ac:dyDescent="0.15">
      <c r="A278" s="6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</row>
    <row r="279" spans="1:21" ht="13" x14ac:dyDescent="0.15">
      <c r="A279" s="6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</row>
    <row r="280" spans="1:21" ht="13" x14ac:dyDescent="0.15">
      <c r="A280" s="6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</row>
    <row r="281" spans="1:21" ht="13" x14ac:dyDescent="0.15">
      <c r="A281" s="6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</row>
    <row r="282" spans="1:21" ht="13" x14ac:dyDescent="0.15">
      <c r="A282" s="6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</row>
    <row r="283" spans="1:21" ht="13" x14ac:dyDescent="0.15">
      <c r="A283" s="6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</row>
    <row r="284" spans="1:21" ht="13" x14ac:dyDescent="0.15">
      <c r="A284" s="6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</row>
    <row r="285" spans="1:21" ht="13" x14ac:dyDescent="0.15">
      <c r="A285" s="6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</row>
    <row r="286" spans="1:21" ht="13" x14ac:dyDescent="0.15">
      <c r="A286" s="6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</row>
    <row r="287" spans="1:21" ht="13" x14ac:dyDescent="0.15">
      <c r="A287" s="6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</row>
    <row r="288" spans="1:21" ht="13" x14ac:dyDescent="0.15">
      <c r="A288" s="6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</row>
    <row r="289" spans="1:21" ht="13" x14ac:dyDescent="0.15">
      <c r="A289" s="6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</row>
    <row r="290" spans="1:21" ht="13" x14ac:dyDescent="0.15">
      <c r="A290" s="6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</row>
    <row r="291" spans="1:21" ht="13" x14ac:dyDescent="0.15">
      <c r="A291" s="6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</row>
    <row r="292" spans="1:21" ht="13" x14ac:dyDescent="0.15">
      <c r="A292" s="6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</row>
    <row r="293" spans="1:21" ht="13" x14ac:dyDescent="0.15">
      <c r="A293" s="6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</row>
    <row r="294" spans="1:21" ht="13" x14ac:dyDescent="0.15">
      <c r="A294" s="6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</row>
    <row r="295" spans="1:21" ht="13" x14ac:dyDescent="0.15">
      <c r="A295" s="6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</row>
    <row r="296" spans="1:21" ht="13" x14ac:dyDescent="0.15">
      <c r="A296" s="6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</row>
    <row r="297" spans="1:21" ht="13" x14ac:dyDescent="0.15">
      <c r="A297" s="6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</row>
    <row r="298" spans="1:21" ht="13" x14ac:dyDescent="0.15">
      <c r="A298" s="6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</row>
    <row r="299" spans="1:21" ht="13" x14ac:dyDescent="0.15">
      <c r="A299" s="6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</row>
    <row r="300" spans="1:21" ht="13" x14ac:dyDescent="0.15">
      <c r="A300" s="6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</row>
    <row r="301" spans="1:21" ht="13" x14ac:dyDescent="0.15">
      <c r="A301" s="6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</row>
    <row r="302" spans="1:21" ht="13" x14ac:dyDescent="0.15">
      <c r="A302" s="6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</row>
    <row r="303" spans="1:21" ht="13" x14ac:dyDescent="0.15">
      <c r="A303" s="6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</row>
    <row r="304" spans="1:21" ht="13" x14ac:dyDescent="0.15">
      <c r="A304" s="6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</row>
    <row r="305" spans="1:21" ht="13" x14ac:dyDescent="0.15">
      <c r="A305" s="6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</row>
    <row r="306" spans="1:21" ht="13" x14ac:dyDescent="0.15">
      <c r="A306" s="6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</row>
    <row r="307" spans="1:21" ht="13" x14ac:dyDescent="0.15">
      <c r="A307" s="6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</row>
    <row r="308" spans="1:21" ht="13" x14ac:dyDescent="0.15">
      <c r="A308" s="6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</row>
    <row r="309" spans="1:21" ht="13" x14ac:dyDescent="0.15">
      <c r="A309" s="6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</row>
    <row r="310" spans="1:21" ht="13" x14ac:dyDescent="0.15">
      <c r="A310" s="6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</row>
    <row r="311" spans="1:21" ht="13" x14ac:dyDescent="0.15">
      <c r="A311" s="6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</row>
    <row r="312" spans="1:21" ht="13" x14ac:dyDescent="0.15">
      <c r="A312" s="6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</row>
    <row r="313" spans="1:21" ht="13" x14ac:dyDescent="0.15">
      <c r="A313" s="6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</row>
    <row r="314" spans="1:21" ht="13" x14ac:dyDescent="0.15">
      <c r="A314" s="6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</row>
    <row r="315" spans="1:21" ht="13" x14ac:dyDescent="0.15">
      <c r="A315" s="6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</row>
    <row r="316" spans="1:21" ht="13" x14ac:dyDescent="0.15">
      <c r="A316" s="6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</row>
    <row r="317" spans="1:21" ht="13" x14ac:dyDescent="0.15">
      <c r="A317" s="6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</row>
    <row r="318" spans="1:21" ht="13" x14ac:dyDescent="0.15">
      <c r="A318" s="6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</row>
    <row r="319" spans="1:21" ht="13" x14ac:dyDescent="0.15">
      <c r="A319" s="6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</row>
    <row r="320" spans="1:21" ht="13" x14ac:dyDescent="0.15">
      <c r="A320" s="6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</row>
    <row r="321" spans="1:21" ht="13" x14ac:dyDescent="0.15">
      <c r="A321" s="6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</row>
    <row r="322" spans="1:21" ht="13" x14ac:dyDescent="0.15">
      <c r="A322" s="6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</row>
    <row r="323" spans="1:21" ht="13" x14ac:dyDescent="0.15">
      <c r="A323" s="6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</row>
    <row r="324" spans="1:21" ht="13" x14ac:dyDescent="0.15">
      <c r="A324" s="6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</row>
    <row r="325" spans="1:21" ht="13" x14ac:dyDescent="0.15">
      <c r="A325" s="6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</row>
    <row r="326" spans="1:21" ht="13" x14ac:dyDescent="0.15">
      <c r="A326" s="6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</row>
    <row r="327" spans="1:21" ht="13" x14ac:dyDescent="0.15">
      <c r="A327" s="6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</row>
    <row r="328" spans="1:21" ht="13" x14ac:dyDescent="0.15">
      <c r="A328" s="6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</row>
    <row r="329" spans="1:21" ht="13" x14ac:dyDescent="0.15">
      <c r="A329" s="6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</row>
    <row r="330" spans="1:21" ht="13" x14ac:dyDescent="0.15">
      <c r="A330" s="6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</row>
    <row r="331" spans="1:21" ht="13" x14ac:dyDescent="0.15">
      <c r="A331" s="6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</row>
    <row r="332" spans="1:21" ht="13" x14ac:dyDescent="0.15">
      <c r="A332" s="6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</row>
    <row r="333" spans="1:21" ht="13" x14ac:dyDescent="0.15">
      <c r="A333" s="6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</row>
    <row r="334" spans="1:21" ht="13" x14ac:dyDescent="0.15">
      <c r="A334" s="6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</row>
    <row r="335" spans="1:21" ht="13" x14ac:dyDescent="0.15">
      <c r="A335" s="6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</row>
    <row r="336" spans="1:21" ht="13" x14ac:dyDescent="0.15">
      <c r="A336" s="6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</row>
    <row r="337" spans="1:21" ht="13" x14ac:dyDescent="0.15">
      <c r="A337" s="6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</row>
    <row r="338" spans="1:21" ht="13" x14ac:dyDescent="0.15">
      <c r="A338" s="6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</row>
    <row r="339" spans="1:21" ht="13" x14ac:dyDescent="0.15">
      <c r="A339" s="6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</row>
    <row r="340" spans="1:21" ht="13" x14ac:dyDescent="0.15">
      <c r="A340" s="6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</row>
    <row r="341" spans="1:21" ht="13" x14ac:dyDescent="0.15">
      <c r="A341" s="6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</row>
    <row r="342" spans="1:21" ht="13" x14ac:dyDescent="0.15">
      <c r="A342" s="6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</row>
    <row r="343" spans="1:21" ht="13" x14ac:dyDescent="0.15">
      <c r="A343" s="6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</row>
    <row r="344" spans="1:21" ht="13" x14ac:dyDescent="0.15">
      <c r="A344" s="6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</row>
    <row r="345" spans="1:21" ht="13" x14ac:dyDescent="0.15">
      <c r="A345" s="6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</row>
    <row r="346" spans="1:21" ht="13" x14ac:dyDescent="0.15">
      <c r="A346" s="6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</row>
    <row r="347" spans="1:21" ht="13" x14ac:dyDescent="0.15">
      <c r="A347" s="6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</row>
    <row r="348" spans="1:21" ht="13" x14ac:dyDescent="0.15">
      <c r="A348" s="6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</row>
    <row r="349" spans="1:21" ht="13" x14ac:dyDescent="0.15">
      <c r="A349" s="6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</row>
    <row r="350" spans="1:21" ht="13" x14ac:dyDescent="0.15">
      <c r="A350" s="6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</row>
    <row r="351" spans="1:21" ht="13" x14ac:dyDescent="0.15">
      <c r="A351" s="6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</row>
    <row r="352" spans="1:21" ht="13" x14ac:dyDescent="0.15">
      <c r="A352" s="6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</row>
    <row r="353" spans="1:21" ht="13" x14ac:dyDescent="0.15">
      <c r="A353" s="6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</row>
    <row r="354" spans="1:21" ht="13" x14ac:dyDescent="0.15">
      <c r="A354" s="6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</row>
    <row r="355" spans="1:21" ht="13" x14ac:dyDescent="0.15">
      <c r="A355" s="6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</row>
    <row r="356" spans="1:21" ht="13" x14ac:dyDescent="0.15">
      <c r="A356" s="6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</row>
    <row r="357" spans="1:21" ht="13" x14ac:dyDescent="0.15">
      <c r="A357" s="6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</row>
    <row r="358" spans="1:21" ht="13" x14ac:dyDescent="0.15">
      <c r="A358" s="6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</row>
    <row r="359" spans="1:21" ht="13" x14ac:dyDescent="0.15">
      <c r="A359" s="6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</row>
    <row r="360" spans="1:21" ht="13" x14ac:dyDescent="0.15">
      <c r="A360" s="6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</row>
    <row r="361" spans="1:21" ht="13" x14ac:dyDescent="0.15">
      <c r="A361" s="6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</row>
    <row r="362" spans="1:21" ht="13" x14ac:dyDescent="0.15">
      <c r="A362" s="6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</row>
    <row r="363" spans="1:21" ht="13" x14ac:dyDescent="0.15">
      <c r="A363" s="6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</row>
    <row r="364" spans="1:21" ht="13" x14ac:dyDescent="0.15">
      <c r="A364" s="6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</row>
    <row r="365" spans="1:21" ht="13" x14ac:dyDescent="0.15">
      <c r="A365" s="6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</row>
    <row r="366" spans="1:21" ht="13" x14ac:dyDescent="0.15">
      <c r="A366" s="6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</row>
    <row r="367" spans="1:21" ht="13" x14ac:dyDescent="0.15">
      <c r="A367" s="6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</row>
    <row r="368" spans="1:21" ht="13" x14ac:dyDescent="0.15">
      <c r="A368" s="6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</row>
    <row r="369" spans="1:21" ht="13" x14ac:dyDescent="0.15">
      <c r="A369" s="6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</row>
    <row r="370" spans="1:21" ht="13" x14ac:dyDescent="0.15">
      <c r="A370" s="6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</row>
    <row r="371" spans="1:21" ht="13" x14ac:dyDescent="0.15">
      <c r="A371" s="6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</row>
    <row r="372" spans="1:21" ht="13" x14ac:dyDescent="0.15">
      <c r="A372" s="6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</row>
    <row r="373" spans="1:21" ht="13" x14ac:dyDescent="0.15">
      <c r="A373" s="6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</row>
    <row r="374" spans="1:21" ht="13" x14ac:dyDescent="0.15">
      <c r="A374" s="6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</row>
    <row r="375" spans="1:21" ht="13" x14ac:dyDescent="0.15">
      <c r="A375" s="6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</row>
    <row r="376" spans="1:21" ht="13" x14ac:dyDescent="0.15">
      <c r="A376" s="6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</row>
    <row r="377" spans="1:21" ht="13" x14ac:dyDescent="0.15">
      <c r="A377" s="6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</row>
    <row r="378" spans="1:21" ht="13" x14ac:dyDescent="0.15">
      <c r="A378" s="6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</row>
    <row r="379" spans="1:21" ht="13" x14ac:dyDescent="0.15">
      <c r="A379" s="6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</row>
    <row r="380" spans="1:21" ht="13" x14ac:dyDescent="0.15">
      <c r="A380" s="6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</row>
    <row r="381" spans="1:21" ht="13" x14ac:dyDescent="0.15">
      <c r="A381" s="6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</row>
    <row r="382" spans="1:21" ht="13" x14ac:dyDescent="0.15">
      <c r="A382" s="6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</row>
    <row r="383" spans="1:21" ht="13" x14ac:dyDescent="0.15">
      <c r="A383" s="6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</row>
    <row r="384" spans="1:21" ht="13" x14ac:dyDescent="0.15">
      <c r="A384" s="6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</row>
    <row r="385" spans="1:21" ht="13" x14ac:dyDescent="0.15">
      <c r="A385" s="6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</row>
    <row r="386" spans="1:21" ht="13" x14ac:dyDescent="0.15">
      <c r="A386" s="6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</row>
    <row r="387" spans="1:21" ht="13" x14ac:dyDescent="0.15">
      <c r="A387" s="6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</row>
    <row r="388" spans="1:21" ht="13" x14ac:dyDescent="0.15">
      <c r="A388" s="6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</row>
    <row r="389" spans="1:21" ht="13" x14ac:dyDescent="0.15">
      <c r="A389" s="6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</row>
    <row r="390" spans="1:21" ht="13" x14ac:dyDescent="0.15">
      <c r="A390" s="6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</row>
    <row r="391" spans="1:21" ht="13" x14ac:dyDescent="0.15">
      <c r="A391" s="6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</row>
    <row r="392" spans="1:21" ht="13" x14ac:dyDescent="0.15">
      <c r="A392" s="6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</row>
    <row r="393" spans="1:21" ht="13" x14ac:dyDescent="0.15">
      <c r="A393" s="6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</row>
    <row r="394" spans="1:21" ht="13" x14ac:dyDescent="0.15">
      <c r="A394" s="6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</row>
    <row r="395" spans="1:21" ht="13" x14ac:dyDescent="0.15">
      <c r="A395" s="6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</row>
    <row r="396" spans="1:21" ht="13" x14ac:dyDescent="0.15">
      <c r="A396" s="6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</row>
    <row r="397" spans="1:21" ht="13" x14ac:dyDescent="0.15">
      <c r="A397" s="6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</row>
    <row r="398" spans="1:21" ht="13" x14ac:dyDescent="0.15">
      <c r="A398" s="6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</row>
    <row r="399" spans="1:21" ht="13" x14ac:dyDescent="0.15">
      <c r="A399" s="6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</row>
    <row r="400" spans="1:21" ht="13" x14ac:dyDescent="0.15">
      <c r="A400" s="6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</row>
    <row r="401" spans="1:21" ht="13" x14ac:dyDescent="0.15">
      <c r="A401" s="6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</row>
    <row r="402" spans="1:21" ht="13" x14ac:dyDescent="0.15">
      <c r="A402" s="6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</row>
    <row r="403" spans="1:21" ht="13" x14ac:dyDescent="0.15">
      <c r="A403" s="6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</row>
    <row r="404" spans="1:21" ht="13" x14ac:dyDescent="0.15">
      <c r="A404" s="6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</row>
    <row r="405" spans="1:21" ht="13" x14ac:dyDescent="0.15">
      <c r="A405" s="6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</row>
    <row r="406" spans="1:21" ht="13" x14ac:dyDescent="0.15">
      <c r="A406" s="6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</row>
    <row r="407" spans="1:21" ht="13" x14ac:dyDescent="0.15">
      <c r="A407" s="6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</row>
    <row r="408" spans="1:21" ht="13" x14ac:dyDescent="0.15">
      <c r="A408" s="6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</row>
    <row r="409" spans="1:21" ht="13" x14ac:dyDescent="0.15">
      <c r="A409" s="6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</row>
    <row r="410" spans="1:21" ht="13" x14ac:dyDescent="0.15">
      <c r="A410" s="6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</row>
    <row r="411" spans="1:21" ht="13" x14ac:dyDescent="0.15">
      <c r="A411" s="6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</row>
    <row r="412" spans="1:21" ht="13" x14ac:dyDescent="0.15">
      <c r="A412" s="6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</row>
    <row r="413" spans="1:21" ht="13" x14ac:dyDescent="0.15">
      <c r="A413" s="6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</row>
    <row r="414" spans="1:21" ht="13" x14ac:dyDescent="0.15">
      <c r="A414" s="6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</row>
    <row r="415" spans="1:21" ht="13" x14ac:dyDescent="0.15">
      <c r="A415" s="6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</row>
    <row r="416" spans="1:21" ht="13" x14ac:dyDescent="0.15">
      <c r="A416" s="6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</row>
    <row r="417" spans="1:21" ht="13" x14ac:dyDescent="0.15">
      <c r="A417" s="6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</row>
    <row r="418" spans="1:21" ht="13" x14ac:dyDescent="0.15">
      <c r="A418" s="6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</row>
    <row r="419" spans="1:21" ht="13" x14ac:dyDescent="0.15">
      <c r="A419" s="6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</row>
    <row r="420" spans="1:21" ht="13" x14ac:dyDescent="0.15">
      <c r="A420" s="6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</row>
    <row r="421" spans="1:21" ht="13" x14ac:dyDescent="0.15">
      <c r="A421" s="6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</row>
    <row r="422" spans="1:21" ht="13" x14ac:dyDescent="0.15">
      <c r="A422" s="6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</row>
    <row r="423" spans="1:21" ht="13" x14ac:dyDescent="0.15">
      <c r="A423" s="6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</row>
    <row r="424" spans="1:21" ht="13" x14ac:dyDescent="0.15">
      <c r="A424" s="6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</row>
    <row r="425" spans="1:21" ht="13" x14ac:dyDescent="0.15">
      <c r="A425" s="6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</row>
    <row r="426" spans="1:21" ht="13" x14ac:dyDescent="0.15">
      <c r="A426" s="6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</row>
    <row r="427" spans="1:21" ht="13" x14ac:dyDescent="0.15">
      <c r="A427" s="6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</row>
    <row r="428" spans="1:21" ht="13" x14ac:dyDescent="0.15">
      <c r="A428" s="6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</row>
    <row r="429" spans="1:21" ht="13" x14ac:dyDescent="0.15">
      <c r="A429" s="6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</row>
    <row r="430" spans="1:21" ht="13" x14ac:dyDescent="0.15">
      <c r="A430" s="6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</row>
    <row r="431" spans="1:21" ht="13" x14ac:dyDescent="0.15">
      <c r="A431" s="6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</row>
    <row r="432" spans="1:21" ht="13" x14ac:dyDescent="0.15">
      <c r="A432" s="6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</row>
    <row r="433" spans="1:21" ht="13" x14ac:dyDescent="0.15">
      <c r="A433" s="6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</row>
    <row r="434" spans="1:21" ht="13" x14ac:dyDescent="0.15">
      <c r="A434" s="6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</row>
    <row r="435" spans="1:21" ht="13" x14ac:dyDescent="0.15">
      <c r="A435" s="6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</row>
    <row r="436" spans="1:21" ht="13" x14ac:dyDescent="0.15">
      <c r="A436" s="6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</row>
    <row r="437" spans="1:21" ht="13" x14ac:dyDescent="0.15">
      <c r="A437" s="6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</row>
    <row r="438" spans="1:21" ht="13" x14ac:dyDescent="0.15">
      <c r="A438" s="6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</row>
    <row r="439" spans="1:21" ht="13" x14ac:dyDescent="0.15">
      <c r="A439" s="6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</row>
    <row r="440" spans="1:21" ht="13" x14ac:dyDescent="0.15">
      <c r="A440" s="6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</row>
    <row r="441" spans="1:21" ht="13" x14ac:dyDescent="0.15">
      <c r="A441" s="6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</row>
    <row r="442" spans="1:21" ht="13" x14ac:dyDescent="0.15">
      <c r="A442" s="6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</row>
    <row r="443" spans="1:21" ht="13" x14ac:dyDescent="0.15">
      <c r="A443" s="6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</row>
    <row r="444" spans="1:21" ht="13" x14ac:dyDescent="0.15">
      <c r="A444" s="6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</row>
    <row r="445" spans="1:21" ht="13" x14ac:dyDescent="0.15">
      <c r="A445" s="6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</row>
    <row r="446" spans="1:21" ht="13" x14ac:dyDescent="0.15">
      <c r="A446" s="6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</row>
    <row r="447" spans="1:21" ht="13" x14ac:dyDescent="0.15">
      <c r="A447" s="6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</row>
    <row r="448" spans="1:21" ht="13" x14ac:dyDescent="0.15">
      <c r="A448" s="6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</row>
    <row r="449" spans="1:21" ht="13" x14ac:dyDescent="0.15">
      <c r="A449" s="6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</row>
    <row r="450" spans="1:21" ht="13" x14ac:dyDescent="0.15">
      <c r="A450" s="6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</row>
    <row r="451" spans="1:21" ht="13" x14ac:dyDescent="0.15">
      <c r="A451" s="6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</row>
    <row r="452" spans="1:21" ht="13" x14ac:dyDescent="0.15">
      <c r="A452" s="6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</row>
    <row r="453" spans="1:21" ht="13" x14ac:dyDescent="0.15">
      <c r="A453" s="6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</row>
    <row r="454" spans="1:21" ht="13" x14ac:dyDescent="0.15">
      <c r="A454" s="6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</row>
    <row r="455" spans="1:21" ht="13" x14ac:dyDescent="0.15">
      <c r="A455" s="6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</row>
    <row r="456" spans="1:21" ht="13" x14ac:dyDescent="0.15">
      <c r="A456" s="6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</row>
    <row r="457" spans="1:21" ht="13" x14ac:dyDescent="0.15">
      <c r="A457" s="6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</row>
    <row r="458" spans="1:21" ht="13" x14ac:dyDescent="0.15">
      <c r="A458" s="6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</row>
    <row r="459" spans="1:21" ht="13" x14ac:dyDescent="0.15">
      <c r="A459" s="6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</row>
    <row r="460" spans="1:21" ht="13" x14ac:dyDescent="0.15">
      <c r="A460" s="6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</row>
    <row r="461" spans="1:21" ht="13" x14ac:dyDescent="0.15">
      <c r="A461" s="6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</row>
    <row r="462" spans="1:21" ht="13" x14ac:dyDescent="0.15">
      <c r="A462" s="6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</row>
    <row r="463" spans="1:21" ht="13" x14ac:dyDescent="0.15">
      <c r="A463" s="6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</row>
    <row r="464" spans="1:21" ht="13" x14ac:dyDescent="0.15">
      <c r="A464" s="6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</row>
    <row r="465" spans="1:21" ht="13" x14ac:dyDescent="0.15">
      <c r="A465" s="6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</row>
    <row r="466" spans="1:21" ht="13" x14ac:dyDescent="0.15">
      <c r="A466" s="6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</row>
    <row r="467" spans="1:21" ht="13" x14ac:dyDescent="0.15">
      <c r="A467" s="6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</row>
    <row r="468" spans="1:21" ht="13" x14ac:dyDescent="0.15">
      <c r="A468" s="6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</row>
    <row r="469" spans="1:21" ht="13" x14ac:dyDescent="0.15">
      <c r="A469" s="6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</row>
    <row r="470" spans="1:21" ht="13" x14ac:dyDescent="0.15">
      <c r="A470" s="6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</row>
    <row r="471" spans="1:21" ht="13" x14ac:dyDescent="0.15">
      <c r="A471" s="6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</row>
    <row r="472" spans="1:21" ht="13" x14ac:dyDescent="0.15">
      <c r="A472" s="6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</row>
    <row r="473" spans="1:21" ht="13" x14ac:dyDescent="0.15">
      <c r="A473" s="6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</row>
    <row r="474" spans="1:21" ht="13" x14ac:dyDescent="0.15">
      <c r="A474" s="6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</row>
    <row r="475" spans="1:21" ht="13" x14ac:dyDescent="0.15">
      <c r="A475" s="6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</row>
    <row r="476" spans="1:21" ht="13" x14ac:dyDescent="0.15">
      <c r="A476" s="6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</row>
    <row r="477" spans="1:21" ht="13" x14ac:dyDescent="0.15">
      <c r="A477" s="6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</row>
    <row r="478" spans="1:21" ht="13" x14ac:dyDescent="0.15">
      <c r="A478" s="6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</row>
    <row r="479" spans="1:21" ht="13" x14ac:dyDescent="0.15">
      <c r="A479" s="6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</row>
    <row r="480" spans="1:21" ht="13" x14ac:dyDescent="0.15">
      <c r="A480" s="6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</row>
    <row r="481" spans="1:21" ht="13" x14ac:dyDescent="0.15">
      <c r="A481" s="6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</row>
    <row r="482" spans="1:21" ht="13" x14ac:dyDescent="0.15">
      <c r="A482" s="6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</row>
    <row r="483" spans="1:21" ht="13" x14ac:dyDescent="0.15">
      <c r="A483" s="6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</row>
    <row r="484" spans="1:21" ht="13" x14ac:dyDescent="0.15">
      <c r="A484" s="6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</row>
    <row r="485" spans="1:21" ht="13" x14ac:dyDescent="0.15">
      <c r="A485" s="6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</row>
    <row r="486" spans="1:21" ht="13" x14ac:dyDescent="0.15">
      <c r="A486" s="6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</row>
    <row r="487" spans="1:21" ht="13" x14ac:dyDescent="0.15">
      <c r="A487" s="6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</row>
    <row r="488" spans="1:21" ht="13" x14ac:dyDescent="0.15">
      <c r="A488" s="6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</row>
    <row r="489" spans="1:21" ht="13" x14ac:dyDescent="0.15">
      <c r="A489" s="6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</row>
    <row r="490" spans="1:21" ht="13" x14ac:dyDescent="0.15">
      <c r="A490" s="6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</row>
    <row r="491" spans="1:21" ht="13" x14ac:dyDescent="0.15">
      <c r="A491" s="6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</row>
    <row r="492" spans="1:21" ht="13" x14ac:dyDescent="0.15">
      <c r="A492" s="6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</row>
    <row r="493" spans="1:21" ht="13" x14ac:dyDescent="0.15">
      <c r="A493" s="6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</row>
    <row r="494" spans="1:21" ht="13" x14ac:dyDescent="0.15">
      <c r="A494" s="6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</row>
    <row r="495" spans="1:21" ht="13" x14ac:dyDescent="0.15">
      <c r="A495" s="6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</row>
    <row r="496" spans="1:21" ht="13" x14ac:dyDescent="0.15">
      <c r="A496" s="6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</row>
    <row r="497" spans="1:21" ht="13" x14ac:dyDescent="0.15">
      <c r="A497" s="6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</row>
    <row r="498" spans="1:21" ht="13" x14ac:dyDescent="0.15">
      <c r="A498" s="6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</row>
    <row r="499" spans="1:21" ht="13" x14ac:dyDescent="0.15">
      <c r="A499" s="6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</row>
    <row r="500" spans="1:21" ht="13" x14ac:dyDescent="0.15">
      <c r="A500" s="6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</row>
    <row r="501" spans="1:21" ht="13" x14ac:dyDescent="0.15">
      <c r="A501" s="6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</row>
    <row r="502" spans="1:21" ht="13" x14ac:dyDescent="0.15">
      <c r="A502" s="6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</row>
    <row r="503" spans="1:21" ht="13" x14ac:dyDescent="0.15">
      <c r="A503" s="6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</row>
    <row r="504" spans="1:21" ht="13" x14ac:dyDescent="0.15">
      <c r="A504" s="6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</row>
    <row r="505" spans="1:21" ht="13" x14ac:dyDescent="0.15">
      <c r="A505" s="6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</row>
    <row r="506" spans="1:21" ht="13" x14ac:dyDescent="0.15">
      <c r="A506" s="6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</row>
    <row r="507" spans="1:21" ht="13" x14ac:dyDescent="0.15">
      <c r="A507" s="6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</row>
    <row r="508" spans="1:21" ht="13" x14ac:dyDescent="0.15">
      <c r="A508" s="6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</row>
    <row r="509" spans="1:21" ht="13" x14ac:dyDescent="0.15">
      <c r="A509" s="6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</row>
    <row r="510" spans="1:21" ht="13" x14ac:dyDescent="0.15">
      <c r="A510" s="6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</row>
    <row r="511" spans="1:21" ht="13" x14ac:dyDescent="0.15">
      <c r="A511" s="6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</row>
    <row r="512" spans="1:21" ht="13" x14ac:dyDescent="0.15">
      <c r="A512" s="6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</row>
    <row r="513" spans="1:21" ht="13" x14ac:dyDescent="0.15">
      <c r="A513" s="6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</row>
    <row r="514" spans="1:21" ht="13" x14ac:dyDescent="0.15">
      <c r="A514" s="6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</row>
    <row r="515" spans="1:21" ht="13" x14ac:dyDescent="0.15">
      <c r="A515" s="6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</row>
    <row r="516" spans="1:21" ht="13" x14ac:dyDescent="0.15">
      <c r="A516" s="6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</row>
    <row r="517" spans="1:21" ht="13" x14ac:dyDescent="0.15">
      <c r="A517" s="6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</row>
    <row r="518" spans="1:21" ht="13" x14ac:dyDescent="0.15">
      <c r="A518" s="6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</row>
    <row r="519" spans="1:21" ht="13" x14ac:dyDescent="0.15">
      <c r="A519" s="6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</row>
    <row r="520" spans="1:21" ht="13" x14ac:dyDescent="0.15">
      <c r="A520" s="6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</row>
    <row r="521" spans="1:21" ht="13" x14ac:dyDescent="0.15">
      <c r="A521" s="6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</row>
    <row r="522" spans="1:21" ht="13" x14ac:dyDescent="0.15">
      <c r="A522" s="6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</row>
    <row r="523" spans="1:21" ht="13" x14ac:dyDescent="0.15">
      <c r="A523" s="6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</row>
    <row r="524" spans="1:21" ht="13" x14ac:dyDescent="0.15">
      <c r="A524" s="6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</row>
    <row r="525" spans="1:21" ht="13" x14ac:dyDescent="0.15">
      <c r="A525" s="6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</row>
    <row r="526" spans="1:21" ht="13" x14ac:dyDescent="0.15">
      <c r="A526" s="6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</row>
    <row r="527" spans="1:21" ht="13" x14ac:dyDescent="0.15">
      <c r="A527" s="6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</row>
    <row r="528" spans="1:21" ht="13" x14ac:dyDescent="0.15">
      <c r="A528" s="6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</row>
    <row r="529" spans="1:21" ht="13" x14ac:dyDescent="0.15">
      <c r="A529" s="6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</row>
    <row r="530" spans="1:21" ht="13" x14ac:dyDescent="0.15">
      <c r="A530" s="6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</row>
    <row r="531" spans="1:21" ht="13" x14ac:dyDescent="0.15">
      <c r="A531" s="6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</row>
    <row r="532" spans="1:21" ht="13" x14ac:dyDescent="0.15">
      <c r="A532" s="6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</row>
    <row r="533" spans="1:21" ht="13" x14ac:dyDescent="0.15">
      <c r="A533" s="6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</row>
    <row r="534" spans="1:21" ht="13" x14ac:dyDescent="0.15">
      <c r="A534" s="6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</row>
    <row r="535" spans="1:21" ht="13" x14ac:dyDescent="0.15">
      <c r="A535" s="6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</row>
    <row r="536" spans="1:21" ht="13" x14ac:dyDescent="0.15">
      <c r="A536" s="6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</row>
    <row r="537" spans="1:21" ht="13" x14ac:dyDescent="0.15">
      <c r="A537" s="6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</row>
    <row r="538" spans="1:21" ht="13" x14ac:dyDescent="0.15">
      <c r="A538" s="6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</row>
    <row r="539" spans="1:21" ht="13" x14ac:dyDescent="0.15">
      <c r="A539" s="6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</row>
    <row r="540" spans="1:21" ht="13" x14ac:dyDescent="0.15">
      <c r="A540" s="6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</row>
    <row r="541" spans="1:21" ht="13" x14ac:dyDescent="0.15">
      <c r="A541" s="6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</row>
    <row r="542" spans="1:21" ht="13" x14ac:dyDescent="0.15">
      <c r="A542" s="6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</row>
    <row r="543" spans="1:21" ht="13" x14ac:dyDescent="0.15">
      <c r="A543" s="6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</row>
    <row r="544" spans="1:21" ht="13" x14ac:dyDescent="0.15">
      <c r="A544" s="6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</row>
    <row r="545" spans="1:21" ht="13" x14ac:dyDescent="0.15">
      <c r="A545" s="6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</row>
    <row r="546" spans="1:21" ht="13" x14ac:dyDescent="0.15">
      <c r="A546" s="6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</row>
    <row r="547" spans="1:21" ht="13" x14ac:dyDescent="0.15">
      <c r="A547" s="6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</row>
    <row r="548" spans="1:21" ht="13" x14ac:dyDescent="0.15">
      <c r="A548" s="6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</row>
    <row r="549" spans="1:21" ht="13" x14ac:dyDescent="0.15">
      <c r="A549" s="6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</row>
    <row r="550" spans="1:21" ht="13" x14ac:dyDescent="0.15">
      <c r="A550" s="6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</row>
    <row r="551" spans="1:21" ht="13" x14ac:dyDescent="0.15">
      <c r="A551" s="6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</row>
    <row r="552" spans="1:21" ht="13" x14ac:dyDescent="0.15">
      <c r="A552" s="6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</row>
    <row r="553" spans="1:21" ht="13" x14ac:dyDescent="0.15">
      <c r="A553" s="6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</row>
    <row r="554" spans="1:21" ht="13" x14ac:dyDescent="0.15">
      <c r="A554" s="6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</row>
    <row r="555" spans="1:21" ht="13" x14ac:dyDescent="0.15">
      <c r="A555" s="6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</row>
    <row r="556" spans="1:21" ht="13" x14ac:dyDescent="0.15">
      <c r="A556" s="6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</row>
    <row r="557" spans="1:21" ht="13" x14ac:dyDescent="0.15">
      <c r="A557" s="6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</row>
    <row r="558" spans="1:21" ht="13" x14ac:dyDescent="0.15">
      <c r="A558" s="6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</row>
    <row r="559" spans="1:21" ht="13" x14ac:dyDescent="0.15">
      <c r="A559" s="6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</row>
    <row r="560" spans="1:21" ht="13" x14ac:dyDescent="0.15">
      <c r="A560" s="6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</row>
    <row r="561" spans="1:21" ht="13" x14ac:dyDescent="0.15">
      <c r="A561" s="6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</row>
    <row r="562" spans="1:21" ht="13" x14ac:dyDescent="0.15">
      <c r="A562" s="6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</row>
    <row r="563" spans="1:21" ht="13" x14ac:dyDescent="0.15">
      <c r="A563" s="6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</row>
    <row r="564" spans="1:21" ht="13" x14ac:dyDescent="0.15">
      <c r="A564" s="6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</row>
    <row r="565" spans="1:21" ht="13" x14ac:dyDescent="0.15">
      <c r="A565" s="6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</row>
    <row r="566" spans="1:21" ht="13" x14ac:dyDescent="0.15">
      <c r="A566" s="6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</row>
    <row r="567" spans="1:21" ht="13" x14ac:dyDescent="0.15">
      <c r="A567" s="6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</row>
    <row r="568" spans="1:21" ht="13" x14ac:dyDescent="0.15">
      <c r="A568" s="6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</row>
    <row r="569" spans="1:21" ht="13" x14ac:dyDescent="0.15">
      <c r="A569" s="6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</row>
    <row r="570" spans="1:21" ht="13" x14ac:dyDescent="0.15">
      <c r="A570" s="6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</row>
    <row r="571" spans="1:21" ht="13" x14ac:dyDescent="0.15">
      <c r="A571" s="6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</row>
    <row r="572" spans="1:21" ht="13" x14ac:dyDescent="0.15">
      <c r="A572" s="6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</row>
    <row r="573" spans="1:21" ht="13" x14ac:dyDescent="0.15">
      <c r="A573" s="6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</row>
    <row r="574" spans="1:21" ht="13" x14ac:dyDescent="0.15">
      <c r="A574" s="6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</row>
    <row r="575" spans="1:21" ht="13" x14ac:dyDescent="0.15">
      <c r="A575" s="6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</row>
    <row r="576" spans="1:21" ht="13" x14ac:dyDescent="0.15">
      <c r="A576" s="6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</row>
    <row r="577" spans="1:21" ht="13" x14ac:dyDescent="0.15">
      <c r="A577" s="6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</row>
    <row r="578" spans="1:21" ht="13" x14ac:dyDescent="0.15">
      <c r="A578" s="6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</row>
    <row r="579" spans="1:21" ht="13" x14ac:dyDescent="0.15">
      <c r="A579" s="6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</row>
    <row r="580" spans="1:21" ht="13" x14ac:dyDescent="0.15">
      <c r="A580" s="6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</row>
    <row r="581" spans="1:21" ht="13" x14ac:dyDescent="0.15">
      <c r="A581" s="6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</row>
    <row r="582" spans="1:21" ht="13" x14ac:dyDescent="0.15">
      <c r="A582" s="6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</row>
    <row r="583" spans="1:21" ht="13" x14ac:dyDescent="0.15">
      <c r="A583" s="6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</row>
    <row r="584" spans="1:21" ht="13" x14ac:dyDescent="0.15">
      <c r="A584" s="6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</row>
    <row r="585" spans="1:21" ht="13" x14ac:dyDescent="0.15">
      <c r="A585" s="6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</row>
    <row r="586" spans="1:21" ht="13" x14ac:dyDescent="0.15">
      <c r="A586" s="6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</row>
    <row r="587" spans="1:21" ht="13" x14ac:dyDescent="0.15">
      <c r="A587" s="6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</row>
    <row r="588" spans="1:21" ht="13" x14ac:dyDescent="0.15">
      <c r="A588" s="6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</row>
    <row r="589" spans="1:21" ht="13" x14ac:dyDescent="0.15">
      <c r="A589" s="6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</row>
    <row r="590" spans="1:21" ht="13" x14ac:dyDescent="0.15">
      <c r="A590" s="6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</row>
    <row r="591" spans="1:21" ht="13" x14ac:dyDescent="0.15">
      <c r="A591" s="6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</row>
    <row r="592" spans="1:21" ht="13" x14ac:dyDescent="0.15">
      <c r="A592" s="6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</row>
    <row r="593" spans="1:21" ht="13" x14ac:dyDescent="0.15">
      <c r="A593" s="6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</row>
    <row r="594" spans="1:21" ht="13" x14ac:dyDescent="0.15">
      <c r="A594" s="6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</row>
    <row r="595" spans="1:21" ht="13" x14ac:dyDescent="0.15">
      <c r="A595" s="6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</row>
    <row r="596" spans="1:21" ht="13" x14ac:dyDescent="0.15">
      <c r="A596" s="6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</row>
    <row r="597" spans="1:21" ht="13" x14ac:dyDescent="0.15">
      <c r="A597" s="6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</row>
    <row r="598" spans="1:21" ht="13" x14ac:dyDescent="0.15">
      <c r="A598" s="6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</row>
    <row r="599" spans="1:21" ht="13" x14ac:dyDescent="0.15">
      <c r="A599" s="6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</row>
    <row r="600" spans="1:21" ht="13" x14ac:dyDescent="0.15">
      <c r="A600" s="6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</row>
    <row r="601" spans="1:21" ht="13" x14ac:dyDescent="0.15">
      <c r="A601" s="6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</row>
    <row r="602" spans="1:21" ht="13" x14ac:dyDescent="0.15">
      <c r="A602" s="6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</row>
    <row r="603" spans="1:21" ht="13" x14ac:dyDescent="0.15">
      <c r="A603" s="6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</row>
    <row r="604" spans="1:21" ht="13" x14ac:dyDescent="0.15">
      <c r="A604" s="6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</row>
    <row r="605" spans="1:21" ht="13" x14ac:dyDescent="0.15">
      <c r="A605" s="6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</row>
    <row r="606" spans="1:21" ht="13" x14ac:dyDescent="0.15">
      <c r="A606" s="6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</row>
    <row r="607" spans="1:21" ht="13" x14ac:dyDescent="0.15">
      <c r="A607" s="6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</row>
    <row r="608" spans="1:21" ht="13" x14ac:dyDescent="0.15">
      <c r="A608" s="6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</row>
    <row r="609" spans="1:21" ht="13" x14ac:dyDescent="0.15">
      <c r="A609" s="6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</row>
    <row r="610" spans="1:21" ht="13" x14ac:dyDescent="0.15">
      <c r="A610" s="6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</row>
    <row r="611" spans="1:21" ht="13" x14ac:dyDescent="0.15">
      <c r="A611" s="6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</row>
    <row r="612" spans="1:21" ht="13" x14ac:dyDescent="0.15">
      <c r="A612" s="6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</row>
    <row r="613" spans="1:21" ht="13" x14ac:dyDescent="0.15">
      <c r="A613" s="6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</row>
    <row r="614" spans="1:21" ht="13" x14ac:dyDescent="0.15">
      <c r="A614" s="6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</row>
    <row r="615" spans="1:21" ht="13" x14ac:dyDescent="0.15">
      <c r="A615" s="6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</row>
    <row r="616" spans="1:21" ht="13" x14ac:dyDescent="0.15">
      <c r="A616" s="6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</row>
    <row r="617" spans="1:21" ht="13" x14ac:dyDescent="0.15">
      <c r="A617" s="6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</row>
    <row r="618" spans="1:21" ht="13" x14ac:dyDescent="0.15">
      <c r="A618" s="6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</row>
    <row r="619" spans="1:21" ht="13" x14ac:dyDescent="0.15">
      <c r="A619" s="6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</row>
    <row r="620" spans="1:21" ht="13" x14ac:dyDescent="0.15">
      <c r="A620" s="6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</row>
    <row r="621" spans="1:21" ht="13" x14ac:dyDescent="0.15">
      <c r="A621" s="6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</row>
    <row r="622" spans="1:21" ht="13" x14ac:dyDescent="0.15">
      <c r="A622" s="6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</row>
    <row r="623" spans="1:21" ht="13" x14ac:dyDescent="0.15">
      <c r="A623" s="6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</row>
    <row r="624" spans="1:21" ht="13" x14ac:dyDescent="0.15">
      <c r="A624" s="6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</row>
    <row r="625" spans="1:21" ht="13" x14ac:dyDescent="0.15">
      <c r="A625" s="6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</row>
    <row r="626" spans="1:21" ht="13" x14ac:dyDescent="0.15">
      <c r="A626" s="6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</row>
    <row r="627" spans="1:21" ht="13" x14ac:dyDescent="0.15">
      <c r="A627" s="6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</row>
    <row r="628" spans="1:21" ht="13" x14ac:dyDescent="0.15">
      <c r="A628" s="6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</row>
    <row r="629" spans="1:21" ht="13" x14ac:dyDescent="0.15">
      <c r="A629" s="6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</row>
    <row r="630" spans="1:21" ht="13" x14ac:dyDescent="0.15">
      <c r="A630" s="6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</row>
    <row r="631" spans="1:21" ht="13" x14ac:dyDescent="0.15">
      <c r="A631" s="6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</row>
    <row r="632" spans="1:21" ht="13" x14ac:dyDescent="0.15">
      <c r="A632" s="6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</row>
    <row r="633" spans="1:21" ht="13" x14ac:dyDescent="0.15">
      <c r="A633" s="6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</row>
    <row r="634" spans="1:21" ht="13" x14ac:dyDescent="0.15">
      <c r="A634" s="6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</row>
    <row r="635" spans="1:21" ht="13" x14ac:dyDescent="0.15">
      <c r="A635" s="6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</row>
    <row r="636" spans="1:21" ht="13" x14ac:dyDescent="0.15">
      <c r="A636" s="6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</row>
    <row r="637" spans="1:21" ht="13" x14ac:dyDescent="0.15">
      <c r="A637" s="6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</row>
    <row r="638" spans="1:21" ht="13" x14ac:dyDescent="0.15">
      <c r="A638" s="6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</row>
    <row r="639" spans="1:21" ht="13" x14ac:dyDescent="0.15">
      <c r="A639" s="6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</row>
    <row r="640" spans="1:21" ht="13" x14ac:dyDescent="0.15">
      <c r="A640" s="6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</row>
    <row r="641" spans="1:21" ht="13" x14ac:dyDescent="0.15">
      <c r="A641" s="6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</row>
    <row r="642" spans="1:21" ht="13" x14ac:dyDescent="0.15">
      <c r="A642" s="6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</row>
    <row r="643" spans="1:21" ht="13" x14ac:dyDescent="0.15">
      <c r="A643" s="6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</row>
    <row r="644" spans="1:21" ht="13" x14ac:dyDescent="0.15">
      <c r="A644" s="6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</row>
    <row r="645" spans="1:21" ht="13" x14ac:dyDescent="0.15">
      <c r="A645" s="6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</row>
    <row r="646" spans="1:21" ht="13" x14ac:dyDescent="0.15">
      <c r="A646" s="6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</row>
    <row r="647" spans="1:21" ht="13" x14ac:dyDescent="0.15">
      <c r="A647" s="6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</row>
    <row r="648" spans="1:21" ht="13" x14ac:dyDescent="0.15">
      <c r="A648" s="6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</row>
    <row r="649" spans="1:21" ht="13" x14ac:dyDescent="0.15">
      <c r="A649" s="6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</row>
    <row r="650" spans="1:21" ht="13" x14ac:dyDescent="0.15">
      <c r="A650" s="6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</row>
    <row r="651" spans="1:21" ht="13" x14ac:dyDescent="0.15">
      <c r="A651" s="6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</row>
    <row r="652" spans="1:21" ht="13" x14ac:dyDescent="0.15">
      <c r="A652" s="6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</row>
    <row r="653" spans="1:21" ht="13" x14ac:dyDescent="0.15">
      <c r="A653" s="6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</row>
    <row r="654" spans="1:21" ht="13" x14ac:dyDescent="0.15">
      <c r="A654" s="6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</row>
    <row r="655" spans="1:21" ht="13" x14ac:dyDescent="0.15">
      <c r="A655" s="6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</row>
    <row r="656" spans="1:21" ht="13" x14ac:dyDescent="0.15">
      <c r="A656" s="6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</row>
    <row r="657" spans="1:21" ht="13" x14ac:dyDescent="0.15">
      <c r="A657" s="6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</row>
    <row r="658" spans="1:21" ht="13" x14ac:dyDescent="0.15">
      <c r="A658" s="6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</row>
    <row r="659" spans="1:21" ht="13" x14ac:dyDescent="0.15">
      <c r="A659" s="6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</row>
    <row r="660" spans="1:21" ht="13" x14ac:dyDescent="0.15">
      <c r="A660" s="6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</row>
    <row r="661" spans="1:21" ht="13" x14ac:dyDescent="0.15">
      <c r="A661" s="6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</row>
    <row r="662" spans="1:21" ht="13" x14ac:dyDescent="0.15">
      <c r="A662" s="6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</row>
    <row r="663" spans="1:21" ht="13" x14ac:dyDescent="0.15">
      <c r="A663" s="6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</row>
    <row r="664" spans="1:21" ht="13" x14ac:dyDescent="0.15">
      <c r="A664" s="6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</row>
    <row r="665" spans="1:21" ht="13" x14ac:dyDescent="0.15">
      <c r="A665" s="6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</row>
    <row r="666" spans="1:21" ht="13" x14ac:dyDescent="0.15">
      <c r="A666" s="6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</row>
    <row r="667" spans="1:21" ht="13" x14ac:dyDescent="0.15">
      <c r="A667" s="6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</row>
    <row r="668" spans="1:21" ht="13" x14ac:dyDescent="0.15">
      <c r="A668" s="6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</row>
    <row r="669" spans="1:21" ht="13" x14ac:dyDescent="0.15">
      <c r="A669" s="6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</row>
    <row r="670" spans="1:21" ht="13" x14ac:dyDescent="0.15">
      <c r="A670" s="6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</row>
    <row r="671" spans="1:21" ht="13" x14ac:dyDescent="0.15">
      <c r="A671" s="6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</row>
    <row r="672" spans="1:21" ht="13" x14ac:dyDescent="0.15">
      <c r="A672" s="6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</row>
    <row r="673" spans="1:21" ht="13" x14ac:dyDescent="0.15">
      <c r="A673" s="6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</row>
    <row r="674" spans="1:21" ht="13" x14ac:dyDescent="0.15">
      <c r="A674" s="6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</row>
    <row r="675" spans="1:21" ht="13" x14ac:dyDescent="0.15">
      <c r="A675" s="62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</row>
    <row r="676" spans="1:21" ht="13" x14ac:dyDescent="0.15">
      <c r="A676" s="62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</row>
    <row r="677" spans="1:21" ht="13" x14ac:dyDescent="0.15">
      <c r="A677" s="62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</row>
    <row r="678" spans="1:21" ht="13" x14ac:dyDescent="0.15">
      <c r="A678" s="62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</row>
    <row r="679" spans="1:21" ht="13" x14ac:dyDescent="0.15">
      <c r="A679" s="62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</row>
    <row r="680" spans="1:21" ht="13" x14ac:dyDescent="0.15">
      <c r="A680" s="62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</row>
    <row r="681" spans="1:21" ht="13" x14ac:dyDescent="0.15">
      <c r="A681" s="62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</row>
    <row r="682" spans="1:21" ht="13" x14ac:dyDescent="0.15">
      <c r="A682" s="62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</row>
    <row r="683" spans="1:21" ht="13" x14ac:dyDescent="0.15">
      <c r="A683" s="62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</row>
    <row r="684" spans="1:21" ht="13" x14ac:dyDescent="0.15">
      <c r="A684" s="62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</row>
    <row r="685" spans="1:21" ht="13" x14ac:dyDescent="0.15">
      <c r="A685" s="62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</row>
    <row r="686" spans="1:21" ht="13" x14ac:dyDescent="0.15">
      <c r="A686" s="62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</row>
    <row r="687" spans="1:21" ht="13" x14ac:dyDescent="0.15">
      <c r="A687" s="62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</row>
    <row r="688" spans="1:21" ht="13" x14ac:dyDescent="0.15">
      <c r="A688" s="62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</row>
    <row r="689" spans="1:21" ht="13" x14ac:dyDescent="0.15">
      <c r="A689" s="62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</row>
    <row r="690" spans="1:21" ht="13" x14ac:dyDescent="0.15">
      <c r="A690" s="62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</row>
    <row r="691" spans="1:21" ht="13" x14ac:dyDescent="0.15">
      <c r="A691" s="62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</row>
    <row r="692" spans="1:21" ht="13" x14ac:dyDescent="0.15">
      <c r="A692" s="62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</row>
    <row r="693" spans="1:21" ht="13" x14ac:dyDescent="0.15">
      <c r="A693" s="62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</row>
    <row r="694" spans="1:21" ht="13" x14ac:dyDescent="0.15">
      <c r="A694" s="62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</row>
    <row r="695" spans="1:21" ht="13" x14ac:dyDescent="0.15">
      <c r="A695" s="62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</row>
    <row r="696" spans="1:21" ht="13" x14ac:dyDescent="0.15">
      <c r="A696" s="62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</row>
    <row r="697" spans="1:21" ht="13" x14ac:dyDescent="0.15">
      <c r="A697" s="62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</row>
    <row r="698" spans="1:21" ht="13" x14ac:dyDescent="0.15">
      <c r="A698" s="62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</row>
    <row r="699" spans="1:21" ht="13" x14ac:dyDescent="0.15">
      <c r="A699" s="62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</row>
    <row r="700" spans="1:21" ht="13" x14ac:dyDescent="0.15">
      <c r="A700" s="62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</row>
    <row r="701" spans="1:21" ht="13" x14ac:dyDescent="0.15">
      <c r="A701" s="62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</row>
    <row r="702" spans="1:21" ht="13" x14ac:dyDescent="0.15">
      <c r="A702" s="62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</row>
    <row r="703" spans="1:21" ht="13" x14ac:dyDescent="0.15">
      <c r="A703" s="62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</row>
    <row r="704" spans="1:21" ht="13" x14ac:dyDescent="0.15">
      <c r="A704" s="62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</row>
    <row r="705" spans="1:21" ht="13" x14ac:dyDescent="0.15">
      <c r="A705" s="62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</row>
    <row r="706" spans="1:21" ht="13" x14ac:dyDescent="0.15">
      <c r="A706" s="62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</row>
    <row r="707" spans="1:21" ht="13" x14ac:dyDescent="0.15">
      <c r="A707" s="62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</row>
    <row r="708" spans="1:21" ht="13" x14ac:dyDescent="0.15">
      <c r="A708" s="62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</row>
    <row r="709" spans="1:21" ht="13" x14ac:dyDescent="0.15">
      <c r="A709" s="62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</row>
    <row r="710" spans="1:21" ht="13" x14ac:dyDescent="0.15">
      <c r="A710" s="62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</row>
    <row r="711" spans="1:21" ht="13" x14ac:dyDescent="0.15">
      <c r="A711" s="62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</row>
    <row r="712" spans="1:21" ht="13" x14ac:dyDescent="0.15">
      <c r="A712" s="62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</row>
    <row r="713" spans="1:21" ht="13" x14ac:dyDescent="0.15">
      <c r="A713" s="62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</row>
    <row r="714" spans="1:21" ht="13" x14ac:dyDescent="0.15">
      <c r="A714" s="62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</row>
    <row r="715" spans="1:21" ht="13" x14ac:dyDescent="0.15">
      <c r="A715" s="62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</row>
    <row r="716" spans="1:21" ht="13" x14ac:dyDescent="0.15">
      <c r="A716" s="62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</row>
    <row r="717" spans="1:21" ht="13" x14ac:dyDescent="0.15">
      <c r="A717" s="62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</row>
    <row r="718" spans="1:21" ht="13" x14ac:dyDescent="0.15">
      <c r="A718" s="62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</row>
    <row r="719" spans="1:21" ht="13" x14ac:dyDescent="0.15">
      <c r="A719" s="62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</row>
    <row r="720" spans="1:21" ht="13" x14ac:dyDescent="0.15">
      <c r="A720" s="62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</row>
    <row r="721" spans="1:21" ht="13" x14ac:dyDescent="0.15">
      <c r="A721" s="62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</row>
    <row r="722" spans="1:21" ht="13" x14ac:dyDescent="0.15">
      <c r="A722" s="62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</row>
    <row r="723" spans="1:21" ht="13" x14ac:dyDescent="0.15">
      <c r="A723" s="62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</row>
    <row r="724" spans="1:21" ht="13" x14ac:dyDescent="0.15">
      <c r="A724" s="62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</row>
    <row r="725" spans="1:21" ht="13" x14ac:dyDescent="0.15">
      <c r="A725" s="62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</row>
    <row r="726" spans="1:21" ht="13" x14ac:dyDescent="0.15">
      <c r="A726" s="62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</row>
    <row r="727" spans="1:21" ht="13" x14ac:dyDescent="0.15">
      <c r="A727" s="62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</row>
    <row r="728" spans="1:21" ht="13" x14ac:dyDescent="0.15">
      <c r="A728" s="62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</row>
    <row r="729" spans="1:21" ht="13" x14ac:dyDescent="0.15">
      <c r="A729" s="62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</row>
    <row r="730" spans="1:21" ht="13" x14ac:dyDescent="0.15">
      <c r="A730" s="62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</row>
    <row r="731" spans="1:21" ht="13" x14ac:dyDescent="0.15">
      <c r="A731" s="62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</row>
    <row r="732" spans="1:21" ht="13" x14ac:dyDescent="0.15">
      <c r="A732" s="62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</row>
    <row r="733" spans="1:21" ht="13" x14ac:dyDescent="0.15">
      <c r="A733" s="62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</row>
    <row r="734" spans="1:21" ht="13" x14ac:dyDescent="0.15">
      <c r="A734" s="62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</row>
    <row r="735" spans="1:21" ht="13" x14ac:dyDescent="0.15">
      <c r="A735" s="62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</row>
    <row r="736" spans="1:21" ht="13" x14ac:dyDescent="0.15">
      <c r="A736" s="62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</row>
    <row r="737" spans="1:21" ht="13" x14ac:dyDescent="0.15">
      <c r="A737" s="62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</row>
    <row r="738" spans="1:21" ht="13" x14ac:dyDescent="0.15">
      <c r="A738" s="62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</row>
    <row r="739" spans="1:21" ht="13" x14ac:dyDescent="0.15">
      <c r="A739" s="62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</row>
    <row r="740" spans="1:21" ht="13" x14ac:dyDescent="0.15">
      <c r="A740" s="62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</row>
    <row r="741" spans="1:21" ht="13" x14ac:dyDescent="0.15">
      <c r="A741" s="62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</row>
    <row r="742" spans="1:21" ht="13" x14ac:dyDescent="0.15">
      <c r="A742" s="62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</row>
    <row r="743" spans="1:21" ht="13" x14ac:dyDescent="0.15">
      <c r="A743" s="62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</row>
    <row r="744" spans="1:21" ht="13" x14ac:dyDescent="0.15">
      <c r="A744" s="62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</row>
    <row r="745" spans="1:21" ht="13" x14ac:dyDescent="0.15">
      <c r="A745" s="62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</row>
    <row r="746" spans="1:21" ht="13" x14ac:dyDescent="0.15">
      <c r="A746" s="62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</row>
    <row r="747" spans="1:21" ht="13" x14ac:dyDescent="0.15">
      <c r="A747" s="62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</row>
    <row r="748" spans="1:21" ht="13" x14ac:dyDescent="0.15">
      <c r="A748" s="62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</row>
    <row r="749" spans="1:21" ht="13" x14ac:dyDescent="0.15">
      <c r="A749" s="62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</row>
    <row r="750" spans="1:21" ht="13" x14ac:dyDescent="0.15">
      <c r="A750" s="62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</row>
    <row r="751" spans="1:21" ht="13" x14ac:dyDescent="0.15">
      <c r="A751" s="62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</row>
    <row r="752" spans="1:21" ht="13" x14ac:dyDescent="0.15">
      <c r="A752" s="62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</row>
    <row r="753" spans="1:21" ht="13" x14ac:dyDescent="0.15">
      <c r="A753" s="62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</row>
    <row r="754" spans="1:21" ht="13" x14ac:dyDescent="0.15">
      <c r="A754" s="62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</row>
    <row r="755" spans="1:21" ht="13" x14ac:dyDescent="0.15">
      <c r="A755" s="62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</row>
    <row r="756" spans="1:21" ht="13" x14ac:dyDescent="0.15">
      <c r="A756" s="62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</row>
    <row r="757" spans="1:21" ht="13" x14ac:dyDescent="0.15">
      <c r="A757" s="62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</row>
    <row r="758" spans="1:21" ht="13" x14ac:dyDescent="0.15">
      <c r="A758" s="62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</row>
    <row r="759" spans="1:21" ht="13" x14ac:dyDescent="0.15">
      <c r="A759" s="62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</row>
    <row r="760" spans="1:21" ht="13" x14ac:dyDescent="0.15">
      <c r="A760" s="62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</row>
    <row r="761" spans="1:21" ht="13" x14ac:dyDescent="0.15">
      <c r="A761" s="62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</row>
    <row r="762" spans="1:21" ht="13" x14ac:dyDescent="0.15">
      <c r="A762" s="62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</row>
    <row r="763" spans="1:21" ht="13" x14ac:dyDescent="0.15">
      <c r="A763" s="62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</row>
    <row r="764" spans="1:21" ht="13" x14ac:dyDescent="0.15">
      <c r="A764" s="62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</row>
    <row r="765" spans="1:21" ht="13" x14ac:dyDescent="0.15">
      <c r="A765" s="62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</row>
    <row r="766" spans="1:21" ht="13" x14ac:dyDescent="0.15">
      <c r="A766" s="62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</row>
    <row r="767" spans="1:21" ht="13" x14ac:dyDescent="0.15">
      <c r="A767" s="62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</row>
    <row r="768" spans="1:21" ht="13" x14ac:dyDescent="0.15">
      <c r="A768" s="62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</row>
    <row r="769" spans="1:21" ht="13" x14ac:dyDescent="0.15">
      <c r="A769" s="62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</row>
    <row r="770" spans="1:21" ht="13" x14ac:dyDescent="0.15">
      <c r="A770" s="62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</row>
    <row r="771" spans="1:21" ht="13" x14ac:dyDescent="0.15">
      <c r="A771" s="62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</row>
    <row r="772" spans="1:21" ht="13" x14ac:dyDescent="0.15">
      <c r="A772" s="62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</row>
    <row r="773" spans="1:21" ht="13" x14ac:dyDescent="0.15">
      <c r="A773" s="62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</row>
    <row r="774" spans="1:21" ht="13" x14ac:dyDescent="0.15">
      <c r="A774" s="62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</row>
    <row r="775" spans="1:21" ht="13" x14ac:dyDescent="0.15">
      <c r="A775" s="62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</row>
    <row r="776" spans="1:21" ht="13" x14ac:dyDescent="0.15">
      <c r="A776" s="62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</row>
    <row r="777" spans="1:21" ht="13" x14ac:dyDescent="0.15">
      <c r="A777" s="62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</row>
    <row r="778" spans="1:21" ht="13" x14ac:dyDescent="0.15">
      <c r="A778" s="62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</row>
    <row r="779" spans="1:21" ht="13" x14ac:dyDescent="0.15">
      <c r="A779" s="62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</row>
    <row r="780" spans="1:21" ht="13" x14ac:dyDescent="0.15">
      <c r="A780" s="62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</row>
    <row r="781" spans="1:21" ht="13" x14ac:dyDescent="0.15">
      <c r="A781" s="62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</row>
    <row r="782" spans="1:21" ht="13" x14ac:dyDescent="0.15">
      <c r="A782" s="62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</row>
    <row r="783" spans="1:21" ht="13" x14ac:dyDescent="0.15">
      <c r="A783" s="62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</row>
    <row r="784" spans="1:21" ht="13" x14ac:dyDescent="0.15">
      <c r="A784" s="62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</row>
    <row r="785" spans="1:21" ht="13" x14ac:dyDescent="0.15">
      <c r="A785" s="62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</row>
    <row r="786" spans="1:21" ht="13" x14ac:dyDescent="0.15">
      <c r="A786" s="62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</row>
    <row r="787" spans="1:21" ht="13" x14ac:dyDescent="0.15">
      <c r="A787" s="62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</row>
    <row r="788" spans="1:21" ht="13" x14ac:dyDescent="0.15">
      <c r="A788" s="62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</row>
    <row r="789" spans="1:21" ht="13" x14ac:dyDescent="0.15">
      <c r="A789" s="62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</row>
    <row r="790" spans="1:21" ht="13" x14ac:dyDescent="0.15">
      <c r="A790" s="62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</row>
    <row r="791" spans="1:21" ht="13" x14ac:dyDescent="0.15">
      <c r="A791" s="62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</row>
    <row r="792" spans="1:21" ht="13" x14ac:dyDescent="0.15">
      <c r="A792" s="62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</row>
    <row r="793" spans="1:21" ht="13" x14ac:dyDescent="0.15">
      <c r="A793" s="62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</row>
    <row r="794" spans="1:21" ht="13" x14ac:dyDescent="0.15">
      <c r="A794" s="62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</row>
    <row r="795" spans="1:21" ht="13" x14ac:dyDescent="0.15">
      <c r="A795" s="62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</row>
    <row r="796" spans="1:21" ht="13" x14ac:dyDescent="0.15">
      <c r="A796" s="62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</row>
    <row r="797" spans="1:21" ht="13" x14ac:dyDescent="0.15">
      <c r="A797" s="62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</row>
    <row r="798" spans="1:21" ht="13" x14ac:dyDescent="0.15">
      <c r="A798" s="62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</row>
    <row r="799" spans="1:21" ht="13" x14ac:dyDescent="0.15">
      <c r="A799" s="62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</row>
    <row r="800" spans="1:21" ht="13" x14ac:dyDescent="0.15">
      <c r="A800" s="62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</row>
    <row r="801" spans="1:21" ht="13" x14ac:dyDescent="0.15">
      <c r="A801" s="62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</row>
    <row r="802" spans="1:21" ht="13" x14ac:dyDescent="0.15">
      <c r="A802" s="62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</row>
    <row r="803" spans="1:21" ht="13" x14ac:dyDescent="0.15">
      <c r="A803" s="62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</row>
    <row r="804" spans="1:21" ht="13" x14ac:dyDescent="0.15">
      <c r="A804" s="62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</row>
    <row r="805" spans="1:21" ht="13" x14ac:dyDescent="0.15">
      <c r="A805" s="62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</row>
    <row r="806" spans="1:21" ht="13" x14ac:dyDescent="0.15">
      <c r="A806" s="62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</row>
    <row r="807" spans="1:21" ht="13" x14ac:dyDescent="0.15">
      <c r="A807" s="62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</row>
    <row r="808" spans="1:21" ht="13" x14ac:dyDescent="0.15">
      <c r="A808" s="62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</row>
    <row r="809" spans="1:21" ht="13" x14ac:dyDescent="0.15">
      <c r="A809" s="62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</row>
    <row r="810" spans="1:21" ht="13" x14ac:dyDescent="0.15">
      <c r="A810" s="62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</row>
    <row r="811" spans="1:21" ht="13" x14ac:dyDescent="0.15">
      <c r="A811" s="62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</row>
    <row r="812" spans="1:21" ht="13" x14ac:dyDescent="0.15">
      <c r="A812" s="62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</row>
    <row r="813" spans="1:21" ht="13" x14ac:dyDescent="0.15">
      <c r="A813" s="62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</row>
    <row r="814" spans="1:21" ht="13" x14ac:dyDescent="0.15">
      <c r="A814" s="62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</row>
    <row r="815" spans="1:21" ht="13" x14ac:dyDescent="0.15">
      <c r="A815" s="62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</row>
    <row r="816" spans="1:21" ht="13" x14ac:dyDescent="0.15">
      <c r="A816" s="62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</row>
    <row r="817" spans="1:21" ht="13" x14ac:dyDescent="0.15">
      <c r="A817" s="62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</row>
    <row r="818" spans="1:21" ht="13" x14ac:dyDescent="0.15">
      <c r="A818" s="62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</row>
    <row r="819" spans="1:21" ht="13" x14ac:dyDescent="0.15">
      <c r="A819" s="62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</row>
    <row r="820" spans="1:21" ht="13" x14ac:dyDescent="0.15">
      <c r="A820" s="62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</row>
    <row r="821" spans="1:21" ht="13" x14ac:dyDescent="0.15">
      <c r="A821" s="62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</row>
    <row r="822" spans="1:21" ht="13" x14ac:dyDescent="0.15">
      <c r="A822" s="62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</row>
    <row r="823" spans="1:21" ht="13" x14ac:dyDescent="0.15">
      <c r="A823" s="62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</row>
    <row r="824" spans="1:21" ht="13" x14ac:dyDescent="0.15">
      <c r="A824" s="62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</row>
    <row r="825" spans="1:21" ht="13" x14ac:dyDescent="0.15">
      <c r="A825" s="62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</row>
    <row r="826" spans="1:21" ht="13" x14ac:dyDescent="0.15">
      <c r="A826" s="62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</row>
    <row r="827" spans="1:21" ht="13" x14ac:dyDescent="0.15">
      <c r="A827" s="62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</row>
    <row r="828" spans="1:21" ht="13" x14ac:dyDescent="0.15">
      <c r="A828" s="62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</row>
    <row r="829" spans="1:21" ht="13" x14ac:dyDescent="0.15">
      <c r="A829" s="62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</row>
    <row r="830" spans="1:21" ht="13" x14ac:dyDescent="0.15">
      <c r="A830" s="62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</row>
    <row r="831" spans="1:21" ht="13" x14ac:dyDescent="0.15">
      <c r="A831" s="62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</row>
    <row r="832" spans="1:21" ht="13" x14ac:dyDescent="0.15">
      <c r="A832" s="62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</row>
    <row r="833" spans="1:21" ht="13" x14ac:dyDescent="0.15">
      <c r="A833" s="62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</row>
    <row r="834" spans="1:21" ht="13" x14ac:dyDescent="0.15">
      <c r="A834" s="62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</row>
    <row r="835" spans="1:21" ht="13" x14ac:dyDescent="0.15">
      <c r="A835" s="62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</row>
    <row r="836" spans="1:21" ht="13" x14ac:dyDescent="0.15">
      <c r="A836" s="62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</row>
    <row r="837" spans="1:21" ht="13" x14ac:dyDescent="0.15">
      <c r="A837" s="62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</row>
    <row r="838" spans="1:21" ht="13" x14ac:dyDescent="0.15">
      <c r="A838" s="62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</row>
    <row r="839" spans="1:21" ht="13" x14ac:dyDescent="0.15">
      <c r="A839" s="62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</row>
    <row r="840" spans="1:21" ht="13" x14ac:dyDescent="0.15">
      <c r="A840" s="62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</row>
    <row r="841" spans="1:21" ht="13" x14ac:dyDescent="0.15">
      <c r="A841" s="62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</row>
    <row r="842" spans="1:21" ht="13" x14ac:dyDescent="0.15">
      <c r="A842" s="62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</row>
    <row r="843" spans="1:21" ht="13" x14ac:dyDescent="0.15">
      <c r="A843" s="62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</row>
    <row r="844" spans="1:21" ht="13" x14ac:dyDescent="0.15">
      <c r="A844" s="62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</row>
    <row r="845" spans="1:21" ht="13" x14ac:dyDescent="0.15">
      <c r="A845" s="62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</row>
    <row r="846" spans="1:21" ht="13" x14ac:dyDescent="0.15">
      <c r="A846" s="62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</row>
    <row r="847" spans="1:21" ht="13" x14ac:dyDescent="0.15">
      <c r="A847" s="62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</row>
    <row r="848" spans="1:21" ht="13" x14ac:dyDescent="0.15">
      <c r="A848" s="62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</row>
    <row r="849" spans="1:21" ht="13" x14ac:dyDescent="0.15">
      <c r="A849" s="62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</row>
    <row r="850" spans="1:21" ht="13" x14ac:dyDescent="0.15">
      <c r="A850" s="62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</row>
    <row r="851" spans="1:21" ht="13" x14ac:dyDescent="0.15">
      <c r="A851" s="62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</row>
    <row r="852" spans="1:21" ht="13" x14ac:dyDescent="0.15">
      <c r="A852" s="62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</row>
    <row r="853" spans="1:21" ht="13" x14ac:dyDescent="0.15">
      <c r="A853" s="62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</row>
    <row r="854" spans="1:21" ht="13" x14ac:dyDescent="0.15">
      <c r="A854" s="62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</row>
    <row r="855" spans="1:21" ht="13" x14ac:dyDescent="0.15">
      <c r="A855" s="62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</row>
    <row r="856" spans="1:21" ht="13" x14ac:dyDescent="0.15">
      <c r="A856" s="62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</row>
    <row r="857" spans="1:21" ht="13" x14ac:dyDescent="0.15">
      <c r="A857" s="62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</row>
    <row r="858" spans="1:21" ht="13" x14ac:dyDescent="0.15">
      <c r="A858" s="62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</row>
    <row r="859" spans="1:21" ht="13" x14ac:dyDescent="0.15">
      <c r="A859" s="62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</row>
    <row r="860" spans="1:21" ht="13" x14ac:dyDescent="0.15">
      <c r="A860" s="62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</row>
    <row r="861" spans="1:21" ht="13" x14ac:dyDescent="0.15">
      <c r="A861" s="62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</row>
    <row r="862" spans="1:21" ht="13" x14ac:dyDescent="0.15">
      <c r="A862" s="62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</row>
    <row r="863" spans="1:21" ht="13" x14ac:dyDescent="0.15">
      <c r="A863" s="62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</row>
    <row r="864" spans="1:21" ht="13" x14ac:dyDescent="0.15">
      <c r="A864" s="62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</row>
    <row r="865" spans="1:21" ht="13" x14ac:dyDescent="0.15">
      <c r="A865" s="62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</row>
    <row r="866" spans="1:21" ht="13" x14ac:dyDescent="0.15">
      <c r="A866" s="62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</row>
    <row r="867" spans="1:21" ht="13" x14ac:dyDescent="0.15">
      <c r="A867" s="62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</row>
    <row r="868" spans="1:21" ht="13" x14ac:dyDescent="0.15">
      <c r="A868" s="62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</row>
    <row r="869" spans="1:21" ht="13" x14ac:dyDescent="0.15">
      <c r="A869" s="62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</row>
    <row r="870" spans="1:21" ht="13" x14ac:dyDescent="0.15">
      <c r="A870" s="62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</row>
    <row r="871" spans="1:21" ht="13" x14ac:dyDescent="0.15">
      <c r="A871" s="62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</row>
    <row r="872" spans="1:21" ht="13" x14ac:dyDescent="0.15">
      <c r="A872" s="62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</row>
    <row r="873" spans="1:21" ht="13" x14ac:dyDescent="0.15">
      <c r="A873" s="62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</row>
    <row r="874" spans="1:21" ht="13" x14ac:dyDescent="0.15">
      <c r="A874" s="62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</row>
    <row r="875" spans="1:21" ht="13" x14ac:dyDescent="0.15">
      <c r="A875" s="62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</row>
    <row r="876" spans="1:21" ht="13" x14ac:dyDescent="0.15">
      <c r="A876" s="62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</row>
    <row r="877" spans="1:21" ht="13" x14ac:dyDescent="0.15">
      <c r="A877" s="62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</row>
    <row r="878" spans="1:21" ht="13" x14ac:dyDescent="0.15">
      <c r="A878" s="62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</row>
    <row r="879" spans="1:21" ht="13" x14ac:dyDescent="0.15">
      <c r="A879" s="62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</row>
    <row r="880" spans="1:21" ht="13" x14ac:dyDescent="0.15">
      <c r="A880" s="62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</row>
    <row r="881" spans="1:21" ht="13" x14ac:dyDescent="0.15">
      <c r="A881" s="62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</row>
    <row r="882" spans="1:21" ht="13" x14ac:dyDescent="0.15">
      <c r="A882" s="62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</row>
    <row r="883" spans="1:21" ht="13" x14ac:dyDescent="0.15">
      <c r="A883" s="62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</row>
    <row r="884" spans="1:21" ht="13" x14ac:dyDescent="0.15">
      <c r="A884" s="62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</row>
    <row r="885" spans="1:21" ht="13" x14ac:dyDescent="0.15">
      <c r="A885" s="62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</row>
    <row r="886" spans="1:21" ht="13" x14ac:dyDescent="0.15">
      <c r="A886" s="62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</row>
    <row r="887" spans="1:21" ht="13" x14ac:dyDescent="0.15">
      <c r="A887" s="62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</row>
    <row r="888" spans="1:21" ht="13" x14ac:dyDescent="0.15">
      <c r="A888" s="62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</row>
    <row r="889" spans="1:21" ht="13" x14ac:dyDescent="0.15">
      <c r="A889" s="62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</row>
    <row r="890" spans="1:21" ht="13" x14ac:dyDescent="0.15">
      <c r="A890" s="62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</row>
    <row r="891" spans="1:21" ht="13" x14ac:dyDescent="0.15">
      <c r="A891" s="62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</row>
    <row r="892" spans="1:21" ht="13" x14ac:dyDescent="0.15">
      <c r="A892" s="62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</row>
    <row r="893" spans="1:21" ht="13" x14ac:dyDescent="0.15">
      <c r="A893" s="62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</row>
    <row r="894" spans="1:21" ht="13" x14ac:dyDescent="0.15">
      <c r="A894" s="62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</row>
    <row r="895" spans="1:21" ht="13" x14ac:dyDescent="0.15">
      <c r="A895" s="62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</row>
    <row r="896" spans="1:21" ht="13" x14ac:dyDescent="0.15">
      <c r="A896" s="62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</row>
    <row r="897" spans="1:21" ht="13" x14ac:dyDescent="0.15">
      <c r="A897" s="62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</row>
    <row r="898" spans="1:21" ht="13" x14ac:dyDescent="0.15">
      <c r="A898" s="62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</row>
    <row r="899" spans="1:21" ht="13" x14ac:dyDescent="0.15">
      <c r="A899" s="62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</row>
    <row r="900" spans="1:21" ht="13" x14ac:dyDescent="0.15">
      <c r="A900" s="62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</row>
    <row r="901" spans="1:21" ht="13" x14ac:dyDescent="0.15">
      <c r="A901" s="62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</row>
    <row r="902" spans="1:21" ht="13" x14ac:dyDescent="0.15">
      <c r="A902" s="62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</row>
    <row r="903" spans="1:21" ht="13" x14ac:dyDescent="0.15">
      <c r="A903" s="62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</row>
    <row r="904" spans="1:21" ht="13" x14ac:dyDescent="0.15">
      <c r="A904" s="62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</row>
    <row r="905" spans="1:21" ht="13" x14ac:dyDescent="0.15">
      <c r="A905" s="62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</row>
    <row r="906" spans="1:21" ht="13" x14ac:dyDescent="0.15">
      <c r="A906" s="62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</row>
    <row r="907" spans="1:21" ht="13" x14ac:dyDescent="0.15">
      <c r="A907" s="62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</row>
    <row r="908" spans="1:21" ht="13" x14ac:dyDescent="0.15">
      <c r="A908" s="62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</row>
    <row r="909" spans="1:21" ht="13" x14ac:dyDescent="0.15">
      <c r="A909" s="62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</row>
    <row r="910" spans="1:21" ht="13" x14ac:dyDescent="0.15">
      <c r="A910" s="62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</row>
    <row r="911" spans="1:21" ht="13" x14ac:dyDescent="0.15">
      <c r="A911" s="62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</row>
    <row r="912" spans="1:21" ht="13" x14ac:dyDescent="0.15">
      <c r="A912" s="62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</row>
    <row r="913" spans="1:21" ht="13" x14ac:dyDescent="0.15">
      <c r="A913" s="62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</row>
    <row r="914" spans="1:21" ht="13" x14ac:dyDescent="0.15">
      <c r="A914" s="62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</row>
    <row r="915" spans="1:21" ht="13" x14ac:dyDescent="0.15">
      <c r="A915" s="62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</row>
    <row r="916" spans="1:21" ht="13" x14ac:dyDescent="0.15">
      <c r="A916" s="62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</row>
    <row r="917" spans="1:21" ht="13" x14ac:dyDescent="0.15">
      <c r="A917" s="62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</row>
    <row r="918" spans="1:21" ht="13" x14ac:dyDescent="0.15">
      <c r="A918" s="62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</row>
    <row r="919" spans="1:21" ht="13" x14ac:dyDescent="0.15">
      <c r="A919" s="62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</row>
    <row r="920" spans="1:21" ht="13" x14ac:dyDescent="0.15">
      <c r="A920" s="62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</row>
    <row r="921" spans="1:21" ht="13" x14ac:dyDescent="0.15">
      <c r="A921" s="62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</row>
    <row r="922" spans="1:21" ht="13" x14ac:dyDescent="0.15">
      <c r="A922" s="62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</row>
    <row r="923" spans="1:21" ht="13" x14ac:dyDescent="0.15">
      <c r="A923" s="62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</row>
    <row r="924" spans="1:21" ht="13" x14ac:dyDescent="0.15">
      <c r="A924" s="62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</row>
    <row r="925" spans="1:21" ht="13" x14ac:dyDescent="0.15">
      <c r="A925" s="62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</row>
    <row r="926" spans="1:21" ht="13" x14ac:dyDescent="0.15">
      <c r="A926" s="62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</row>
    <row r="927" spans="1:21" ht="13" x14ac:dyDescent="0.15">
      <c r="A927" s="62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</row>
    <row r="928" spans="1:21" ht="13" x14ac:dyDescent="0.15">
      <c r="A928" s="62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</row>
    <row r="929" spans="1:21" ht="13" x14ac:dyDescent="0.15">
      <c r="A929" s="62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</row>
    <row r="930" spans="1:21" ht="13" x14ac:dyDescent="0.15">
      <c r="A930" s="62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</row>
    <row r="931" spans="1:21" ht="13" x14ac:dyDescent="0.15">
      <c r="A931" s="62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</row>
    <row r="932" spans="1:21" ht="13" x14ac:dyDescent="0.15">
      <c r="A932" s="62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</row>
    <row r="933" spans="1:21" ht="13" x14ac:dyDescent="0.15">
      <c r="A933" s="62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</row>
    <row r="934" spans="1:21" ht="13" x14ac:dyDescent="0.15">
      <c r="A934" s="62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</row>
    <row r="935" spans="1:21" ht="13" x14ac:dyDescent="0.15">
      <c r="A935" s="62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</row>
    <row r="936" spans="1:21" ht="13" x14ac:dyDescent="0.15">
      <c r="A936" s="62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</row>
    <row r="937" spans="1:21" ht="13" x14ac:dyDescent="0.15">
      <c r="A937" s="62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</row>
    <row r="938" spans="1:21" ht="13" x14ac:dyDescent="0.15">
      <c r="A938" s="62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</row>
    <row r="939" spans="1:21" ht="13" x14ac:dyDescent="0.15">
      <c r="A939" s="62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</row>
    <row r="940" spans="1:21" ht="13" x14ac:dyDescent="0.15">
      <c r="A940" s="62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</row>
    <row r="941" spans="1:21" ht="13" x14ac:dyDescent="0.15">
      <c r="A941" s="62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</row>
    <row r="942" spans="1:21" ht="13" x14ac:dyDescent="0.15">
      <c r="A942" s="62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</row>
    <row r="943" spans="1:21" ht="13" x14ac:dyDescent="0.15">
      <c r="A943" s="62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</row>
    <row r="944" spans="1:21" ht="13" x14ac:dyDescent="0.15">
      <c r="A944" s="62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</row>
    <row r="945" spans="1:21" ht="13" x14ac:dyDescent="0.15">
      <c r="A945" s="62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</row>
    <row r="946" spans="1:21" ht="13" x14ac:dyDescent="0.15">
      <c r="A946" s="62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</row>
    <row r="947" spans="1:21" ht="13" x14ac:dyDescent="0.15">
      <c r="A947" s="62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</row>
    <row r="948" spans="1:21" ht="13" x14ac:dyDescent="0.15">
      <c r="A948" s="62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</row>
    <row r="949" spans="1:21" ht="13" x14ac:dyDescent="0.15">
      <c r="A949" s="62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</row>
    <row r="950" spans="1:21" ht="13" x14ac:dyDescent="0.15">
      <c r="A950" s="62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</row>
    <row r="951" spans="1:21" ht="13" x14ac:dyDescent="0.15">
      <c r="A951" s="62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</row>
    <row r="952" spans="1:21" ht="13" x14ac:dyDescent="0.15">
      <c r="A952" s="62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</row>
    <row r="953" spans="1:21" ht="13" x14ac:dyDescent="0.15">
      <c r="A953" s="62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</row>
    <row r="954" spans="1:21" ht="13" x14ac:dyDescent="0.15">
      <c r="A954" s="62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</row>
    <row r="955" spans="1:21" ht="13" x14ac:dyDescent="0.15">
      <c r="A955" s="62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</row>
    <row r="956" spans="1:21" ht="13" x14ac:dyDescent="0.15">
      <c r="A956" s="62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</row>
    <row r="957" spans="1:21" ht="13" x14ac:dyDescent="0.15">
      <c r="A957" s="62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</row>
    <row r="958" spans="1:21" ht="13" x14ac:dyDescent="0.15">
      <c r="A958" s="62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</row>
    <row r="959" spans="1:21" ht="13" x14ac:dyDescent="0.15">
      <c r="A959" s="62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</row>
    <row r="960" spans="1:21" ht="13" x14ac:dyDescent="0.15">
      <c r="A960" s="62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</row>
    <row r="961" spans="1:21" ht="13" x14ac:dyDescent="0.15">
      <c r="A961" s="62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</row>
    <row r="962" spans="1:21" ht="13" x14ac:dyDescent="0.15">
      <c r="A962" s="62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</row>
    <row r="963" spans="1:21" ht="13" x14ac:dyDescent="0.15">
      <c r="A963" s="62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</row>
    <row r="964" spans="1:21" ht="13" x14ac:dyDescent="0.15">
      <c r="A964" s="62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</row>
    <row r="965" spans="1:21" ht="13" x14ac:dyDescent="0.15">
      <c r="A965" s="62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</row>
    <row r="966" spans="1:21" ht="13" x14ac:dyDescent="0.15">
      <c r="A966" s="62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</row>
    <row r="967" spans="1:21" ht="13" x14ac:dyDescent="0.15">
      <c r="A967" s="62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</row>
    <row r="968" spans="1:21" ht="13" x14ac:dyDescent="0.15">
      <c r="A968" s="62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</row>
    <row r="969" spans="1:21" ht="13" x14ac:dyDescent="0.15">
      <c r="A969" s="62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</row>
    <row r="970" spans="1:21" ht="13" x14ac:dyDescent="0.15">
      <c r="A970" s="62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</row>
    <row r="971" spans="1:21" ht="13" x14ac:dyDescent="0.15">
      <c r="A971" s="62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</row>
    <row r="972" spans="1:21" ht="13" x14ac:dyDescent="0.15">
      <c r="A972" s="62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</row>
    <row r="973" spans="1:21" ht="13" x14ac:dyDescent="0.15">
      <c r="A973" s="62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</row>
    <row r="974" spans="1:21" ht="13" x14ac:dyDescent="0.15">
      <c r="A974" s="62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</row>
    <row r="975" spans="1:21" ht="13" x14ac:dyDescent="0.15">
      <c r="A975" s="62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</row>
    <row r="976" spans="1:21" ht="13" x14ac:dyDescent="0.15">
      <c r="A976" s="62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</row>
    <row r="977" spans="1:21" ht="13" x14ac:dyDescent="0.15">
      <c r="A977" s="62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</row>
    <row r="978" spans="1:21" ht="13" x14ac:dyDescent="0.15">
      <c r="A978" s="62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</row>
    <row r="979" spans="1:21" ht="13" x14ac:dyDescent="0.15">
      <c r="A979" s="62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</row>
    <row r="980" spans="1:21" ht="13" x14ac:dyDescent="0.15">
      <c r="A980" s="62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</row>
    <row r="981" spans="1:21" ht="13" x14ac:dyDescent="0.15">
      <c r="A981" s="62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</row>
    <row r="982" spans="1:21" ht="13" x14ac:dyDescent="0.15">
      <c r="A982" s="62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</row>
    <row r="983" spans="1:21" ht="13" x14ac:dyDescent="0.15">
      <c r="A983" s="62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</row>
    <row r="984" spans="1:21" ht="13" x14ac:dyDescent="0.15">
      <c r="A984" s="62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</row>
    <row r="985" spans="1:21" ht="13" x14ac:dyDescent="0.15">
      <c r="A985" s="62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</row>
    <row r="986" spans="1:21" ht="13" x14ac:dyDescent="0.15">
      <c r="A986" s="62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</row>
    <row r="987" spans="1:21" ht="13" x14ac:dyDescent="0.15">
      <c r="A987" s="62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</row>
    <row r="988" spans="1:21" ht="13" x14ac:dyDescent="0.15">
      <c r="A988" s="62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</row>
    <row r="989" spans="1:21" ht="13" x14ac:dyDescent="0.15">
      <c r="A989" s="62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</row>
    <row r="990" spans="1:21" ht="13" x14ac:dyDescent="0.15">
      <c r="A990" s="62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</row>
    <row r="991" spans="1:21" ht="13" x14ac:dyDescent="0.15">
      <c r="A991" s="62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</row>
    <row r="992" spans="1:21" ht="13" x14ac:dyDescent="0.15">
      <c r="A992" s="62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</row>
    <row r="993" spans="1:21" ht="13" x14ac:dyDescent="0.15">
      <c r="A993" s="62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</row>
    <row r="994" spans="1:21" ht="13" x14ac:dyDescent="0.15">
      <c r="A994" s="62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</row>
    <row r="995" spans="1:21" ht="13" x14ac:dyDescent="0.15">
      <c r="A995" s="62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</row>
    <row r="996" spans="1:21" ht="13" x14ac:dyDescent="0.15">
      <c r="A996" s="62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</row>
    <row r="997" spans="1:21" ht="13" x14ac:dyDescent="0.15">
      <c r="A997" s="62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</row>
    <row r="998" spans="1:21" ht="13" x14ac:dyDescent="0.15">
      <c r="A998" s="62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</row>
    <row r="999" spans="1:21" ht="13" x14ac:dyDescent="0.15">
      <c r="A999" s="62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</row>
    <row r="1000" spans="1:21" ht="13" x14ac:dyDescent="0.15">
      <c r="A1000" s="62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</row>
  </sheetData>
  <mergeCells count="1">
    <mergeCell ref="F1:U1"/>
  </mergeCells>
  <conditionalFormatting sqref="D3:E3">
    <cfRule type="containsText" dxfId="1" priority="1" operator="containsText" text="hosteller">
      <formula>NOT(ISERROR(SEARCH(("hosteller"),(D3))))</formula>
    </cfRule>
  </conditionalFormatting>
  <printOptions horizontalCentered="1" gridLines="1"/>
  <pageMargins left="0.7" right="0.7" top="0.75" bottom="0.75" header="0" footer="0"/>
  <pageSetup paperSize="9" scale="130" pageOrder="overThenDown" orientation="landscape" cellComments="atEnd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F1000"/>
  <sheetViews>
    <sheetView workbookViewId="0"/>
  </sheetViews>
  <sheetFormatPr baseColWidth="10" defaultColWidth="12.6640625" defaultRowHeight="15.75" customHeight="1" x14ac:dyDescent="0.15"/>
  <cols>
    <col min="1" max="1" width="14.33203125" customWidth="1"/>
    <col min="2" max="2" width="18.5" customWidth="1"/>
    <col min="3" max="3" width="17" customWidth="1"/>
    <col min="4" max="4" width="10.1640625" customWidth="1"/>
    <col min="5" max="5" width="9.83203125" customWidth="1"/>
    <col min="6" max="6" width="7.5" customWidth="1"/>
    <col min="7" max="7" width="5.6640625" customWidth="1"/>
    <col min="8" max="8" width="6.6640625" customWidth="1"/>
    <col min="9" max="11" width="5.5" customWidth="1"/>
    <col min="12" max="12" width="5.83203125" customWidth="1"/>
    <col min="13" max="13" width="3.1640625" customWidth="1"/>
    <col min="14" max="14" width="7.5" customWidth="1"/>
    <col min="15" max="15" width="6" customWidth="1"/>
    <col min="16" max="16" width="6.5" customWidth="1"/>
    <col min="17" max="17" width="4.6640625" customWidth="1"/>
    <col min="18" max="18" width="6.1640625" customWidth="1"/>
    <col min="19" max="19" width="4.83203125" customWidth="1"/>
    <col min="20" max="20" width="5.33203125" customWidth="1"/>
  </cols>
  <sheetData>
    <row r="1" spans="1:32" ht="15.75" customHeight="1" x14ac:dyDescent="0.15">
      <c r="A1" s="52" t="s">
        <v>548</v>
      </c>
      <c r="B1" s="52" t="s">
        <v>15</v>
      </c>
      <c r="C1" s="52" t="s">
        <v>22</v>
      </c>
      <c r="D1" s="63"/>
      <c r="E1" s="63" t="s">
        <v>567</v>
      </c>
      <c r="F1" s="100" t="s">
        <v>550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32" ht="15.75" customHeight="1" x14ac:dyDescent="0.15">
      <c r="A2" s="54">
        <f>COUNT(A4:A364)</f>
        <v>11</v>
      </c>
      <c r="B2" s="2">
        <f t="shared" ref="B2:C2" si="0">COUNTIF($E$4:$E$190,B1)</f>
        <v>7</v>
      </c>
      <c r="C2" s="2">
        <f t="shared" si="0"/>
        <v>4</v>
      </c>
      <c r="D2" s="64"/>
      <c r="E2" s="64">
        <f>SUM(F2:U2)</f>
        <v>350900</v>
      </c>
      <c r="F2" s="55">
        <f t="shared" ref="F2:H2" si="1">SUM(F$4:F$1001)</f>
        <v>31400</v>
      </c>
      <c r="G2" s="55">
        <f t="shared" si="1"/>
        <v>37200</v>
      </c>
      <c r="H2" s="55">
        <f t="shared" si="1"/>
        <v>32200</v>
      </c>
      <c r="I2" s="55">
        <f>SUM(I4:I19)</f>
        <v>1500</v>
      </c>
      <c r="J2" s="55">
        <f t="shared" ref="J2:U2" si="2">SUM(J$4:J$1001)</f>
        <v>33300</v>
      </c>
      <c r="K2" s="55">
        <f t="shared" si="2"/>
        <v>32200</v>
      </c>
      <c r="L2" s="55">
        <f t="shared" si="2"/>
        <v>32200</v>
      </c>
      <c r="M2" s="55">
        <f t="shared" si="2"/>
        <v>900</v>
      </c>
      <c r="N2" s="55">
        <f t="shared" si="2"/>
        <v>27200</v>
      </c>
      <c r="O2" s="55">
        <f t="shared" si="2"/>
        <v>27200</v>
      </c>
      <c r="P2" s="55">
        <f t="shared" si="2"/>
        <v>27200</v>
      </c>
      <c r="Q2" s="55">
        <f t="shared" si="2"/>
        <v>900</v>
      </c>
      <c r="R2" s="55">
        <f t="shared" si="2"/>
        <v>27200</v>
      </c>
      <c r="S2" s="55">
        <f t="shared" si="2"/>
        <v>22200</v>
      </c>
      <c r="T2" s="55">
        <f t="shared" si="2"/>
        <v>5900</v>
      </c>
      <c r="U2" s="55">
        <f t="shared" si="2"/>
        <v>12200</v>
      </c>
    </row>
    <row r="3" spans="1:32" ht="15.75" customHeight="1" x14ac:dyDescent="0.15">
      <c r="A3" s="56" t="s">
        <v>551</v>
      </c>
      <c r="B3" s="56" t="s">
        <v>3</v>
      </c>
      <c r="C3" s="56" t="s">
        <v>552</v>
      </c>
      <c r="D3" s="57" t="s">
        <v>582</v>
      </c>
      <c r="E3" s="56" t="s">
        <v>2</v>
      </c>
      <c r="F3" s="56" t="s">
        <v>557</v>
      </c>
      <c r="G3" s="56" t="s">
        <v>558</v>
      </c>
      <c r="H3" s="56" t="s">
        <v>559</v>
      </c>
      <c r="I3" s="57" t="s">
        <v>569</v>
      </c>
      <c r="J3" s="56" t="s">
        <v>560</v>
      </c>
      <c r="K3" s="56" t="s">
        <v>561</v>
      </c>
      <c r="L3" s="56" t="s">
        <v>562</v>
      </c>
      <c r="M3" s="57" t="s">
        <v>570</v>
      </c>
      <c r="N3" s="56" t="s">
        <v>563</v>
      </c>
      <c r="O3" s="56" t="s">
        <v>564</v>
      </c>
      <c r="P3" s="56" t="s">
        <v>565</v>
      </c>
      <c r="Q3" s="57" t="s">
        <v>570</v>
      </c>
      <c r="R3" s="56" t="s">
        <v>554</v>
      </c>
      <c r="S3" s="56" t="s">
        <v>555</v>
      </c>
      <c r="T3" s="57" t="s">
        <v>570</v>
      </c>
      <c r="U3" s="56" t="s">
        <v>556</v>
      </c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</row>
    <row r="4" spans="1:32" ht="15.75" customHeight="1" x14ac:dyDescent="0.15">
      <c r="A4" s="58">
        <v>66</v>
      </c>
      <c r="B4" s="59" t="str">
        <f>IFERROR(VLOOKUP($A4,Admission!$1:$998,4,0),"")</f>
        <v>YASIR AHMAD</v>
      </c>
      <c r="C4" s="59" t="str">
        <f>IFERROR(VLOOKUP($A4,Admission!$1:$998,5,0),"")</f>
        <v>YUNUS SEKH</v>
      </c>
      <c r="D4" s="59">
        <f>IFERROR(VLOOKUP($A4,Admission!$1:$998,10,0),"")</f>
        <v>9006901468</v>
      </c>
      <c r="E4" s="59" t="str">
        <f>IFERROR(VLOOKUP($A4,Admission!$1:$998,3,0),"")</f>
        <v>Hosteller</v>
      </c>
      <c r="F4" s="25">
        <v>4200</v>
      </c>
      <c r="G4" s="25">
        <v>5000</v>
      </c>
      <c r="H4" s="25">
        <v>5000</v>
      </c>
      <c r="I4" s="25"/>
      <c r="J4" s="25">
        <v>5000</v>
      </c>
      <c r="K4" s="25">
        <v>5000</v>
      </c>
      <c r="L4" s="25">
        <v>5000</v>
      </c>
      <c r="M4" s="25"/>
      <c r="N4" s="25" t="s">
        <v>313</v>
      </c>
      <c r="O4" s="25" t="s">
        <v>313</v>
      </c>
      <c r="P4" s="25" t="s">
        <v>313</v>
      </c>
      <c r="Q4" s="25" t="s">
        <v>313</v>
      </c>
      <c r="R4" s="25" t="s">
        <v>313</v>
      </c>
      <c r="S4" s="25" t="s">
        <v>313</v>
      </c>
      <c r="T4" s="25" t="s">
        <v>313</v>
      </c>
      <c r="U4" s="25" t="s">
        <v>313</v>
      </c>
    </row>
    <row r="5" spans="1:32" ht="15.75" customHeight="1" x14ac:dyDescent="0.15">
      <c r="A5" s="58">
        <v>92</v>
      </c>
      <c r="B5" s="59" t="str">
        <f>IFERROR(VLOOKUP($A5,Admission!$1:$998,4,0),"")</f>
        <v>SOHEL SEKH</v>
      </c>
      <c r="C5" s="59" t="str">
        <f>IFERROR(VLOOKUP($A5,Admission!$1:$998,5,0),"")</f>
        <v>NAUSAD SEKH</v>
      </c>
      <c r="D5" s="59">
        <f>IFERROR(VLOOKUP($A5,Admission!$1:$998,10,0),"")</f>
        <v>0</v>
      </c>
      <c r="E5" s="59" t="str">
        <f>IFERROR(VLOOKUP($A5,Admission!$1:$998,3,0),"")</f>
        <v>Hosteller</v>
      </c>
      <c r="F5" s="25">
        <v>5000</v>
      </c>
      <c r="G5" s="25">
        <v>5000</v>
      </c>
      <c r="H5" s="25">
        <v>5000</v>
      </c>
      <c r="I5" s="25">
        <v>300</v>
      </c>
      <c r="J5" s="25">
        <v>5000</v>
      </c>
      <c r="K5" s="25">
        <v>5000</v>
      </c>
      <c r="L5" s="25">
        <v>5000</v>
      </c>
      <c r="M5" s="25"/>
      <c r="N5" s="25">
        <v>5000</v>
      </c>
      <c r="O5" s="25">
        <v>5000</v>
      </c>
      <c r="P5" s="25">
        <v>5000</v>
      </c>
      <c r="Q5" s="25"/>
      <c r="R5" s="25">
        <v>5000</v>
      </c>
      <c r="S5" s="25">
        <v>5000</v>
      </c>
      <c r="T5" s="25">
        <v>5000</v>
      </c>
      <c r="U5" s="25">
        <v>5000</v>
      </c>
    </row>
    <row r="6" spans="1:32" ht="15.75" customHeight="1" x14ac:dyDescent="0.15">
      <c r="A6" s="58">
        <v>98</v>
      </c>
      <c r="B6" s="59" t="str">
        <f>IFERROR(VLOOKUP($A6,Admission!$1:$998,4,0),"")</f>
        <v>FAISHAL ALAM</v>
      </c>
      <c r="C6" s="59" t="str">
        <f>IFERROR(VLOOKUP($A6,Admission!$1:$998,5,0),"")</f>
        <v>MD MEHBOOB ALAM</v>
      </c>
      <c r="D6" s="59">
        <f>IFERROR(VLOOKUP($A6,Admission!$1:$998,10,0),"")</f>
        <v>7766004567</v>
      </c>
      <c r="E6" s="59" t="str">
        <f>IFERROR(VLOOKUP($A6,Admission!$1:$998,3,0),"")</f>
        <v>Hosteller</v>
      </c>
      <c r="F6" s="25">
        <v>0</v>
      </c>
      <c r="G6" s="25">
        <v>5000</v>
      </c>
      <c r="H6" s="25">
        <v>5000</v>
      </c>
      <c r="I6" s="25">
        <v>300</v>
      </c>
      <c r="J6" s="25">
        <v>5000</v>
      </c>
      <c r="K6" s="25">
        <v>5000</v>
      </c>
      <c r="L6" s="25">
        <v>5000</v>
      </c>
      <c r="M6" s="25">
        <v>300</v>
      </c>
      <c r="N6" s="25">
        <v>5000</v>
      </c>
      <c r="O6" s="25">
        <v>5000</v>
      </c>
      <c r="P6" s="25">
        <v>5000</v>
      </c>
      <c r="Q6" s="25">
        <v>300</v>
      </c>
      <c r="R6" s="25">
        <v>5000</v>
      </c>
      <c r="S6" s="25"/>
      <c r="T6" s="25">
        <v>300</v>
      </c>
      <c r="U6" s="25"/>
    </row>
    <row r="7" spans="1:32" ht="15.75" customHeight="1" x14ac:dyDescent="0.15">
      <c r="A7" s="58">
        <v>124</v>
      </c>
      <c r="B7" s="59" t="str">
        <f>IFERROR(VLOOKUP($A7,Admission!$1:$998,4,0),"")</f>
        <v>ABDUL BASIT ANSARI</v>
      </c>
      <c r="C7" s="59" t="str">
        <f>IFERROR(VLOOKUP($A7,Admission!$1:$998,5,0),"")</f>
        <v>ABDUL KARIM ANSARI</v>
      </c>
      <c r="D7" s="59">
        <f>IFERROR(VLOOKUP($A7,Admission!$1:$998,10,0),"")</f>
        <v>7292811543</v>
      </c>
      <c r="E7" s="59" t="str">
        <f>IFERROR(VLOOKUP($A7,Admission!$1:$998,3,0),"")</f>
        <v>Hosteller</v>
      </c>
      <c r="F7" s="25">
        <v>5000</v>
      </c>
      <c r="G7" s="25">
        <v>5000</v>
      </c>
      <c r="H7" s="25">
        <v>5000</v>
      </c>
      <c r="I7" s="25">
        <v>300</v>
      </c>
      <c r="J7" s="25">
        <v>5000</v>
      </c>
      <c r="K7" s="25">
        <v>5000</v>
      </c>
      <c r="L7" s="25">
        <v>5000</v>
      </c>
      <c r="M7" s="25">
        <v>300</v>
      </c>
      <c r="N7" s="25">
        <v>5000</v>
      </c>
      <c r="O7" s="25">
        <v>5000</v>
      </c>
      <c r="P7" s="25">
        <v>5000</v>
      </c>
      <c r="Q7" s="25">
        <v>300</v>
      </c>
      <c r="R7" s="25">
        <v>5000</v>
      </c>
      <c r="S7" s="25">
        <v>5000</v>
      </c>
      <c r="T7" s="25">
        <v>300</v>
      </c>
      <c r="U7" s="25">
        <v>5000</v>
      </c>
    </row>
    <row r="8" spans="1:32" ht="15.75" customHeight="1" x14ac:dyDescent="0.15">
      <c r="A8" s="58">
        <v>129</v>
      </c>
      <c r="B8" s="59" t="str">
        <f>IFERROR(VLOOKUP($A8,Admission!$1:$998,4,0),"")</f>
        <v>FARHAN AKTAR</v>
      </c>
      <c r="C8" s="59" t="str">
        <f>IFERROR(VLOOKUP($A8,Admission!$1:$998,5,0),"")</f>
        <v>SAFIK ALAM</v>
      </c>
      <c r="D8" s="59">
        <f>IFERROR(VLOOKUP($A8,Admission!$1:$998,10,0),"")</f>
        <v>6203234946</v>
      </c>
      <c r="E8" s="59" t="str">
        <f>IFERROR(VLOOKUP($A8,Admission!$1:$998,3,0),"")</f>
        <v>Hosteller</v>
      </c>
      <c r="F8" s="25">
        <v>5000</v>
      </c>
      <c r="G8" s="25">
        <v>5000</v>
      </c>
      <c r="H8" s="25" t="s">
        <v>313</v>
      </c>
      <c r="I8" s="25" t="s">
        <v>313</v>
      </c>
      <c r="J8" s="25" t="s">
        <v>313</v>
      </c>
      <c r="K8" s="25" t="s">
        <v>313</v>
      </c>
      <c r="L8" s="25" t="s">
        <v>313</v>
      </c>
      <c r="M8" s="25" t="s">
        <v>313</v>
      </c>
      <c r="N8" s="25" t="s">
        <v>313</v>
      </c>
      <c r="O8" s="25" t="s">
        <v>313</v>
      </c>
      <c r="P8" s="25" t="s">
        <v>313</v>
      </c>
      <c r="Q8" s="25" t="s">
        <v>313</v>
      </c>
      <c r="R8" s="25" t="s">
        <v>313</v>
      </c>
      <c r="S8" s="25" t="s">
        <v>313</v>
      </c>
      <c r="T8" s="25" t="s">
        <v>313</v>
      </c>
      <c r="U8" s="25" t="s">
        <v>313</v>
      </c>
    </row>
    <row r="9" spans="1:32" ht="15.75" customHeight="1" x14ac:dyDescent="0.15">
      <c r="A9" s="58">
        <v>131</v>
      </c>
      <c r="B9" s="59" t="str">
        <f>IFERROR(VLOOKUP($A9,Admission!$1:$998,4,0),"")</f>
        <v>MD AFJAL</v>
      </c>
      <c r="C9" s="59" t="str">
        <f>IFERROR(VLOOKUP($A9,Admission!$1:$998,5,0),"")</f>
        <v>MD AKRAM ANSARI</v>
      </c>
      <c r="D9" s="59">
        <f>IFERROR(VLOOKUP($A9,Admission!$1:$998,10,0),"")</f>
        <v>9955399749</v>
      </c>
      <c r="E9" s="59" t="str">
        <f>IFERROR(VLOOKUP($A9,Admission!$1:$998,3,0),"")</f>
        <v>Hosteller</v>
      </c>
      <c r="F9" s="25">
        <v>5000</v>
      </c>
      <c r="G9" s="25">
        <v>5000</v>
      </c>
      <c r="H9" s="25">
        <v>5000</v>
      </c>
      <c r="I9" s="25"/>
      <c r="J9" s="25">
        <v>5000</v>
      </c>
      <c r="K9" s="25">
        <v>5000</v>
      </c>
      <c r="L9" s="25">
        <v>5000</v>
      </c>
      <c r="M9" s="25"/>
      <c r="N9" s="25">
        <v>5000</v>
      </c>
      <c r="O9" s="25">
        <v>5000</v>
      </c>
      <c r="P9" s="25">
        <v>5000</v>
      </c>
      <c r="Q9" s="25"/>
      <c r="R9" s="25">
        <v>5000</v>
      </c>
      <c r="S9" s="25">
        <v>5000</v>
      </c>
      <c r="T9" s="25" t="s">
        <v>313</v>
      </c>
      <c r="U9" s="25" t="s">
        <v>313</v>
      </c>
    </row>
    <row r="10" spans="1:32" ht="15.75" customHeight="1" x14ac:dyDescent="0.15">
      <c r="A10" s="58">
        <v>135</v>
      </c>
      <c r="B10" s="59" t="str">
        <f>IFERROR(VLOOKUP($A10,Admission!$1:$998,4,0),"")</f>
        <v>MD.SHOEB ANSARI</v>
      </c>
      <c r="C10" s="59" t="str">
        <f>IFERROR(VLOOKUP($A10,Admission!$1:$998,5,0),"")</f>
        <v>MD MOINUL HOQUE</v>
      </c>
      <c r="D10" s="59">
        <f>IFERROR(VLOOKUP($A10,Admission!$1:$998,10,0),"")</f>
        <v>8252430160</v>
      </c>
      <c r="E10" s="59" t="str">
        <f>IFERROR(VLOOKUP($A10,Admission!$1:$998,3,0),"")</f>
        <v>Hosteller</v>
      </c>
      <c r="F10" s="25">
        <v>5000</v>
      </c>
      <c r="G10" s="25">
        <v>5000</v>
      </c>
      <c r="H10" s="25">
        <v>5000</v>
      </c>
      <c r="I10" s="25"/>
      <c r="J10" s="25">
        <v>5000</v>
      </c>
      <c r="K10" s="25">
        <v>5000</v>
      </c>
      <c r="L10" s="25">
        <v>5000</v>
      </c>
      <c r="M10" s="25"/>
      <c r="N10" s="25">
        <v>5000</v>
      </c>
      <c r="O10" s="25">
        <v>5000</v>
      </c>
      <c r="P10" s="25">
        <v>5000</v>
      </c>
      <c r="Q10" s="25"/>
      <c r="R10" s="25">
        <v>5000</v>
      </c>
      <c r="S10" s="25">
        <v>5000</v>
      </c>
      <c r="T10" s="25" t="s">
        <v>313</v>
      </c>
      <c r="U10" s="25" t="s">
        <v>313</v>
      </c>
    </row>
    <row r="11" spans="1:32" ht="15.75" customHeight="1" x14ac:dyDescent="0.15">
      <c r="A11" s="58">
        <v>160</v>
      </c>
      <c r="B11" s="59" t="str">
        <f>IFERROR(VLOOKUP($A11,Admission!$1:$998,4,0),"")</f>
        <v>EZMA JANNAT</v>
      </c>
      <c r="C11" s="59" t="str">
        <f>IFERROR(VLOOKUP($A11,Admission!$1:$998,5,0),"")</f>
        <v>MD REJAUL HAQUE</v>
      </c>
      <c r="D11" s="59">
        <f>IFERROR(VLOOKUP($A11,Admission!$1:$998,10,0),"")</f>
        <v>6205766744</v>
      </c>
      <c r="E11" s="59" t="str">
        <f>IFERROR(VLOOKUP($A11,Admission!$1:$998,3,0),"")</f>
        <v>Day Scholar</v>
      </c>
      <c r="F11" s="25">
        <v>1100</v>
      </c>
      <c r="G11" s="25">
        <v>1100</v>
      </c>
      <c r="H11" s="25">
        <v>1100</v>
      </c>
      <c r="I11" s="25">
        <v>300</v>
      </c>
      <c r="J11" s="25">
        <v>1100</v>
      </c>
      <c r="K11" s="25">
        <v>1100</v>
      </c>
      <c r="L11" s="25">
        <v>1100</v>
      </c>
      <c r="M11" s="25"/>
      <c r="N11" s="25">
        <v>1100</v>
      </c>
      <c r="O11" s="25">
        <v>1100</v>
      </c>
      <c r="P11" s="25">
        <v>1100</v>
      </c>
      <c r="Q11" s="25"/>
      <c r="R11" s="25">
        <v>1100</v>
      </c>
      <c r="S11" s="25">
        <v>1100</v>
      </c>
      <c r="T11" s="25"/>
      <c r="U11" s="25">
        <v>1100</v>
      </c>
    </row>
    <row r="12" spans="1:32" ht="15.75" customHeight="1" x14ac:dyDescent="0.15">
      <c r="A12" s="58">
        <v>161</v>
      </c>
      <c r="B12" s="59" t="str">
        <f>IFERROR(VLOOKUP($A12,Admission!$1:$998,4,0),"")</f>
        <v>ASIYA PARVEEN</v>
      </c>
      <c r="C12" s="59" t="str">
        <f>IFERROR(VLOOKUP($A12,Admission!$1:$998,5,0),"")</f>
        <v>MOJIBUR RAHMAN</v>
      </c>
      <c r="D12" s="59">
        <v>9631521624</v>
      </c>
      <c r="E12" s="59" t="str">
        <f>IFERROR(VLOOKUP($A12,Admission!$1:$998,3,0),"")</f>
        <v>Day Scholar</v>
      </c>
      <c r="F12" s="25">
        <v>1100</v>
      </c>
      <c r="G12" s="25">
        <v>1100</v>
      </c>
      <c r="H12" s="25"/>
      <c r="I12" s="25"/>
      <c r="J12" s="25"/>
      <c r="K12" s="25"/>
      <c r="L12" s="25"/>
      <c r="M12" s="25"/>
      <c r="N12" s="25" t="s">
        <v>313</v>
      </c>
      <c r="O12" s="25" t="s">
        <v>313</v>
      </c>
      <c r="P12" s="25" t="s">
        <v>313</v>
      </c>
      <c r="Q12" s="25" t="s">
        <v>313</v>
      </c>
      <c r="R12" s="25" t="s">
        <v>313</v>
      </c>
      <c r="S12" s="25" t="s">
        <v>313</v>
      </c>
      <c r="T12" s="25" t="s">
        <v>313</v>
      </c>
      <c r="U12" s="25" t="s">
        <v>313</v>
      </c>
    </row>
    <row r="13" spans="1:32" ht="15.75" customHeight="1" x14ac:dyDescent="0.15">
      <c r="A13" s="58">
        <v>169</v>
      </c>
      <c r="B13" s="59" t="str">
        <f>IFERROR(VLOOKUP($A13,Admission!$1:$998,4,0),"")</f>
        <v>SADIYA KHATUN</v>
      </c>
      <c r="C13" s="59" t="str">
        <f>IFERROR(VLOOKUP($A13,Admission!$1:$998,5,0),"")</f>
        <v>FARJAN ALI</v>
      </c>
      <c r="D13" s="59"/>
      <c r="E13" s="59" t="str">
        <f>IFERROR(VLOOKUP($A13,Admission!$1:$998,3,0),"")</f>
        <v>Day Scholar</v>
      </c>
      <c r="F13" s="25">
        <v>0</v>
      </c>
      <c r="G13" s="25">
        <v>0</v>
      </c>
      <c r="H13" s="25">
        <v>1100</v>
      </c>
      <c r="I13" s="25">
        <v>300</v>
      </c>
      <c r="J13" s="25">
        <v>1100</v>
      </c>
      <c r="K13" s="25">
        <v>1100</v>
      </c>
      <c r="L13" s="25">
        <v>1100</v>
      </c>
      <c r="M13" s="25">
        <v>300</v>
      </c>
      <c r="N13" s="25">
        <v>1100</v>
      </c>
      <c r="O13" s="25">
        <v>1100</v>
      </c>
      <c r="P13" s="23">
        <v>1100</v>
      </c>
      <c r="Q13" s="25">
        <v>300</v>
      </c>
      <c r="R13" s="25">
        <v>1100</v>
      </c>
      <c r="S13" s="25">
        <v>1100</v>
      </c>
      <c r="T13" s="25">
        <v>300</v>
      </c>
      <c r="U13" s="25">
        <v>1100</v>
      </c>
    </row>
    <row r="14" spans="1:32" ht="15.75" customHeight="1" x14ac:dyDescent="0.15">
      <c r="A14" s="58">
        <v>180</v>
      </c>
      <c r="B14" s="59" t="str">
        <f>IFERROR(VLOOKUP($A14,Admission!$1:$998,4,0),"")</f>
        <v>AHLIYA KHATUN</v>
      </c>
      <c r="C14" s="59" t="str">
        <f>IFERROR(VLOOKUP($A14,Admission!$1:$998,5,0),"")</f>
        <v xml:space="preserve">ZAKIR HUSSAIN </v>
      </c>
      <c r="D14" s="59"/>
      <c r="E14" s="59" t="str">
        <f>IFERROR(VLOOKUP($A14,Admission!$1:$998,3,0),"")</f>
        <v>Day Scholar</v>
      </c>
      <c r="F14" s="25">
        <v>0</v>
      </c>
      <c r="G14" s="25">
        <v>0</v>
      </c>
      <c r="H14" s="25">
        <v>0</v>
      </c>
      <c r="I14" s="25"/>
      <c r="J14" s="25">
        <v>1100</v>
      </c>
      <c r="K14" s="25"/>
      <c r="L14" s="25"/>
      <c r="M14" s="25"/>
      <c r="N14" s="25" t="s">
        <v>313</v>
      </c>
      <c r="O14" s="25" t="s">
        <v>313</v>
      </c>
      <c r="P14" s="25" t="s">
        <v>313</v>
      </c>
      <c r="Q14" s="25" t="s">
        <v>313</v>
      </c>
      <c r="R14" s="25" t="s">
        <v>313</v>
      </c>
      <c r="S14" s="25" t="s">
        <v>313</v>
      </c>
      <c r="T14" s="25" t="s">
        <v>313</v>
      </c>
      <c r="U14" s="25" t="s">
        <v>313</v>
      </c>
    </row>
    <row r="15" spans="1:32" ht="15.75" customHeight="1" x14ac:dyDescent="0.15">
      <c r="A15" s="58"/>
      <c r="B15" s="59" t="str">
        <f>IFERROR(VLOOKUP($A15,Admission!$1:$998,4,0),"")</f>
        <v/>
      </c>
      <c r="C15" s="59" t="str">
        <f>IFERROR(VLOOKUP($A15,Admission!$1:$998,5,0),"")</f>
        <v/>
      </c>
      <c r="D15" s="59"/>
      <c r="E15" s="59" t="str">
        <f>IFERROR(VLOOKUP($A15,Admission!$1:$998,3,0),"")</f>
        <v/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>
        <v>0</v>
      </c>
      <c r="Q15" s="25"/>
      <c r="R15" s="25"/>
      <c r="S15" s="25"/>
      <c r="T15" s="25"/>
      <c r="U15" s="25"/>
    </row>
    <row r="16" spans="1:32" ht="15.75" customHeight="1" x14ac:dyDescent="0.15">
      <c r="A16" s="58"/>
      <c r="B16" s="59" t="str">
        <f>IFERROR(VLOOKUP($A16,Admission!$1:$998,4,0),"")</f>
        <v/>
      </c>
      <c r="C16" s="59" t="str">
        <f>IFERROR(VLOOKUP($A16,Admission!$1:$998,5,0),"")</f>
        <v/>
      </c>
      <c r="D16" s="59"/>
      <c r="E16" s="59" t="str">
        <f>IFERROR(VLOOKUP($A16,Admission!$1:$998,3,0),"")</f>
        <v/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</row>
    <row r="17" spans="1:21" ht="15.75" customHeight="1" x14ac:dyDescent="0.15">
      <c r="A17" s="58"/>
      <c r="B17" s="59" t="str">
        <f>IFERROR(VLOOKUP($A17,Admission!$1:$998,4,0),"")</f>
        <v/>
      </c>
      <c r="C17" s="59" t="str">
        <f>IFERROR(VLOOKUP($A17,Admission!$1:$998,5,0),"")</f>
        <v/>
      </c>
      <c r="D17" s="59"/>
      <c r="E17" s="59" t="str">
        <f>IFERROR(VLOOKUP($A17,Admission!$1:$998,3,0),"")</f>
        <v/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spans="1:21" ht="15.75" customHeight="1" x14ac:dyDescent="0.15">
      <c r="A18" s="58"/>
      <c r="B18" s="59" t="str">
        <f>IFERROR(VLOOKUP($A18,Admission!$1:$998,4,0),"")</f>
        <v/>
      </c>
      <c r="C18" s="59" t="str">
        <f>IFERROR(VLOOKUP($A18,Admission!$1:$998,5,0),"")</f>
        <v/>
      </c>
      <c r="D18" s="59"/>
      <c r="E18" s="59" t="str">
        <f>IFERROR(VLOOKUP($A18,Admission!$1:$998,3,0),"")</f>
        <v/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1:21" ht="15.75" customHeight="1" x14ac:dyDescent="0.15">
      <c r="A19" s="58"/>
      <c r="B19" s="59" t="str">
        <f>IFERROR(VLOOKUP($A19,Admission!$1:$998,4,0),"")</f>
        <v/>
      </c>
      <c r="C19" s="59" t="str">
        <f>IFERROR(VLOOKUP($A19,Admission!$1:$998,5,0),"")</f>
        <v/>
      </c>
      <c r="D19" s="59"/>
      <c r="E19" s="59" t="str">
        <f>IFERROR(VLOOKUP($A19,Admission!$1:$998,3,0),"")</f>
        <v/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1:21" ht="15.75" customHeight="1" x14ac:dyDescent="0.15">
      <c r="A20" s="58"/>
      <c r="B20" s="59" t="str">
        <f>IFERROR(VLOOKUP($A20,Admission!$1:$998,4,0),"")</f>
        <v/>
      </c>
      <c r="C20" s="59" t="str">
        <f>IFERROR(VLOOKUP($A20,Admission!$1:$998,5,0),"")</f>
        <v/>
      </c>
      <c r="D20" s="59"/>
      <c r="E20" s="59" t="str">
        <f>IFERROR(VLOOKUP($A20,Admission!$1:$998,3,0),"")</f>
        <v/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r="21" spans="1:21" ht="15.75" customHeight="1" x14ac:dyDescent="0.15">
      <c r="A21" s="58"/>
      <c r="B21" s="59" t="str">
        <f>IFERROR(VLOOKUP($A21,Admission!$1:$998,4,0),"")</f>
        <v/>
      </c>
      <c r="C21" s="59" t="str">
        <f>IFERROR(VLOOKUP($A21,Admission!$1:$998,5,0),"")</f>
        <v/>
      </c>
      <c r="D21" s="59"/>
      <c r="E21" s="59" t="str">
        <f>IFERROR(VLOOKUP($A21,Admission!$1:$998,3,0),"")</f>
        <v/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</row>
    <row r="22" spans="1:21" ht="15.75" customHeight="1" x14ac:dyDescent="0.15">
      <c r="A22" s="58"/>
      <c r="B22" s="59" t="str">
        <f>IFERROR(VLOOKUP($A22,Admission!$1:$998,4,0),"")</f>
        <v/>
      </c>
      <c r="C22" s="59" t="str">
        <f>IFERROR(VLOOKUP($A22,Admission!$1:$998,5,0),"")</f>
        <v/>
      </c>
      <c r="D22" s="59"/>
      <c r="E22" s="59" t="str">
        <f>IFERROR(VLOOKUP($A22,Admission!$1:$998,3,0),"")</f>
        <v/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1" ht="15.75" customHeight="1" x14ac:dyDescent="0.15">
      <c r="A23" s="58"/>
      <c r="B23" s="59" t="str">
        <f>IFERROR(VLOOKUP($A23,Admission!$1:$998,4,0),"")</f>
        <v/>
      </c>
      <c r="C23" s="59" t="str">
        <f>IFERROR(VLOOKUP($A23,Admission!$1:$998,5,0),"")</f>
        <v/>
      </c>
      <c r="D23" s="59"/>
      <c r="E23" s="59" t="str">
        <f>IFERROR(VLOOKUP($A23,Admission!$1:$998,3,0),"")</f>
        <v/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1" ht="15.75" customHeight="1" x14ac:dyDescent="0.15">
      <c r="A24" s="58"/>
      <c r="B24" s="59" t="str">
        <f>IFERROR(VLOOKUP($A24,Admission!$1:$998,4,0),"")</f>
        <v/>
      </c>
      <c r="C24" s="59" t="str">
        <f>IFERROR(VLOOKUP($A24,Admission!$1:$998,5,0),"")</f>
        <v/>
      </c>
      <c r="D24" s="59"/>
      <c r="E24" s="59" t="str">
        <f>IFERROR(VLOOKUP($A24,Admission!$1:$998,3,0),"")</f>
        <v/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1" ht="15.75" customHeight="1" x14ac:dyDescent="0.15">
      <c r="A25" s="58"/>
      <c r="B25" s="59" t="str">
        <f>IFERROR(VLOOKUP($A25,Admission!$1:$998,4,0),"")</f>
        <v/>
      </c>
      <c r="C25" s="59" t="str">
        <f>IFERROR(VLOOKUP($A25,Admission!$1:$998,5,0),"")</f>
        <v/>
      </c>
      <c r="D25" s="59"/>
      <c r="E25" s="59" t="str">
        <f>IFERROR(VLOOKUP($A25,Admission!$1:$998,3,0),"")</f>
        <v/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1:21" ht="15.75" customHeight="1" x14ac:dyDescent="0.15">
      <c r="A26" s="58"/>
      <c r="B26" s="59" t="str">
        <f>IFERROR(VLOOKUP($A26,Admission!$1:$998,4,0),"")</f>
        <v/>
      </c>
      <c r="C26" s="59" t="str">
        <f>IFERROR(VLOOKUP($A26,Admission!$1:$998,5,0),"")</f>
        <v/>
      </c>
      <c r="D26" s="59"/>
      <c r="E26" s="59" t="str">
        <f>IFERROR(VLOOKUP($A26,Admission!$1:$998,3,0),"")</f>
        <v/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ht="15.75" customHeight="1" x14ac:dyDescent="0.15">
      <c r="A27" s="58"/>
      <c r="B27" s="59" t="str">
        <f>IFERROR(VLOOKUP($A27,Admission!$1:$998,4,0),"")</f>
        <v/>
      </c>
      <c r="C27" s="59" t="str">
        <f>IFERROR(VLOOKUP($A27,Admission!$1:$998,5,0),"")</f>
        <v/>
      </c>
      <c r="D27" s="59"/>
      <c r="E27" s="59" t="str">
        <f>IFERROR(VLOOKUP($A27,Admission!$1:$998,3,0),"")</f>
        <v/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1" ht="15.75" customHeight="1" x14ac:dyDescent="0.15">
      <c r="A28" s="58"/>
      <c r="B28" s="59" t="str">
        <f>IFERROR(VLOOKUP($A28,Admission!$1:$998,4,0),"")</f>
        <v/>
      </c>
      <c r="C28" s="59" t="str">
        <f>IFERROR(VLOOKUP($A28,Admission!$1:$998,5,0),"")</f>
        <v/>
      </c>
      <c r="D28" s="59"/>
      <c r="E28" s="59" t="str">
        <f>IFERROR(VLOOKUP($A28,Admission!$1:$998,3,0),"")</f>
        <v/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ht="15.75" customHeight="1" x14ac:dyDescent="0.15">
      <c r="A29" s="58"/>
      <c r="B29" s="59" t="str">
        <f>IFERROR(VLOOKUP($A29,Admission!$1:$998,4,0),"")</f>
        <v/>
      </c>
      <c r="C29" s="59" t="str">
        <f>IFERROR(VLOOKUP($A29,Admission!$1:$998,5,0),"")</f>
        <v/>
      </c>
      <c r="D29" s="59"/>
      <c r="E29" s="59" t="str">
        <f>IFERROR(VLOOKUP($A29,Admission!$1:$998,3,0),"")</f>
        <v/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ht="15.75" customHeight="1" x14ac:dyDescent="0.15">
      <c r="A30" s="58"/>
      <c r="B30" s="59" t="str">
        <f>IFERROR(VLOOKUP($A30,Admission!$1:$998,4,0),"")</f>
        <v/>
      </c>
      <c r="C30" s="59" t="str">
        <f>IFERROR(VLOOKUP($A30,Admission!$1:$998,5,0),"")</f>
        <v/>
      </c>
      <c r="D30" s="59"/>
      <c r="E30" s="59" t="str">
        <f>IFERROR(VLOOKUP($A30,Admission!$1:$998,3,0),"")</f>
        <v/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 ht="15.75" customHeight="1" x14ac:dyDescent="0.15">
      <c r="A31" s="58"/>
      <c r="B31" s="59" t="str">
        <f>IFERROR(VLOOKUP($A31,Admission!$1:$998,4,0),"")</f>
        <v/>
      </c>
      <c r="C31" s="59" t="str">
        <f>IFERROR(VLOOKUP($A31,Admission!$1:$998,5,0),"")</f>
        <v/>
      </c>
      <c r="D31" s="59"/>
      <c r="E31" s="59" t="str">
        <f>IFERROR(VLOOKUP($A31,Admission!$1:$998,3,0),"")</f>
        <v/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1:21" ht="15.75" customHeight="1" x14ac:dyDescent="0.15">
      <c r="A32" s="58"/>
      <c r="B32" s="59" t="str">
        <f>IFERROR(VLOOKUP($A32,Admission!$1:$998,4,0),"")</f>
        <v/>
      </c>
      <c r="C32" s="59" t="str">
        <f>IFERROR(VLOOKUP($A32,Admission!$1:$998,5,0),"")</f>
        <v/>
      </c>
      <c r="D32" s="59"/>
      <c r="E32" s="59" t="str">
        <f>IFERROR(VLOOKUP($A32,Admission!$1:$998,3,0),"")</f>
        <v/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1:21" ht="15.75" customHeight="1" x14ac:dyDescent="0.15">
      <c r="A33" s="58"/>
      <c r="B33" s="59" t="str">
        <f>IFERROR(VLOOKUP($A33,Admission!$1:$998,4,0),"")</f>
        <v/>
      </c>
      <c r="C33" s="59" t="str">
        <f>IFERROR(VLOOKUP($A33,Admission!$1:$998,5,0),"")</f>
        <v/>
      </c>
      <c r="D33" s="59"/>
      <c r="E33" s="59" t="str">
        <f>IFERROR(VLOOKUP($A33,Admission!$1:$998,3,0),"")</f>
        <v/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1:21" ht="15.75" customHeight="1" x14ac:dyDescent="0.15">
      <c r="A34" s="58"/>
      <c r="B34" s="59" t="str">
        <f>IFERROR(VLOOKUP($A34,Admission!$1:$998,4,0),"")</f>
        <v/>
      </c>
      <c r="C34" s="59" t="str">
        <f>IFERROR(VLOOKUP($A34,Admission!$1:$998,5,0),"")</f>
        <v/>
      </c>
      <c r="D34" s="59"/>
      <c r="E34" s="59" t="str">
        <f>IFERROR(VLOOKUP($A34,Admission!$1:$998,3,0),"")</f>
        <v/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1:21" ht="15.75" customHeight="1" x14ac:dyDescent="0.15">
      <c r="A35" s="58"/>
      <c r="B35" s="59" t="str">
        <f>IFERROR(VLOOKUP($A35,Admission!$1:$998,4,0),"")</f>
        <v/>
      </c>
      <c r="C35" s="59" t="str">
        <f>IFERROR(VLOOKUP($A35,Admission!$1:$998,5,0),"")</f>
        <v/>
      </c>
      <c r="D35" s="59"/>
      <c r="E35" s="59" t="str">
        <f>IFERROR(VLOOKUP($A35,Admission!$1:$998,3,0),"")</f>
        <v/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1:21" ht="15.75" customHeight="1" x14ac:dyDescent="0.15">
      <c r="A36" s="58"/>
      <c r="B36" s="59" t="str">
        <f>IFERROR(VLOOKUP($A36,Admission!$1:$998,4,0),"")</f>
        <v/>
      </c>
      <c r="C36" s="59" t="str">
        <f>IFERROR(VLOOKUP($A36,Admission!$1:$998,5,0),"")</f>
        <v/>
      </c>
      <c r="D36" s="59"/>
      <c r="E36" s="59" t="str">
        <f>IFERROR(VLOOKUP($A36,Admission!$1:$998,3,0),"")</f>
        <v/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1:21" ht="15.75" customHeight="1" x14ac:dyDescent="0.15">
      <c r="A37" s="58"/>
      <c r="B37" s="59" t="str">
        <f>IFERROR(VLOOKUP($A37,Admission!$1:$998,4,0),"")</f>
        <v/>
      </c>
      <c r="C37" s="59" t="str">
        <f>IFERROR(VLOOKUP($A37,Admission!$1:$998,5,0),"")</f>
        <v/>
      </c>
      <c r="D37" s="59"/>
      <c r="E37" s="59" t="str">
        <f>IFERROR(VLOOKUP($A37,Admission!$1:$998,3,0),"")</f>
        <v/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8" spans="1:21" ht="15.75" customHeight="1" x14ac:dyDescent="0.15">
      <c r="A38" s="58"/>
      <c r="B38" s="59" t="str">
        <f>IFERROR(VLOOKUP($A38,Admission!$1:$998,4,0),"")</f>
        <v/>
      </c>
      <c r="C38" s="59" t="str">
        <f>IFERROR(VLOOKUP($A38,Admission!$1:$998,5,0),"")</f>
        <v/>
      </c>
      <c r="D38" s="59"/>
      <c r="E38" s="59" t="str">
        <f>IFERROR(VLOOKUP($A38,Admission!$1:$998,3,0),"")</f>
        <v/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1:21" ht="15.75" customHeight="1" x14ac:dyDescent="0.15">
      <c r="A39" s="58"/>
      <c r="B39" s="59" t="str">
        <f>IFERROR(VLOOKUP($A39,Admission!$1:$998,4,0),"")</f>
        <v/>
      </c>
      <c r="C39" s="59" t="str">
        <f>IFERROR(VLOOKUP($A39,Admission!$1:$998,5,0),"")</f>
        <v/>
      </c>
      <c r="D39" s="59"/>
      <c r="E39" s="59" t="str">
        <f>IFERROR(VLOOKUP($A39,Admission!$1:$998,3,0),"")</f>
        <v/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ht="15.75" customHeight="1" x14ac:dyDescent="0.15">
      <c r="A40" s="58"/>
      <c r="B40" s="59" t="str">
        <f>IFERROR(VLOOKUP($A40,Admission!$1:$998,4,0),"")</f>
        <v/>
      </c>
      <c r="C40" s="59" t="str">
        <f>IFERROR(VLOOKUP($A40,Admission!$1:$998,5,0),"")</f>
        <v/>
      </c>
      <c r="D40" s="59"/>
      <c r="E40" s="59" t="str">
        <f>IFERROR(VLOOKUP($A40,Admission!$1:$998,3,0),"")</f>
        <v/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1:21" ht="15.75" customHeight="1" x14ac:dyDescent="0.15">
      <c r="A41" s="58"/>
      <c r="B41" s="59" t="str">
        <f>IFERROR(VLOOKUP($A41,Admission!$1:$998,4,0),"")</f>
        <v/>
      </c>
      <c r="C41" s="59" t="str">
        <f>IFERROR(VLOOKUP($A41,Admission!$1:$998,5,0),"")</f>
        <v/>
      </c>
      <c r="D41" s="59"/>
      <c r="E41" s="59" t="str">
        <f>IFERROR(VLOOKUP($A41,Admission!$1:$998,3,0),"")</f>
        <v/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1:21" ht="15.75" customHeight="1" x14ac:dyDescent="0.15">
      <c r="A42" s="58"/>
      <c r="B42" s="59" t="str">
        <f>IFERROR(VLOOKUP($A42,Admission!$1:$998,4,0),"")</f>
        <v/>
      </c>
      <c r="C42" s="59" t="str">
        <f>IFERROR(VLOOKUP($A42,Admission!$1:$998,5,0),"")</f>
        <v/>
      </c>
      <c r="D42" s="59"/>
      <c r="E42" s="59" t="str">
        <f>IFERROR(VLOOKUP($A42,Admission!$1:$998,3,0),"")</f>
        <v/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1:21" ht="15.75" customHeight="1" x14ac:dyDescent="0.15">
      <c r="A43" s="58"/>
      <c r="B43" s="59" t="str">
        <f>IFERROR(VLOOKUP($A43,Admission!$1:$998,4,0),"")</f>
        <v/>
      </c>
      <c r="C43" s="59" t="str">
        <f>IFERROR(VLOOKUP($A43,Admission!$1:$998,5,0),"")</f>
        <v/>
      </c>
      <c r="D43" s="59"/>
      <c r="E43" s="59" t="str">
        <f>IFERROR(VLOOKUP($A43,Admission!$1:$998,3,0),"")</f>
        <v/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21" ht="15.75" customHeight="1" x14ac:dyDescent="0.15">
      <c r="A44" s="58"/>
      <c r="B44" s="59" t="str">
        <f>IFERROR(VLOOKUP($A44,Admission!$1:$998,4,0),"")</f>
        <v/>
      </c>
      <c r="C44" s="59" t="str">
        <f>IFERROR(VLOOKUP($A44,Admission!$1:$998,5,0),"")</f>
        <v/>
      </c>
      <c r="D44" s="59"/>
      <c r="E44" s="59" t="str">
        <f>IFERROR(VLOOKUP($A44,Admission!$1:$998,3,0),"")</f>
        <v/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21" ht="15.75" customHeight="1" x14ac:dyDescent="0.15">
      <c r="A45" s="58"/>
      <c r="B45" s="59" t="str">
        <f>IFERROR(VLOOKUP($A45,Admission!$1:$998,4,0),"")</f>
        <v/>
      </c>
      <c r="C45" s="59" t="str">
        <f>IFERROR(VLOOKUP($A45,Admission!$1:$998,5,0),"")</f>
        <v/>
      </c>
      <c r="D45" s="59"/>
      <c r="E45" s="59" t="str">
        <f>IFERROR(VLOOKUP($A45,Admission!$1:$998,3,0),"")</f>
        <v/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1:21" ht="15.75" customHeight="1" x14ac:dyDescent="0.15">
      <c r="A46" s="58"/>
      <c r="B46" s="59" t="str">
        <f>IFERROR(VLOOKUP($A46,Admission!$1:$998,4,0),"")</f>
        <v/>
      </c>
      <c r="C46" s="59" t="str">
        <f>IFERROR(VLOOKUP($A46,Admission!$1:$998,5,0),"")</f>
        <v/>
      </c>
      <c r="D46" s="59"/>
      <c r="E46" s="59" t="str">
        <f>IFERROR(VLOOKUP($A46,Admission!$1:$998,3,0),"")</f>
        <v/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1:21" ht="15.75" customHeight="1" x14ac:dyDescent="0.15">
      <c r="A47" s="58"/>
      <c r="B47" s="59" t="str">
        <f>IFERROR(VLOOKUP($A47,Admission!$1:$998,4,0),"")</f>
        <v/>
      </c>
      <c r="C47" s="59" t="str">
        <f>IFERROR(VLOOKUP($A47,Admission!$1:$998,5,0),"")</f>
        <v/>
      </c>
      <c r="D47" s="59"/>
      <c r="E47" s="59" t="str">
        <f>IFERROR(VLOOKUP($A47,Admission!$1:$998,3,0),"")</f>
        <v/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1:21" ht="15.75" customHeight="1" x14ac:dyDescent="0.15">
      <c r="A48" s="58"/>
      <c r="B48" s="59" t="str">
        <f>IFERROR(VLOOKUP($A48,Admission!$1:$998,4,0),"")</f>
        <v/>
      </c>
      <c r="C48" s="59" t="str">
        <f>IFERROR(VLOOKUP($A48,Admission!$1:$998,5,0),"")</f>
        <v/>
      </c>
      <c r="D48" s="59"/>
      <c r="E48" s="59" t="str">
        <f>IFERROR(VLOOKUP($A48,Admission!$1:$998,3,0),"")</f>
        <v/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1:21" ht="15.75" customHeight="1" x14ac:dyDescent="0.15">
      <c r="A49" s="58"/>
      <c r="B49" s="59" t="str">
        <f>IFERROR(VLOOKUP($A49,Admission!$1:$998,4,0),"")</f>
        <v/>
      </c>
      <c r="C49" s="59" t="str">
        <f>IFERROR(VLOOKUP($A49,Admission!$1:$998,5,0),"")</f>
        <v/>
      </c>
      <c r="D49" s="59"/>
      <c r="E49" s="59" t="str">
        <f>IFERROR(VLOOKUP($A49,Admission!$1:$998,3,0),"")</f>
        <v/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1:21" ht="15.75" customHeight="1" x14ac:dyDescent="0.15">
      <c r="A50" s="58"/>
      <c r="B50" s="59" t="str">
        <f>IFERROR(VLOOKUP($A50,Admission!$1:$998,4,0),"")</f>
        <v/>
      </c>
      <c r="C50" s="59" t="str">
        <f>IFERROR(VLOOKUP($A50,Admission!$1:$998,5,0),"")</f>
        <v/>
      </c>
      <c r="D50" s="59"/>
      <c r="E50" s="59" t="str">
        <f>IFERROR(VLOOKUP($A50,Admission!$1:$998,3,0),"")</f>
        <v/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1:21" ht="15.75" customHeight="1" x14ac:dyDescent="0.15">
      <c r="A51" s="58"/>
      <c r="B51" s="59" t="str">
        <f>IFERROR(VLOOKUP($A51,Admission!$1:$998,4,0),"")</f>
        <v/>
      </c>
      <c r="C51" s="59" t="str">
        <f>IFERROR(VLOOKUP($A51,Admission!$1:$998,5,0),"")</f>
        <v/>
      </c>
      <c r="D51" s="59"/>
      <c r="E51" s="59" t="str">
        <f>IFERROR(VLOOKUP($A51,Admission!$1:$998,3,0),"")</f>
        <v/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</row>
    <row r="52" spans="1:21" ht="15.75" customHeight="1" x14ac:dyDescent="0.15">
      <c r="A52" s="58"/>
      <c r="B52" s="59" t="str">
        <f>IFERROR(VLOOKUP($A52,Admission!$1:$998,4,0),"")</f>
        <v/>
      </c>
      <c r="C52" s="59" t="str">
        <f>IFERROR(VLOOKUP($A52,Admission!$1:$998,5,0),"")</f>
        <v/>
      </c>
      <c r="D52" s="59"/>
      <c r="E52" s="59" t="str">
        <f>IFERROR(VLOOKUP($A52,Admission!$1:$998,3,0),"")</f>
        <v/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ht="15.75" customHeight="1" x14ac:dyDescent="0.15">
      <c r="A53" s="58"/>
      <c r="B53" s="59" t="str">
        <f>IFERROR(VLOOKUP($A53,Admission!$1:$998,4,0),"")</f>
        <v/>
      </c>
      <c r="C53" s="59" t="str">
        <f>IFERROR(VLOOKUP($A53,Admission!$1:$998,5,0),"")</f>
        <v/>
      </c>
      <c r="D53" s="59"/>
      <c r="E53" s="59" t="str">
        <f>IFERROR(VLOOKUP($A53,Admission!$1:$998,3,0),"")</f>
        <v/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1:21" ht="15.75" customHeight="1" x14ac:dyDescent="0.15">
      <c r="A54" s="58"/>
      <c r="B54" s="59" t="str">
        <f>IFERROR(VLOOKUP($A54,Admission!$1:$998,4,0),"")</f>
        <v/>
      </c>
      <c r="C54" s="59" t="str">
        <f>IFERROR(VLOOKUP($A54,Admission!$1:$998,5,0),"")</f>
        <v/>
      </c>
      <c r="D54" s="59"/>
      <c r="E54" s="59" t="str">
        <f>IFERROR(VLOOKUP($A54,Admission!$1:$998,3,0),"")</f>
        <v/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1:21" ht="15.75" customHeight="1" x14ac:dyDescent="0.15">
      <c r="A55" s="58"/>
      <c r="B55" s="59" t="str">
        <f>IFERROR(VLOOKUP($A55,Admission!$1:$998,4,0),"")</f>
        <v/>
      </c>
      <c r="C55" s="59" t="str">
        <f>IFERROR(VLOOKUP($A55,Admission!$1:$998,5,0),"")</f>
        <v/>
      </c>
      <c r="D55" s="59"/>
      <c r="E55" s="59" t="str">
        <f>IFERROR(VLOOKUP($A55,Admission!$1:$998,3,0),"")</f>
        <v/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 spans="1:21" ht="15.75" customHeight="1" x14ac:dyDescent="0.15">
      <c r="A56" s="58"/>
      <c r="B56" s="59" t="str">
        <f>IFERROR(VLOOKUP($A56,Admission!$1:$998,4,0),"")</f>
        <v/>
      </c>
      <c r="C56" s="59" t="str">
        <f>IFERROR(VLOOKUP($A56,Admission!$1:$998,5,0),"")</f>
        <v/>
      </c>
      <c r="D56" s="59"/>
      <c r="E56" s="59" t="str">
        <f>IFERROR(VLOOKUP($A56,Admission!$1:$998,3,0),"")</f>
        <v/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1:21" ht="15.75" customHeight="1" x14ac:dyDescent="0.15">
      <c r="A57" s="58"/>
      <c r="B57" s="59" t="str">
        <f>IFERROR(VLOOKUP($A57,Admission!$1:$998,4,0),"")</f>
        <v/>
      </c>
      <c r="C57" s="59" t="str">
        <f>IFERROR(VLOOKUP($A57,Admission!$1:$998,5,0),"")</f>
        <v/>
      </c>
      <c r="D57" s="59"/>
      <c r="E57" s="59" t="str">
        <f>IFERROR(VLOOKUP($A57,Admission!$1:$998,3,0),"")</f>
        <v/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1:21" ht="15.75" customHeight="1" x14ac:dyDescent="0.15">
      <c r="A58" s="58"/>
      <c r="B58" s="59" t="str">
        <f>IFERROR(VLOOKUP($A58,Admission!$1:$998,4,0),"")</f>
        <v/>
      </c>
      <c r="C58" s="59" t="str">
        <f>IFERROR(VLOOKUP($A58,Admission!$1:$998,5,0),"")</f>
        <v/>
      </c>
      <c r="D58" s="59"/>
      <c r="E58" s="59" t="str">
        <f>IFERROR(VLOOKUP($A58,Admission!$1:$998,3,0),"")</f>
        <v/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1:21" ht="15.75" customHeight="1" x14ac:dyDescent="0.15">
      <c r="A59" s="58"/>
      <c r="B59" s="59" t="str">
        <f>IFERROR(VLOOKUP($A59,Admission!$1:$998,4,0),"")</f>
        <v/>
      </c>
      <c r="C59" s="59" t="str">
        <f>IFERROR(VLOOKUP($A59,Admission!$1:$998,5,0),"")</f>
        <v/>
      </c>
      <c r="D59" s="59"/>
      <c r="E59" s="59" t="str">
        <f>IFERROR(VLOOKUP($A59,Admission!$1:$998,3,0),"")</f>
        <v/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1:21" ht="15.75" customHeight="1" x14ac:dyDescent="0.15">
      <c r="A60" s="58"/>
      <c r="B60" s="59" t="str">
        <f>IFERROR(VLOOKUP($A60,Admission!$1:$998,4,0),"")</f>
        <v/>
      </c>
      <c r="C60" s="59" t="str">
        <f>IFERROR(VLOOKUP($A60,Admission!$1:$998,5,0),"")</f>
        <v/>
      </c>
      <c r="D60" s="59"/>
      <c r="E60" s="59" t="str">
        <f>IFERROR(VLOOKUP($A60,Admission!$1:$998,3,0),"")</f>
        <v/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</row>
    <row r="61" spans="1:21" ht="15.75" customHeight="1" x14ac:dyDescent="0.15">
      <c r="A61" s="58"/>
      <c r="B61" s="59" t="str">
        <f>IFERROR(VLOOKUP($A61,Admission!$1:$998,4,0),"")</f>
        <v/>
      </c>
      <c r="C61" s="59" t="str">
        <f>IFERROR(VLOOKUP($A61,Admission!$1:$998,5,0),"")</f>
        <v/>
      </c>
      <c r="D61" s="59"/>
      <c r="E61" s="59" t="str">
        <f>IFERROR(VLOOKUP($A61,Admission!$1:$998,3,0),"")</f>
        <v/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1:21" ht="15.75" customHeight="1" x14ac:dyDescent="0.15">
      <c r="A62" s="58"/>
      <c r="B62" s="59" t="str">
        <f>IFERROR(VLOOKUP($A62,Admission!$1:$998,4,0),"")</f>
        <v/>
      </c>
      <c r="C62" s="59" t="str">
        <f>IFERROR(VLOOKUP($A62,Admission!$1:$998,5,0),"")</f>
        <v/>
      </c>
      <c r="D62" s="59"/>
      <c r="E62" s="59" t="str">
        <f>IFERROR(VLOOKUP($A62,Admission!$1:$998,3,0),"")</f>
        <v/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1:21" ht="15.75" customHeight="1" x14ac:dyDescent="0.15">
      <c r="A63" s="58"/>
      <c r="B63" s="59" t="str">
        <f>IFERROR(VLOOKUP($A63,Admission!$1:$998,4,0),"")</f>
        <v/>
      </c>
      <c r="C63" s="59" t="str">
        <f>IFERROR(VLOOKUP($A63,Admission!$1:$998,5,0),"")</f>
        <v/>
      </c>
      <c r="D63" s="59"/>
      <c r="E63" s="59" t="str">
        <f>IFERROR(VLOOKUP($A63,Admission!$1:$998,3,0),"")</f>
        <v/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1:21" ht="15.75" customHeight="1" x14ac:dyDescent="0.15">
      <c r="A64" s="58"/>
      <c r="B64" s="59" t="str">
        <f>IFERROR(VLOOKUP($A64,Admission!$1:$998,4,0),"")</f>
        <v/>
      </c>
      <c r="C64" s="59" t="str">
        <f>IFERROR(VLOOKUP($A64,Admission!$1:$998,5,0),"")</f>
        <v/>
      </c>
      <c r="D64" s="59"/>
      <c r="E64" s="59" t="str">
        <f>IFERROR(VLOOKUP($A64,Admission!$1:$998,3,0),"")</f>
        <v/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</row>
    <row r="65" spans="1:21" ht="15.75" customHeight="1" x14ac:dyDescent="0.15">
      <c r="A65" s="58"/>
      <c r="B65" s="59" t="str">
        <f>IFERROR(VLOOKUP($A65,Admission!$1:$998,4,0),"")</f>
        <v/>
      </c>
      <c r="C65" s="59" t="str">
        <f>IFERROR(VLOOKUP($A65,Admission!$1:$998,5,0),"")</f>
        <v/>
      </c>
      <c r="D65" s="59"/>
      <c r="E65" s="59" t="str">
        <f>IFERROR(VLOOKUP($A65,Admission!$1:$998,3,0),"")</f>
        <v/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1:21" ht="15.75" customHeight="1" x14ac:dyDescent="0.15">
      <c r="A66" s="58"/>
      <c r="B66" s="59" t="str">
        <f>IFERROR(VLOOKUP($A66,Admission!$1:$998,4,0),"")</f>
        <v/>
      </c>
      <c r="C66" s="59" t="str">
        <f>IFERROR(VLOOKUP($A66,Admission!$1:$998,5,0),"")</f>
        <v/>
      </c>
      <c r="D66" s="59"/>
      <c r="E66" s="59" t="str">
        <f>IFERROR(VLOOKUP($A66,Admission!$1:$998,3,0),"")</f>
        <v/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1:21" ht="15.75" customHeight="1" x14ac:dyDescent="0.15">
      <c r="A67" s="58"/>
      <c r="B67" s="59" t="str">
        <f>IFERROR(VLOOKUP($A67,Admission!$1:$998,4,0),"")</f>
        <v/>
      </c>
      <c r="C67" s="59" t="str">
        <f>IFERROR(VLOOKUP($A67,Admission!$1:$998,5,0),"")</f>
        <v/>
      </c>
      <c r="D67" s="59"/>
      <c r="E67" s="59" t="str">
        <f>IFERROR(VLOOKUP($A67,Admission!$1:$998,3,0),"")</f>
        <v/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1:21" ht="15.75" customHeight="1" x14ac:dyDescent="0.15">
      <c r="A68" s="58"/>
      <c r="B68" s="59" t="str">
        <f>IFERROR(VLOOKUP($A68,Admission!$1:$998,4,0),"")</f>
        <v/>
      </c>
      <c r="C68" s="59" t="str">
        <f>IFERROR(VLOOKUP($A68,Admission!$1:$998,5,0),"")</f>
        <v/>
      </c>
      <c r="D68" s="59"/>
      <c r="E68" s="59" t="str">
        <f>IFERROR(VLOOKUP($A68,Admission!$1:$998,3,0),"")</f>
        <v/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</row>
    <row r="69" spans="1:21" ht="15.75" customHeight="1" x14ac:dyDescent="0.15">
      <c r="A69" s="58"/>
      <c r="B69" s="59" t="str">
        <f>IFERROR(VLOOKUP($A69,Admission!$1:$998,4,0),"")</f>
        <v/>
      </c>
      <c r="C69" s="59" t="str">
        <f>IFERROR(VLOOKUP($A69,Admission!$1:$998,5,0),"")</f>
        <v/>
      </c>
      <c r="D69" s="59"/>
      <c r="E69" s="59" t="str">
        <f>IFERROR(VLOOKUP($A69,Admission!$1:$998,3,0),"")</f>
        <v/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1:21" ht="15.75" customHeight="1" x14ac:dyDescent="0.15">
      <c r="A70" s="58"/>
      <c r="B70" s="59" t="str">
        <f>IFERROR(VLOOKUP($A70,Admission!$1:$998,4,0),"")</f>
        <v/>
      </c>
      <c r="C70" s="59" t="str">
        <f>IFERROR(VLOOKUP($A70,Admission!$1:$998,5,0),"")</f>
        <v/>
      </c>
      <c r="D70" s="59"/>
      <c r="E70" s="59" t="str">
        <f>IFERROR(VLOOKUP($A70,Admission!$1:$998,3,0),"")</f>
        <v/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1:21" ht="15.75" customHeight="1" x14ac:dyDescent="0.15">
      <c r="A71" s="58"/>
      <c r="B71" s="59" t="str">
        <f>IFERROR(VLOOKUP($A71,Admission!$1:$998,4,0),"")</f>
        <v/>
      </c>
      <c r="C71" s="59" t="str">
        <f>IFERROR(VLOOKUP($A71,Admission!$1:$998,5,0),"")</f>
        <v/>
      </c>
      <c r="D71" s="59"/>
      <c r="E71" s="59" t="str">
        <f>IFERROR(VLOOKUP($A71,Admission!$1:$998,3,0),"")</f>
        <v/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1:21" ht="15.75" customHeight="1" x14ac:dyDescent="0.15">
      <c r="A72" s="58"/>
      <c r="B72" s="59" t="str">
        <f>IFERROR(VLOOKUP($A72,Admission!$1:$998,4,0),"")</f>
        <v/>
      </c>
      <c r="C72" s="59" t="str">
        <f>IFERROR(VLOOKUP($A72,Admission!$1:$998,5,0),"")</f>
        <v/>
      </c>
      <c r="D72" s="59"/>
      <c r="E72" s="59" t="str">
        <f>IFERROR(VLOOKUP($A72,Admission!$1:$998,3,0),"")</f>
        <v/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1:21" ht="15.75" customHeight="1" x14ac:dyDescent="0.15">
      <c r="A73" s="58"/>
      <c r="B73" s="59" t="str">
        <f>IFERROR(VLOOKUP($A73,Admission!$1:$998,4,0),"")</f>
        <v/>
      </c>
      <c r="C73" s="59" t="str">
        <f>IFERROR(VLOOKUP($A73,Admission!$1:$998,5,0),"")</f>
        <v/>
      </c>
      <c r="D73" s="59"/>
      <c r="E73" s="59" t="str">
        <f>IFERROR(VLOOKUP($A73,Admission!$1:$998,3,0),"")</f>
        <v/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</row>
    <row r="74" spans="1:21" ht="15.75" customHeight="1" x14ac:dyDescent="0.15">
      <c r="A74" s="58"/>
      <c r="B74" s="59" t="str">
        <f>IFERROR(VLOOKUP($A74,Admission!$1:$998,4,0),"")</f>
        <v/>
      </c>
      <c r="C74" s="59" t="str">
        <f>IFERROR(VLOOKUP($A74,Admission!$1:$998,5,0),"")</f>
        <v/>
      </c>
      <c r="D74" s="59"/>
      <c r="E74" s="59" t="str">
        <f>IFERROR(VLOOKUP($A74,Admission!$1:$998,3,0),"")</f>
        <v/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1:21" ht="15.75" customHeight="1" x14ac:dyDescent="0.15">
      <c r="A75" s="58"/>
      <c r="B75" s="59" t="str">
        <f>IFERROR(VLOOKUP($A75,Admission!$1:$998,4,0),"")</f>
        <v/>
      </c>
      <c r="C75" s="59" t="str">
        <f>IFERROR(VLOOKUP($A75,Admission!$1:$998,5,0),"")</f>
        <v/>
      </c>
      <c r="D75" s="59"/>
      <c r="E75" s="59" t="str">
        <f>IFERROR(VLOOKUP($A75,Admission!$1:$998,3,0),"")</f>
        <v/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1:21" ht="15.75" customHeight="1" x14ac:dyDescent="0.15">
      <c r="A76" s="58"/>
      <c r="B76" s="59" t="str">
        <f>IFERROR(VLOOKUP($A76,Admission!$1:$998,4,0),"")</f>
        <v/>
      </c>
      <c r="C76" s="59" t="str">
        <f>IFERROR(VLOOKUP($A76,Admission!$1:$998,5,0),"")</f>
        <v/>
      </c>
      <c r="D76" s="59"/>
      <c r="E76" s="59" t="str">
        <f>IFERROR(VLOOKUP($A76,Admission!$1:$998,3,0),"")</f>
        <v/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1:21" ht="15.75" customHeight="1" x14ac:dyDescent="0.15">
      <c r="A77" s="58"/>
      <c r="B77" s="59" t="str">
        <f>IFERROR(VLOOKUP($A77,Admission!$1:$998,4,0),"")</f>
        <v/>
      </c>
      <c r="C77" s="59" t="str">
        <f>IFERROR(VLOOKUP($A77,Admission!$1:$998,5,0),"")</f>
        <v/>
      </c>
      <c r="D77" s="59"/>
      <c r="E77" s="59" t="str">
        <f>IFERROR(VLOOKUP($A77,Admission!$1:$998,3,0),"")</f>
        <v/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1:21" ht="15.75" customHeight="1" x14ac:dyDescent="0.15">
      <c r="A78" s="58"/>
      <c r="B78" s="59" t="str">
        <f>IFERROR(VLOOKUP($A78,Admission!$1:$998,4,0),"")</f>
        <v/>
      </c>
      <c r="C78" s="59" t="str">
        <f>IFERROR(VLOOKUP($A78,Admission!$1:$998,5,0),"")</f>
        <v/>
      </c>
      <c r="D78" s="59"/>
      <c r="E78" s="59" t="str">
        <f>IFERROR(VLOOKUP($A78,Admission!$1:$998,3,0),"")</f>
        <v/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1:21" ht="15.75" customHeight="1" x14ac:dyDescent="0.15">
      <c r="A79" s="58"/>
      <c r="B79" s="59" t="str">
        <f>IFERROR(VLOOKUP($A79,Admission!$1:$998,4,0),"")</f>
        <v/>
      </c>
      <c r="C79" s="59" t="str">
        <f>IFERROR(VLOOKUP($A79,Admission!$1:$998,5,0),"")</f>
        <v/>
      </c>
      <c r="D79" s="59"/>
      <c r="E79" s="59" t="str">
        <f>IFERROR(VLOOKUP($A79,Admission!$1:$998,3,0),"")</f>
        <v/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1:21" ht="15.75" customHeight="1" x14ac:dyDescent="0.15">
      <c r="A80" s="58"/>
      <c r="B80" s="59" t="str">
        <f>IFERROR(VLOOKUP($A80,Admission!$1:$998,4,0),"")</f>
        <v/>
      </c>
      <c r="C80" s="59" t="str">
        <f>IFERROR(VLOOKUP($A80,Admission!$1:$998,5,0),"")</f>
        <v/>
      </c>
      <c r="D80" s="59"/>
      <c r="E80" s="59" t="str">
        <f>IFERROR(VLOOKUP($A80,Admission!$1:$998,3,0),"")</f>
        <v/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1:21" ht="15.75" customHeight="1" x14ac:dyDescent="0.15">
      <c r="A81" s="58"/>
      <c r="B81" s="59" t="str">
        <f>IFERROR(VLOOKUP($A81,Admission!$1:$998,4,0),"")</f>
        <v/>
      </c>
      <c r="C81" s="59" t="str">
        <f>IFERROR(VLOOKUP($A81,Admission!$1:$998,5,0),"")</f>
        <v/>
      </c>
      <c r="D81" s="59"/>
      <c r="E81" s="59" t="str">
        <f>IFERROR(VLOOKUP($A81,Admission!$1:$998,3,0),"")</f>
        <v/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1:21" ht="15.75" customHeight="1" x14ac:dyDescent="0.15">
      <c r="A82" s="58"/>
      <c r="B82" s="59" t="str">
        <f>IFERROR(VLOOKUP($A82,Admission!$1:$998,4,0),"")</f>
        <v/>
      </c>
      <c r="C82" s="59" t="str">
        <f>IFERROR(VLOOKUP($A82,Admission!$1:$998,5,0),"")</f>
        <v/>
      </c>
      <c r="D82" s="59"/>
      <c r="E82" s="59" t="str">
        <f>IFERROR(VLOOKUP($A82,Admission!$1:$998,3,0),"")</f>
        <v/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1:21" ht="15.75" customHeight="1" x14ac:dyDescent="0.15">
      <c r="A83" s="58"/>
      <c r="B83" s="59" t="str">
        <f>IFERROR(VLOOKUP($A83,Admission!$1:$998,4,0),"")</f>
        <v/>
      </c>
      <c r="C83" s="59" t="str">
        <f>IFERROR(VLOOKUP($A83,Admission!$1:$998,5,0),"")</f>
        <v/>
      </c>
      <c r="D83" s="59"/>
      <c r="E83" s="59" t="str">
        <f>IFERROR(VLOOKUP($A83,Admission!$1:$998,3,0),"")</f>
        <v/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1:21" ht="15.75" customHeight="1" x14ac:dyDescent="0.15">
      <c r="A84" s="58"/>
      <c r="B84" s="59" t="str">
        <f>IFERROR(VLOOKUP($A84,Admission!$1:$998,4,0),"")</f>
        <v/>
      </c>
      <c r="C84" s="59" t="str">
        <f>IFERROR(VLOOKUP($A84,Admission!$1:$998,5,0),"")</f>
        <v/>
      </c>
      <c r="D84" s="59"/>
      <c r="E84" s="59" t="str">
        <f>IFERROR(VLOOKUP($A84,Admission!$1:$998,3,0),"")</f>
        <v/>
      </c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1:21" ht="15.75" customHeight="1" x14ac:dyDescent="0.15">
      <c r="A85" s="58"/>
      <c r="B85" s="59" t="str">
        <f>IFERROR(VLOOKUP($A85,Admission!$1:$998,4,0),"")</f>
        <v/>
      </c>
      <c r="C85" s="59" t="str">
        <f>IFERROR(VLOOKUP($A85,Admission!$1:$998,5,0),"")</f>
        <v/>
      </c>
      <c r="D85" s="59"/>
      <c r="E85" s="59" t="str">
        <f>IFERROR(VLOOKUP($A85,Admission!$1:$998,3,0),"")</f>
        <v/>
      </c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1:21" ht="15.75" customHeight="1" x14ac:dyDescent="0.15">
      <c r="A86" s="58"/>
      <c r="B86" s="59" t="str">
        <f>IFERROR(VLOOKUP($A86,Admission!$1:$998,4,0),"")</f>
        <v/>
      </c>
      <c r="C86" s="59" t="str">
        <f>IFERROR(VLOOKUP($A86,Admission!$1:$998,5,0),"")</f>
        <v/>
      </c>
      <c r="D86" s="59"/>
      <c r="E86" s="59" t="str">
        <f>IFERROR(VLOOKUP($A86,Admission!$1:$998,3,0),"")</f>
        <v/>
      </c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1:21" ht="15.75" customHeight="1" x14ac:dyDescent="0.15">
      <c r="A87" s="58"/>
      <c r="B87" s="59" t="str">
        <f>IFERROR(VLOOKUP($A87,Admission!$1:$998,4,0),"")</f>
        <v/>
      </c>
      <c r="C87" s="59" t="str">
        <f>IFERROR(VLOOKUP($A87,Admission!$1:$998,5,0),"")</f>
        <v/>
      </c>
      <c r="D87" s="59"/>
      <c r="E87" s="59" t="str">
        <f>IFERROR(VLOOKUP($A87,Admission!$1:$998,3,0),"")</f>
        <v/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1:21" ht="15.75" customHeight="1" x14ac:dyDescent="0.15">
      <c r="A88" s="58"/>
      <c r="B88" s="59" t="str">
        <f>IFERROR(VLOOKUP($A88,Admission!$1:$998,4,0),"")</f>
        <v/>
      </c>
      <c r="C88" s="59" t="str">
        <f>IFERROR(VLOOKUP($A88,Admission!$1:$998,5,0),"")</f>
        <v/>
      </c>
      <c r="D88" s="59"/>
      <c r="E88" s="59" t="str">
        <f>IFERROR(VLOOKUP($A88,Admission!$1:$998,3,0),"")</f>
        <v/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1:21" ht="15.75" customHeight="1" x14ac:dyDescent="0.15">
      <c r="A89" s="58"/>
      <c r="B89" s="59" t="str">
        <f>IFERROR(VLOOKUP($A89,Admission!$1:$998,4,0),"")</f>
        <v/>
      </c>
      <c r="C89" s="59" t="str">
        <f>IFERROR(VLOOKUP($A89,Admission!$1:$998,5,0),"")</f>
        <v/>
      </c>
      <c r="D89" s="59"/>
      <c r="E89" s="59" t="str">
        <f>IFERROR(VLOOKUP($A89,Admission!$1:$998,3,0),"")</f>
        <v/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1:21" ht="15.75" customHeight="1" x14ac:dyDescent="0.15">
      <c r="A90" s="58"/>
      <c r="B90" s="59" t="str">
        <f>IFERROR(VLOOKUP($A90,Admission!$1:$998,4,0),"")</f>
        <v/>
      </c>
      <c r="C90" s="59" t="str">
        <f>IFERROR(VLOOKUP($A90,Admission!$1:$998,5,0),"")</f>
        <v/>
      </c>
      <c r="D90" s="59"/>
      <c r="E90" s="59" t="str">
        <f>IFERROR(VLOOKUP($A90,Admission!$1:$998,3,0),"")</f>
        <v/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1:21" ht="13" x14ac:dyDescent="0.15">
      <c r="A91" s="58"/>
      <c r="B91" s="59" t="str">
        <f>IFERROR(VLOOKUP($A91,Admission!$1:$998,4,0),"")</f>
        <v/>
      </c>
      <c r="C91" s="59" t="str">
        <f>IFERROR(VLOOKUP($A91,Admission!$1:$998,5,0),"")</f>
        <v/>
      </c>
      <c r="D91" s="59"/>
      <c r="E91" s="59" t="str">
        <f>IFERROR(VLOOKUP($A91,Admission!$1:$998,3,0),"")</f>
        <v/>
      </c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1:21" ht="13" x14ac:dyDescent="0.15">
      <c r="A92" s="58"/>
      <c r="B92" s="59" t="str">
        <f>IFERROR(VLOOKUP($A92,Admission!$1:$998,4,0),"")</f>
        <v/>
      </c>
      <c r="C92" s="59" t="str">
        <f>IFERROR(VLOOKUP($A92,Admission!$1:$998,5,0),"")</f>
        <v/>
      </c>
      <c r="D92" s="59"/>
      <c r="E92" s="59" t="str">
        <f>IFERROR(VLOOKUP($A92,Admission!$1:$998,3,0),"")</f>
        <v/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1:21" ht="13" x14ac:dyDescent="0.15">
      <c r="A93" s="58"/>
      <c r="B93" s="59" t="str">
        <f>IFERROR(VLOOKUP($A93,Admission!$1:$998,4,0),"")</f>
        <v/>
      </c>
      <c r="C93" s="59" t="str">
        <f>IFERROR(VLOOKUP($A93,Admission!$1:$998,5,0),"")</f>
        <v/>
      </c>
      <c r="D93" s="59"/>
      <c r="E93" s="59" t="str">
        <f>IFERROR(VLOOKUP($A93,Admission!$1:$998,3,0),"")</f>
        <v/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1:21" ht="13" x14ac:dyDescent="0.15">
      <c r="A94" s="58"/>
      <c r="B94" s="59" t="str">
        <f>IFERROR(VLOOKUP($A94,Admission!$1:$998,4,0),"")</f>
        <v/>
      </c>
      <c r="C94" s="59" t="str">
        <f>IFERROR(VLOOKUP($A94,Admission!$1:$998,5,0),"")</f>
        <v/>
      </c>
      <c r="D94" s="59"/>
      <c r="E94" s="59" t="str">
        <f>IFERROR(VLOOKUP($A94,Admission!$1:$998,3,0),"")</f>
        <v/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1:21" ht="13" x14ac:dyDescent="0.15">
      <c r="A95" s="58"/>
      <c r="B95" s="59" t="str">
        <f>IFERROR(VLOOKUP($A95,Admission!$1:$998,4,0),"")</f>
        <v/>
      </c>
      <c r="C95" s="59" t="str">
        <f>IFERROR(VLOOKUP($A95,Admission!$1:$998,5,0),"")</f>
        <v/>
      </c>
      <c r="D95" s="59"/>
      <c r="E95" s="59" t="str">
        <f>IFERROR(VLOOKUP($A95,Admission!$1:$998,3,0),"")</f>
        <v/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1:21" ht="13" x14ac:dyDescent="0.15">
      <c r="A96" s="58"/>
      <c r="B96" s="59" t="str">
        <f>IFERROR(VLOOKUP($A96,Admission!$1:$998,4,0),"")</f>
        <v/>
      </c>
      <c r="C96" s="59" t="str">
        <f>IFERROR(VLOOKUP($A96,Admission!$1:$998,5,0),"")</f>
        <v/>
      </c>
      <c r="D96" s="59"/>
      <c r="E96" s="59" t="str">
        <f>IFERROR(VLOOKUP($A96,Admission!$1:$998,3,0),"")</f>
        <v/>
      </c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1:21" ht="13" x14ac:dyDescent="0.15">
      <c r="A97" s="58"/>
      <c r="B97" s="59" t="str">
        <f>IFERROR(VLOOKUP($A97,Admission!$1:$998,4,0),"")</f>
        <v/>
      </c>
      <c r="C97" s="59" t="str">
        <f>IFERROR(VLOOKUP($A97,Admission!$1:$998,5,0),"")</f>
        <v/>
      </c>
      <c r="D97" s="59"/>
      <c r="E97" s="59" t="str">
        <f>IFERROR(VLOOKUP($A97,Admission!$1:$998,3,0),"")</f>
        <v/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1:21" ht="13" x14ac:dyDescent="0.15">
      <c r="A98" s="58"/>
      <c r="B98" s="59" t="str">
        <f>IFERROR(VLOOKUP($A98,Admission!$1:$998,4,0),"")</f>
        <v/>
      </c>
      <c r="C98" s="59" t="str">
        <f>IFERROR(VLOOKUP($A98,Admission!$1:$998,5,0),"")</f>
        <v/>
      </c>
      <c r="D98" s="59"/>
      <c r="E98" s="59" t="str">
        <f>IFERROR(VLOOKUP($A98,Admission!$1:$998,3,0),"")</f>
        <v/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1:21" ht="13" x14ac:dyDescent="0.15">
      <c r="A99" s="58"/>
      <c r="B99" s="59" t="str">
        <f>IFERROR(VLOOKUP($A99,Admission!$1:$998,4,0),"")</f>
        <v/>
      </c>
      <c r="C99" s="59" t="str">
        <f>IFERROR(VLOOKUP($A99,Admission!$1:$998,5,0),"")</f>
        <v/>
      </c>
      <c r="D99" s="59"/>
      <c r="E99" s="59" t="str">
        <f>IFERROR(VLOOKUP($A99,Admission!$1:$998,3,0),"")</f>
        <v/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1:21" ht="13" x14ac:dyDescent="0.15">
      <c r="A100" s="58"/>
      <c r="B100" s="59" t="str">
        <f>IFERROR(VLOOKUP($A100,Admission!$1:$998,4,0),"")</f>
        <v/>
      </c>
      <c r="C100" s="59" t="str">
        <f>IFERROR(VLOOKUP($A100,Admission!$1:$998,5,0),"")</f>
        <v/>
      </c>
      <c r="D100" s="59"/>
      <c r="E100" s="59" t="str">
        <f>IFERROR(VLOOKUP($A100,Admission!$1:$998,3,0),"")</f>
        <v/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1:21" ht="13" x14ac:dyDescent="0.15">
      <c r="A101" s="58"/>
      <c r="B101" s="59" t="str">
        <f>IFERROR(VLOOKUP($A101,Admission!$1:$998,4,0),"")</f>
        <v/>
      </c>
      <c r="C101" s="59" t="str">
        <f>IFERROR(VLOOKUP($A101,Admission!$1:$998,5,0),"")</f>
        <v/>
      </c>
      <c r="D101" s="59"/>
      <c r="E101" s="59" t="str">
        <f>IFERROR(VLOOKUP($A101,Admission!$1:$998,3,0),"")</f>
        <v/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1:21" ht="13" x14ac:dyDescent="0.15">
      <c r="A102" s="58"/>
      <c r="B102" s="59" t="str">
        <f>IFERROR(VLOOKUP($A102,Admission!$1:$998,4,0),"")</f>
        <v/>
      </c>
      <c r="C102" s="59" t="str">
        <f>IFERROR(VLOOKUP($A102,Admission!$1:$998,5,0),"")</f>
        <v/>
      </c>
      <c r="D102" s="59"/>
      <c r="E102" s="59" t="str">
        <f>IFERROR(VLOOKUP($A102,Admission!$1:$998,3,0),"")</f>
        <v/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1:21" ht="13" x14ac:dyDescent="0.15">
      <c r="A103" s="58"/>
      <c r="B103" s="59" t="str">
        <f>IFERROR(VLOOKUP($A103,Admission!$1:$998,4,0),"")</f>
        <v/>
      </c>
      <c r="C103" s="59" t="str">
        <f>IFERROR(VLOOKUP($A103,Admission!$1:$998,5,0),"")</f>
        <v/>
      </c>
      <c r="D103" s="59"/>
      <c r="E103" s="59" t="str">
        <f>IFERROR(VLOOKUP($A103,Admission!$1:$998,3,0),"")</f>
        <v/>
      </c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1:21" ht="13" x14ac:dyDescent="0.15">
      <c r="A104" s="58"/>
      <c r="B104" s="59" t="str">
        <f>IFERROR(VLOOKUP($A104,Admission!$1:$998,4,0),"")</f>
        <v/>
      </c>
      <c r="C104" s="59" t="str">
        <f>IFERROR(VLOOKUP($A104,Admission!$1:$998,5,0),"")</f>
        <v/>
      </c>
      <c r="D104" s="59"/>
      <c r="E104" s="59" t="str">
        <f>IFERROR(VLOOKUP($A104,Admission!$1:$998,3,0),"")</f>
        <v/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1:21" ht="13" x14ac:dyDescent="0.15">
      <c r="A105" s="58"/>
      <c r="B105" s="59" t="str">
        <f>IFERROR(VLOOKUP($A105,Admission!$1:$998,4,0),"")</f>
        <v/>
      </c>
      <c r="C105" s="59" t="str">
        <f>IFERROR(VLOOKUP($A105,Admission!$1:$998,5,0),"")</f>
        <v/>
      </c>
      <c r="D105" s="59"/>
      <c r="E105" s="59" t="str">
        <f>IFERROR(VLOOKUP($A105,Admission!$1:$998,3,0),"")</f>
        <v/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1:21" ht="13" x14ac:dyDescent="0.15">
      <c r="A106" s="58"/>
      <c r="B106" s="59" t="str">
        <f>IFERROR(VLOOKUP($A106,Admission!$1:$998,4,0),"")</f>
        <v/>
      </c>
      <c r="C106" s="59" t="str">
        <f>IFERROR(VLOOKUP($A106,Admission!$1:$998,5,0),"")</f>
        <v/>
      </c>
      <c r="D106" s="59"/>
      <c r="E106" s="59" t="str">
        <f>IFERROR(VLOOKUP($A106,Admission!$1:$998,3,0),"")</f>
        <v/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1:21" ht="13" x14ac:dyDescent="0.15">
      <c r="A107" s="58"/>
      <c r="B107" s="59" t="str">
        <f>IFERROR(VLOOKUP($A107,Admission!$1:$998,4,0),"")</f>
        <v/>
      </c>
      <c r="C107" s="59" t="str">
        <f>IFERROR(VLOOKUP($A107,Admission!$1:$998,5,0),"")</f>
        <v/>
      </c>
      <c r="D107" s="59"/>
      <c r="E107" s="59" t="str">
        <f>IFERROR(VLOOKUP($A107,Admission!$1:$998,3,0),"")</f>
        <v/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 ht="13" x14ac:dyDescent="0.15">
      <c r="A108" s="58"/>
      <c r="B108" s="59" t="str">
        <f>IFERROR(VLOOKUP($A108,Admission!$1:$998,4,0),"")</f>
        <v/>
      </c>
      <c r="C108" s="59" t="str">
        <f>IFERROR(VLOOKUP($A108,Admission!$1:$998,5,0),"")</f>
        <v/>
      </c>
      <c r="D108" s="59"/>
      <c r="E108" s="59" t="str">
        <f>IFERROR(VLOOKUP($A108,Admission!$1:$998,3,0),"")</f>
        <v/>
      </c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1:21" ht="13" x14ac:dyDescent="0.15">
      <c r="A109" s="58"/>
      <c r="B109" s="59" t="str">
        <f>IFERROR(VLOOKUP($A109,Admission!$1:$998,4,0),"")</f>
        <v/>
      </c>
      <c r="C109" s="59" t="str">
        <f>IFERROR(VLOOKUP($A109,Admission!$1:$998,5,0),"")</f>
        <v/>
      </c>
      <c r="D109" s="59"/>
      <c r="E109" s="59" t="str">
        <f>IFERROR(VLOOKUP($A109,Admission!$1:$998,3,0),"")</f>
        <v/>
      </c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1:21" ht="13" x14ac:dyDescent="0.15">
      <c r="A110" s="58"/>
      <c r="B110" s="59" t="str">
        <f>IFERROR(VLOOKUP($A110,Admission!$1:$998,4,0),"")</f>
        <v/>
      </c>
      <c r="C110" s="59" t="str">
        <f>IFERROR(VLOOKUP($A110,Admission!$1:$998,5,0),"")</f>
        <v/>
      </c>
      <c r="D110" s="59"/>
      <c r="E110" s="59" t="str">
        <f>IFERROR(VLOOKUP($A110,Admission!$1:$998,3,0),"")</f>
        <v/>
      </c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ht="13" x14ac:dyDescent="0.15">
      <c r="A111" s="58"/>
      <c r="B111" s="59" t="str">
        <f>IFERROR(VLOOKUP($A111,Admission!$1:$998,4,0),"")</f>
        <v/>
      </c>
      <c r="C111" s="59" t="str">
        <f>IFERROR(VLOOKUP($A111,Admission!$1:$998,5,0),"")</f>
        <v/>
      </c>
      <c r="D111" s="59"/>
      <c r="E111" s="59" t="str">
        <f>IFERROR(VLOOKUP($A111,Admission!$1:$998,3,0),"")</f>
        <v/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1:21" ht="13" x14ac:dyDescent="0.15">
      <c r="A112" s="58"/>
      <c r="B112" s="59" t="str">
        <f>IFERROR(VLOOKUP($A112,Admission!$1:$998,4,0),"")</f>
        <v/>
      </c>
      <c r="C112" s="59" t="str">
        <f>IFERROR(VLOOKUP($A112,Admission!$1:$998,5,0),"")</f>
        <v/>
      </c>
      <c r="D112" s="59"/>
      <c r="E112" s="59" t="str">
        <f>IFERROR(VLOOKUP($A112,Admission!$1:$998,3,0),"")</f>
        <v/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1:21" ht="13" x14ac:dyDescent="0.15">
      <c r="A113" s="58"/>
      <c r="B113" s="59" t="str">
        <f>IFERROR(VLOOKUP($A113,Admission!$1:$998,4,0),"")</f>
        <v/>
      </c>
      <c r="C113" s="59" t="str">
        <f>IFERROR(VLOOKUP($A113,Admission!$1:$998,5,0),"")</f>
        <v/>
      </c>
      <c r="D113" s="59"/>
      <c r="E113" s="59" t="str">
        <f>IFERROR(VLOOKUP($A113,Admission!$1:$998,3,0),"")</f>
        <v/>
      </c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1:21" ht="13" x14ac:dyDescent="0.15">
      <c r="A114" s="58"/>
      <c r="B114" s="59" t="str">
        <f>IFERROR(VLOOKUP($A114,Admission!$1:$998,4,0),"")</f>
        <v/>
      </c>
      <c r="C114" s="59" t="str">
        <f>IFERROR(VLOOKUP($A114,Admission!$1:$998,5,0),"")</f>
        <v/>
      </c>
      <c r="D114" s="59"/>
      <c r="E114" s="59" t="str">
        <f>IFERROR(VLOOKUP($A114,Admission!$1:$998,3,0),"")</f>
        <v/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1:21" ht="13" x14ac:dyDescent="0.15">
      <c r="A115" s="58"/>
      <c r="B115" s="59" t="str">
        <f>IFERROR(VLOOKUP($A115,Admission!$1:$998,4,0),"")</f>
        <v/>
      </c>
      <c r="C115" s="59" t="str">
        <f>IFERROR(VLOOKUP($A115,Admission!$1:$998,5,0),"")</f>
        <v/>
      </c>
      <c r="D115" s="59"/>
      <c r="E115" s="59" t="str">
        <f>IFERROR(VLOOKUP($A115,Admission!$1:$998,3,0),"")</f>
        <v/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1:21" ht="13" x14ac:dyDescent="0.15">
      <c r="A116" s="58"/>
      <c r="B116" s="59" t="str">
        <f>IFERROR(VLOOKUP($A116,Admission!$1:$998,4,0),"")</f>
        <v/>
      </c>
      <c r="C116" s="59" t="str">
        <f>IFERROR(VLOOKUP($A116,Admission!$1:$998,5,0),"")</f>
        <v/>
      </c>
      <c r="D116" s="59"/>
      <c r="E116" s="59" t="str">
        <f>IFERROR(VLOOKUP($A116,Admission!$1:$998,3,0),"")</f>
        <v/>
      </c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1:21" ht="13" x14ac:dyDescent="0.15">
      <c r="A117" s="58"/>
      <c r="B117" s="59" t="str">
        <f>IFERROR(VLOOKUP($A117,Admission!$1:$998,4,0),"")</f>
        <v/>
      </c>
      <c r="C117" s="59" t="str">
        <f>IFERROR(VLOOKUP($A117,Admission!$1:$998,5,0),"")</f>
        <v/>
      </c>
      <c r="D117" s="59"/>
      <c r="E117" s="59" t="str">
        <f>IFERROR(VLOOKUP($A117,Admission!$1:$998,3,0),"")</f>
        <v/>
      </c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1:21" ht="13" x14ac:dyDescent="0.15">
      <c r="A118" s="58"/>
      <c r="B118" s="59" t="str">
        <f>IFERROR(VLOOKUP($A118,Admission!$1:$998,4,0),"")</f>
        <v/>
      </c>
      <c r="C118" s="59" t="str">
        <f>IFERROR(VLOOKUP($A118,Admission!$1:$998,5,0),"")</f>
        <v/>
      </c>
      <c r="D118" s="59"/>
      <c r="E118" s="59" t="str">
        <f>IFERROR(VLOOKUP($A118,Admission!$1:$998,3,0),"")</f>
        <v/>
      </c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1:21" ht="13" x14ac:dyDescent="0.15">
      <c r="A119" s="58"/>
      <c r="B119" s="59" t="str">
        <f>IFERROR(VLOOKUP($A119,Admission!$1:$998,4,0),"")</f>
        <v/>
      </c>
      <c r="C119" s="59" t="str">
        <f>IFERROR(VLOOKUP($A119,Admission!$1:$998,5,0),"")</f>
        <v/>
      </c>
      <c r="D119" s="59"/>
      <c r="E119" s="59" t="str">
        <f>IFERROR(VLOOKUP($A119,Admission!$1:$998,3,0),"")</f>
        <v/>
      </c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1:21" ht="13" x14ac:dyDescent="0.15">
      <c r="A120" s="58"/>
      <c r="B120" s="59" t="str">
        <f>IFERROR(VLOOKUP($A120,Admission!$1:$998,4,0),"")</f>
        <v/>
      </c>
      <c r="C120" s="59" t="str">
        <f>IFERROR(VLOOKUP($A120,Admission!$1:$998,5,0),"")</f>
        <v/>
      </c>
      <c r="D120" s="59"/>
      <c r="E120" s="59" t="str">
        <f>IFERROR(VLOOKUP($A120,Admission!$1:$998,3,0),"")</f>
        <v/>
      </c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1:21" ht="13" x14ac:dyDescent="0.15">
      <c r="A121" s="62"/>
      <c r="B121" s="59" t="str">
        <f>IFERROR(VLOOKUP($A121,Admission!$1:$998,4,0),"")</f>
        <v/>
      </c>
      <c r="C121" s="59" t="str">
        <f>IFERROR(VLOOKUP($A121,Admission!$1:$998,5,0),"")</f>
        <v/>
      </c>
      <c r="D121" s="59"/>
      <c r="E121" s="59" t="str">
        <f>IFERROR(VLOOKUP($A121,Admission!$1:$998,3,0),"")</f>
        <v/>
      </c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1:21" ht="13" x14ac:dyDescent="0.15">
      <c r="A122" s="62"/>
      <c r="B122" s="59" t="str">
        <f>IFERROR(VLOOKUP($A122,Admission!$1:$998,4,0),"")</f>
        <v/>
      </c>
      <c r="C122" s="59" t="str">
        <f>IFERROR(VLOOKUP($A122,Admission!$1:$998,5,0),"")</f>
        <v/>
      </c>
      <c r="D122" s="59"/>
      <c r="E122" s="59" t="str">
        <f>IFERROR(VLOOKUP($A122,Admission!$1:$998,3,0),"")</f>
        <v/>
      </c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1:21" ht="13" x14ac:dyDescent="0.15">
      <c r="A123" s="62"/>
      <c r="B123" s="59" t="str">
        <f>IFERROR(VLOOKUP($A123,Admission!$1:$998,4,0),"")</f>
        <v/>
      </c>
      <c r="C123" s="59" t="str">
        <f>IFERROR(VLOOKUP($A123,Admission!$1:$998,5,0),"")</f>
        <v/>
      </c>
      <c r="D123" s="59"/>
      <c r="E123" s="59" t="str">
        <f>IFERROR(VLOOKUP($A123,Admission!$1:$998,3,0),"")</f>
        <v/>
      </c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1:21" ht="13" x14ac:dyDescent="0.15">
      <c r="A124" s="62"/>
      <c r="B124" s="59" t="str">
        <f>IFERROR(VLOOKUP($A124,Admission!$1:$998,4,0),"")</f>
        <v/>
      </c>
      <c r="C124" s="59" t="str">
        <f>IFERROR(VLOOKUP($A124,Admission!$1:$998,5,0),"")</f>
        <v/>
      </c>
      <c r="D124" s="59"/>
      <c r="E124" s="59" t="str">
        <f>IFERROR(VLOOKUP($A124,Admission!$1:$998,3,0),"")</f>
        <v/>
      </c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1:21" ht="13" x14ac:dyDescent="0.15">
      <c r="A125" s="62"/>
      <c r="B125" s="59" t="str">
        <f>IFERROR(VLOOKUP($A125,Admission!$1:$998,4,0),"")</f>
        <v/>
      </c>
      <c r="C125" s="59" t="str">
        <f>IFERROR(VLOOKUP($A125,Admission!$1:$998,5,0),"")</f>
        <v/>
      </c>
      <c r="D125" s="59"/>
      <c r="E125" s="59" t="str">
        <f>IFERROR(VLOOKUP($A125,Admission!$1:$998,3,0),"")</f>
        <v/>
      </c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1:21" ht="13" x14ac:dyDescent="0.15">
      <c r="A126" s="62"/>
      <c r="B126" s="59" t="str">
        <f>IFERROR(VLOOKUP($A126,Admission!$1:$998,4,0),"")</f>
        <v/>
      </c>
      <c r="C126" s="59" t="str">
        <f>IFERROR(VLOOKUP($A126,Admission!$1:$998,5,0),"")</f>
        <v/>
      </c>
      <c r="D126" s="59"/>
      <c r="E126" s="59" t="str">
        <f>IFERROR(VLOOKUP($A126,Admission!$1:$998,3,0),"")</f>
        <v/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1:21" ht="13" x14ac:dyDescent="0.15">
      <c r="A127" s="62"/>
      <c r="B127" s="59" t="str">
        <f>IFERROR(VLOOKUP($A127,Admission!$1:$998,4,0),"")</f>
        <v/>
      </c>
      <c r="C127" s="59" t="str">
        <f>IFERROR(VLOOKUP($A127,Admission!$1:$998,5,0),"")</f>
        <v/>
      </c>
      <c r="D127" s="59"/>
      <c r="E127" s="59" t="str">
        <f>IFERROR(VLOOKUP($A127,Admission!$1:$998,3,0),"")</f>
        <v/>
      </c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1:21" ht="13" x14ac:dyDescent="0.15">
      <c r="A128" s="62"/>
      <c r="B128" s="59" t="str">
        <f>IFERROR(VLOOKUP($A128,Admission!$1:$998,4,0),"")</f>
        <v/>
      </c>
      <c r="C128" s="59" t="str">
        <f>IFERROR(VLOOKUP($A128,Admission!$1:$998,5,0),"")</f>
        <v/>
      </c>
      <c r="D128" s="59"/>
      <c r="E128" s="59" t="str">
        <f>IFERROR(VLOOKUP($A128,Admission!$1:$998,3,0),"")</f>
        <v/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1:21" ht="13" x14ac:dyDescent="0.15">
      <c r="A129" s="62"/>
      <c r="B129" s="59" t="str">
        <f>IFERROR(VLOOKUP($A129,Admission!$1:$998,4,0),"")</f>
        <v/>
      </c>
      <c r="C129" s="59" t="str">
        <f>IFERROR(VLOOKUP($A129,Admission!$1:$998,5,0),"")</f>
        <v/>
      </c>
      <c r="D129" s="59"/>
      <c r="E129" s="59" t="str">
        <f>IFERROR(VLOOKUP($A129,Admission!$1:$998,3,0),"")</f>
        <v/>
      </c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1:21" ht="13" x14ac:dyDescent="0.15">
      <c r="A130" s="62"/>
      <c r="B130" s="59" t="str">
        <f>IFERROR(VLOOKUP($A130,Admission!$1:$998,4,0),"")</f>
        <v/>
      </c>
      <c r="C130" s="59" t="str">
        <f>IFERROR(VLOOKUP($A130,Admission!$1:$998,5,0),"")</f>
        <v/>
      </c>
      <c r="D130" s="59"/>
      <c r="E130" s="59" t="str">
        <f>IFERROR(VLOOKUP($A130,Admission!$1:$998,3,0),"")</f>
        <v/>
      </c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1:21" ht="13" x14ac:dyDescent="0.15">
      <c r="A131" s="62"/>
      <c r="B131" s="59" t="str">
        <f>IFERROR(VLOOKUP($A131,Admission!$1:$998,4,0),"")</f>
        <v/>
      </c>
      <c r="C131" s="59" t="str">
        <f>IFERROR(VLOOKUP($A131,Admission!$1:$998,5,0),"")</f>
        <v/>
      </c>
      <c r="D131" s="59"/>
      <c r="E131" s="59" t="str">
        <f>IFERROR(VLOOKUP($A131,Admission!$1:$998,3,0),"")</f>
        <v/>
      </c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1:21" ht="13" x14ac:dyDescent="0.15">
      <c r="A132" s="62"/>
      <c r="B132" s="59" t="str">
        <f>IFERROR(VLOOKUP($A132,Admission!$1:$998,4,0),"")</f>
        <v/>
      </c>
      <c r="C132" s="59" t="str">
        <f>IFERROR(VLOOKUP($A132,Admission!$1:$998,5,0),"")</f>
        <v/>
      </c>
      <c r="D132" s="59"/>
      <c r="E132" s="59" t="str">
        <f>IFERROR(VLOOKUP($A132,Admission!$1:$998,3,0),"")</f>
        <v/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1:21" ht="13" x14ac:dyDescent="0.15">
      <c r="A133" s="62"/>
      <c r="B133" s="59" t="str">
        <f>IFERROR(VLOOKUP($A133,Admission!$1:$998,4,0),"")</f>
        <v/>
      </c>
      <c r="C133" s="59" t="str">
        <f>IFERROR(VLOOKUP($A133,Admission!$1:$998,5,0),"")</f>
        <v/>
      </c>
      <c r="D133" s="59"/>
      <c r="E133" s="59" t="str">
        <f>IFERROR(VLOOKUP($A133,Admission!$1:$998,3,0),"")</f>
        <v/>
      </c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1:21" ht="13" x14ac:dyDescent="0.15">
      <c r="A134" s="62"/>
      <c r="B134" s="59" t="str">
        <f>IFERROR(VLOOKUP($A134,Admission!$1:$998,4,0),"")</f>
        <v/>
      </c>
      <c r="C134" s="59" t="str">
        <f>IFERROR(VLOOKUP($A134,Admission!$1:$998,5,0),"")</f>
        <v/>
      </c>
      <c r="D134" s="59"/>
      <c r="E134" s="59" t="str">
        <f>IFERROR(VLOOKUP($A134,Admission!$1:$998,3,0),"")</f>
        <v/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1:21" ht="13" x14ac:dyDescent="0.15">
      <c r="A135" s="62"/>
      <c r="B135" s="59" t="str">
        <f>IFERROR(VLOOKUP($A135,Admission!$1:$998,4,0),"")</f>
        <v/>
      </c>
      <c r="C135" s="59" t="str">
        <f>IFERROR(VLOOKUP($A135,Admission!$1:$998,5,0),"")</f>
        <v/>
      </c>
      <c r="D135" s="59"/>
      <c r="E135" s="59" t="str">
        <f>IFERROR(VLOOKUP($A135,Admission!$1:$998,3,0),"")</f>
        <v/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1:21" ht="13" x14ac:dyDescent="0.15">
      <c r="A136" s="62"/>
      <c r="B136" s="59" t="str">
        <f>IFERROR(VLOOKUP($A136,Admission!$1:$998,4,0),"")</f>
        <v/>
      </c>
      <c r="C136" s="59" t="str">
        <f>IFERROR(VLOOKUP($A136,Admission!$1:$998,5,0),"")</f>
        <v/>
      </c>
      <c r="D136" s="59"/>
      <c r="E136" s="59" t="str">
        <f>IFERROR(VLOOKUP($A136,Admission!$1:$998,3,0),"")</f>
        <v/>
      </c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1:21" ht="13" x14ac:dyDescent="0.15">
      <c r="A137" s="62"/>
      <c r="B137" s="59" t="str">
        <f>IFERROR(VLOOKUP($A137,Admission!$1:$998,4,0),"")</f>
        <v/>
      </c>
      <c r="C137" s="59" t="str">
        <f>IFERROR(VLOOKUP($A137,Admission!$1:$998,5,0),"")</f>
        <v/>
      </c>
      <c r="D137" s="59"/>
      <c r="E137" s="59" t="str">
        <f>IFERROR(VLOOKUP($A137,Admission!$1:$998,3,0),"")</f>
        <v/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1:21" ht="13" x14ac:dyDescent="0.15">
      <c r="A138" s="62"/>
      <c r="B138" s="59" t="str">
        <f>IFERROR(VLOOKUP($A138,Admission!$1:$998,4,0),"")</f>
        <v/>
      </c>
      <c r="C138" s="59" t="str">
        <f>IFERROR(VLOOKUP($A138,Admission!$1:$998,5,0),"")</f>
        <v/>
      </c>
      <c r="D138" s="59"/>
      <c r="E138" s="59" t="str">
        <f>IFERROR(VLOOKUP($A138,Admission!$1:$998,3,0),"")</f>
        <v/>
      </c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1:21" ht="13" x14ac:dyDescent="0.15">
      <c r="A139" s="62"/>
      <c r="B139" s="59" t="str">
        <f>IFERROR(VLOOKUP($A139,Admission!$1:$998,4,0),"")</f>
        <v/>
      </c>
      <c r="C139" s="59" t="str">
        <f>IFERROR(VLOOKUP($A139,Admission!$1:$998,5,0),"")</f>
        <v/>
      </c>
      <c r="D139" s="59"/>
      <c r="E139" s="59" t="str">
        <f>IFERROR(VLOOKUP($A139,Admission!$1:$998,3,0),"")</f>
        <v/>
      </c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1:21" ht="13" x14ac:dyDescent="0.15">
      <c r="A140" s="62"/>
      <c r="B140" s="59" t="str">
        <f>IFERROR(VLOOKUP($A140,Admission!$1:$998,4,0),"")</f>
        <v/>
      </c>
      <c r="C140" s="59" t="str">
        <f>IFERROR(VLOOKUP($A140,Admission!$1:$998,5,0),"")</f>
        <v/>
      </c>
      <c r="D140" s="59"/>
      <c r="E140" s="59" t="str">
        <f>IFERROR(VLOOKUP($A140,Admission!$1:$998,3,0),"")</f>
        <v/>
      </c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1:21" ht="13" x14ac:dyDescent="0.15">
      <c r="A141" s="62"/>
      <c r="B141" s="59" t="str">
        <f>IFERROR(VLOOKUP($A141,Admission!$1:$998,4,0),"")</f>
        <v/>
      </c>
      <c r="C141" s="59" t="str">
        <f>IFERROR(VLOOKUP($A141,Admission!$1:$998,5,0),"")</f>
        <v/>
      </c>
      <c r="D141" s="59"/>
      <c r="E141" s="59" t="str">
        <f>IFERROR(VLOOKUP($A141,Admission!$1:$998,3,0),"")</f>
        <v/>
      </c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1:21" ht="13" x14ac:dyDescent="0.15">
      <c r="A142" s="62"/>
      <c r="B142" s="59" t="str">
        <f>IFERROR(VLOOKUP($A142,Admission!$1:$998,4,0),"")</f>
        <v/>
      </c>
      <c r="C142" s="59" t="str">
        <f>IFERROR(VLOOKUP($A142,Admission!$1:$998,5,0),"")</f>
        <v/>
      </c>
      <c r="D142" s="59"/>
      <c r="E142" s="59" t="str">
        <f>IFERROR(VLOOKUP($A142,Admission!$1:$998,3,0),"")</f>
        <v/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1:21" ht="13" x14ac:dyDescent="0.15">
      <c r="A143" s="62"/>
      <c r="B143" s="59" t="str">
        <f>IFERROR(VLOOKUP($A143,Admission!$1:$998,4,0),"")</f>
        <v/>
      </c>
      <c r="C143" s="59" t="str">
        <f>IFERROR(VLOOKUP($A143,Admission!$1:$998,5,0),"")</f>
        <v/>
      </c>
      <c r="D143" s="59"/>
      <c r="E143" s="59" t="str">
        <f>IFERROR(VLOOKUP($A143,Admission!$1:$998,3,0),"")</f>
        <v/>
      </c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1:21" ht="13" x14ac:dyDescent="0.15">
      <c r="A144" s="62"/>
      <c r="B144" s="59" t="str">
        <f>IFERROR(VLOOKUP($A144,Admission!$1:$998,4,0),"")</f>
        <v/>
      </c>
      <c r="C144" s="59" t="str">
        <f>IFERROR(VLOOKUP($A144,Admission!$1:$998,5,0),"")</f>
        <v/>
      </c>
      <c r="D144" s="59"/>
      <c r="E144" s="59" t="str">
        <f>IFERROR(VLOOKUP($A144,Admission!$1:$998,3,0),"")</f>
        <v/>
      </c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1:21" ht="13" x14ac:dyDescent="0.15">
      <c r="A145" s="62"/>
      <c r="B145" s="59" t="str">
        <f>IFERROR(VLOOKUP($A145,Admission!$1:$998,4,0),"")</f>
        <v/>
      </c>
      <c r="C145" s="59" t="str">
        <f>IFERROR(VLOOKUP($A145,Admission!$1:$998,5,0),"")</f>
        <v/>
      </c>
      <c r="D145" s="59"/>
      <c r="E145" s="59" t="str">
        <f>IFERROR(VLOOKUP($A145,Admission!$1:$998,3,0),"")</f>
        <v/>
      </c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spans="1:21" ht="13" x14ac:dyDescent="0.15">
      <c r="A146" s="62"/>
      <c r="B146" s="59" t="str">
        <f>IFERROR(VLOOKUP($A146,Admission!$1:$998,4,0),"")</f>
        <v/>
      </c>
      <c r="C146" s="59" t="str">
        <f>IFERROR(VLOOKUP($A146,Admission!$1:$998,5,0),"")</f>
        <v/>
      </c>
      <c r="D146" s="59"/>
      <c r="E146" s="59" t="str">
        <f>IFERROR(VLOOKUP($A146,Admission!$1:$998,3,0),"")</f>
        <v/>
      </c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1:21" ht="13" x14ac:dyDescent="0.15">
      <c r="A147" s="62"/>
      <c r="B147" s="59" t="str">
        <f>IFERROR(VLOOKUP($A147,Admission!$1:$998,4,0),"")</f>
        <v/>
      </c>
      <c r="C147" s="59" t="str">
        <f>IFERROR(VLOOKUP($A147,Admission!$1:$998,5,0),"")</f>
        <v/>
      </c>
      <c r="D147" s="59"/>
      <c r="E147" s="59" t="str">
        <f>IFERROR(VLOOKUP($A147,Admission!$1:$998,3,0),"")</f>
        <v/>
      </c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spans="1:21" ht="13" x14ac:dyDescent="0.15">
      <c r="A148" s="62"/>
      <c r="B148" s="59" t="str">
        <f>IFERROR(VLOOKUP($A148,Admission!$1:$998,4,0),"")</f>
        <v/>
      </c>
      <c r="C148" s="59" t="str">
        <f>IFERROR(VLOOKUP($A148,Admission!$1:$998,5,0),"")</f>
        <v/>
      </c>
      <c r="D148" s="59"/>
      <c r="E148" s="59" t="str">
        <f>IFERROR(VLOOKUP($A148,Admission!$1:$998,3,0),"")</f>
        <v/>
      </c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1:21" ht="13" x14ac:dyDescent="0.15">
      <c r="A149" s="62"/>
      <c r="E149" s="23" t="str">
        <f>IFERROR(VLOOKUP($A149,Admission!150:1145,3,0),"")</f>
        <v/>
      </c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1:21" ht="13" x14ac:dyDescent="0.15">
      <c r="A150" s="62"/>
      <c r="E150" s="23" t="str">
        <f>IFERROR(VLOOKUP($A150,Admission!151:1146,3,0),"")</f>
        <v/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spans="1:21" ht="13" x14ac:dyDescent="0.15">
      <c r="A151" s="62"/>
      <c r="E151" s="23" t="str">
        <f>IFERROR(VLOOKUP($A151,Admission!152:1147,3,0),"")</f>
        <v/>
      </c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 spans="1:21" ht="13" x14ac:dyDescent="0.15">
      <c r="A152" s="62"/>
      <c r="E152" s="23" t="str">
        <f>IFERROR(VLOOKUP($A152,Admission!153:1148,3,0),"")</f>
        <v/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 spans="1:21" ht="13" x14ac:dyDescent="0.15">
      <c r="A153" s="62"/>
      <c r="E153" s="23" t="str">
        <f>IFERROR(VLOOKUP($A153,Admission!154:1149,3,0),"")</f>
        <v/>
      </c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 spans="1:21" ht="13" x14ac:dyDescent="0.15">
      <c r="A154" s="62"/>
      <c r="E154" s="23" t="str">
        <f>IFERROR(VLOOKUP($A154,Admission!155:1150,3,0),"")</f>
        <v/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 spans="1:21" ht="13" x14ac:dyDescent="0.15">
      <c r="A155" s="62"/>
      <c r="E155" s="23" t="str">
        <f>IFERROR(VLOOKUP($A155,Admission!156:1151,3,0),"")</f>
        <v/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 spans="1:21" ht="13" x14ac:dyDescent="0.15">
      <c r="A156" s="62"/>
      <c r="E156" s="23" t="str">
        <f>IFERROR(VLOOKUP($A156,Admission!157:1152,3,0),"")</f>
        <v/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 spans="1:21" ht="13" x14ac:dyDescent="0.15">
      <c r="A157" s="62"/>
      <c r="E157" s="23" t="str">
        <f>IFERROR(VLOOKUP($A157,Admission!158:1153,3,0),"")</f>
        <v/>
      </c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 spans="1:21" ht="13" x14ac:dyDescent="0.15">
      <c r="A158" s="62"/>
      <c r="E158" s="23" t="str">
        <f>IFERROR(VLOOKUP($A158,Admission!159:1154,3,0),"")</f>
        <v/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 spans="1:21" ht="13" x14ac:dyDescent="0.15">
      <c r="A159" s="62"/>
      <c r="E159" s="23" t="str">
        <f>IFERROR(VLOOKUP($A159,Admission!160:1155,3,0),"")</f>
        <v/>
      </c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 spans="1:21" ht="13" x14ac:dyDescent="0.15">
      <c r="A160" s="62"/>
      <c r="E160" s="23" t="str">
        <f>IFERROR(VLOOKUP($A160,Admission!161:1156,3,0),"")</f>
        <v/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</row>
    <row r="161" spans="1:21" ht="13" x14ac:dyDescent="0.15">
      <c r="A161" s="62"/>
      <c r="E161" s="23" t="str">
        <f>IFERROR(VLOOKUP($A161,Admission!162:1157,3,0),"")</f>
        <v/>
      </c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 spans="1:21" ht="13" x14ac:dyDescent="0.15">
      <c r="A162" s="62"/>
      <c r="E162" s="23" t="str">
        <f>IFERROR(VLOOKUP($A162,Admission!163:1158,3,0),"")</f>
        <v/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</row>
    <row r="163" spans="1:21" ht="13" x14ac:dyDescent="0.15">
      <c r="A163" s="62"/>
      <c r="E163" s="23" t="str">
        <f>IFERROR(VLOOKUP($A163,Admission!164:1159,3,0),"")</f>
        <v/>
      </c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 spans="1:21" ht="13" x14ac:dyDescent="0.15">
      <c r="A164" s="62"/>
      <c r="E164" s="23" t="str">
        <f>IFERROR(VLOOKUP($A164,Admission!165:1160,3,0),"")</f>
        <v/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 spans="1:21" ht="13" x14ac:dyDescent="0.15">
      <c r="A165" s="62"/>
      <c r="E165" s="23" t="str">
        <f>IFERROR(VLOOKUP($A165,Admission!166:1161,3,0),"")</f>
        <v/>
      </c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 spans="1:21" ht="13" x14ac:dyDescent="0.15">
      <c r="A166" s="62"/>
      <c r="E166" s="23" t="str">
        <f>IFERROR(VLOOKUP($A166,Admission!167:1162,3,0),"")</f>
        <v/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</row>
    <row r="167" spans="1:21" ht="13" x14ac:dyDescent="0.15">
      <c r="A167" s="62"/>
      <c r="E167" s="23" t="str">
        <f>IFERROR(VLOOKUP($A167,Admission!168:1163,3,0),"")</f>
        <v/>
      </c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</row>
    <row r="168" spans="1:21" ht="13" x14ac:dyDescent="0.15">
      <c r="A168" s="62"/>
      <c r="E168" s="23" t="str">
        <f>IFERROR(VLOOKUP($A168,Admission!169:1164,3,0),"")</f>
        <v/>
      </c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</row>
    <row r="169" spans="1:21" ht="13" x14ac:dyDescent="0.15">
      <c r="A169" s="62"/>
      <c r="E169" s="23" t="str">
        <f>IFERROR(VLOOKUP($A169,Admission!170:1165,3,0),"")</f>
        <v/>
      </c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</row>
    <row r="170" spans="1:21" ht="13" x14ac:dyDescent="0.15">
      <c r="A170" s="62"/>
      <c r="E170" s="23" t="str">
        <f>IFERROR(VLOOKUP($A170,Admission!171:1166,3,0),"")</f>
        <v/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 spans="1:21" ht="13" x14ac:dyDescent="0.15">
      <c r="A171" s="62"/>
      <c r="E171" s="23" t="str">
        <f>IFERROR(VLOOKUP($A171,Admission!172:1167,3,0),"")</f>
        <v/>
      </c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</row>
    <row r="172" spans="1:21" ht="13" x14ac:dyDescent="0.15">
      <c r="A172" s="62"/>
      <c r="E172" s="23" t="str">
        <f>IFERROR(VLOOKUP($A172,Admission!173:1168,3,0),"")</f>
        <v/>
      </c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</row>
    <row r="173" spans="1:21" ht="13" x14ac:dyDescent="0.15">
      <c r="A173" s="62"/>
      <c r="E173" s="23" t="str">
        <f>IFERROR(VLOOKUP($A173,Admission!174:1169,3,0),"")</f>
        <v/>
      </c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</row>
    <row r="174" spans="1:21" ht="13" x14ac:dyDescent="0.15">
      <c r="A174" s="62"/>
      <c r="E174" s="23" t="str">
        <f>IFERROR(VLOOKUP($A174,Admission!175:1170,3,0),"")</f>
        <v/>
      </c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 spans="1:21" ht="13" x14ac:dyDescent="0.15">
      <c r="A175" s="62"/>
      <c r="E175" s="23" t="str">
        <f>IFERROR(VLOOKUP($A175,Admission!176:1171,3,0),"")</f>
        <v/>
      </c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 spans="1:21" ht="13" x14ac:dyDescent="0.15">
      <c r="A176" s="62"/>
      <c r="E176" s="23" t="str">
        <f>IFERROR(VLOOKUP($A176,Admission!177:1172,3,0),"")</f>
        <v/>
      </c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spans="1:21" ht="13" x14ac:dyDescent="0.15">
      <c r="A177" s="62"/>
      <c r="E177" s="23" t="str">
        <f>IFERROR(VLOOKUP($A177,Admission!178:1173,3,0),"")</f>
        <v/>
      </c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spans="1:21" ht="13" x14ac:dyDescent="0.15">
      <c r="A178" s="62"/>
      <c r="E178" s="23" t="str">
        <f>IFERROR(VLOOKUP($A178,Admission!178:1174,3,0),"")</f>
        <v/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</row>
    <row r="179" spans="1:21" ht="13" x14ac:dyDescent="0.15">
      <c r="A179" s="62"/>
      <c r="E179" s="23" t="str">
        <f>IFERROR(VLOOKUP($A179,Admission!178:1175,3,0),"")</f>
        <v/>
      </c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</row>
    <row r="180" spans="1:21" ht="13" x14ac:dyDescent="0.15">
      <c r="A180" s="62"/>
      <c r="E180" s="23" t="str">
        <f>IFERROR(VLOOKUP($A180,Admission!178:1176,3,0),"")</f>
        <v/>
      </c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spans="1:21" ht="13" x14ac:dyDescent="0.15">
      <c r="A181" s="62"/>
      <c r="E181" s="23" t="str">
        <f>IFERROR(VLOOKUP($A181,Admission!178:1177,3,0),"")</f>
        <v/>
      </c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 spans="1:21" ht="13" x14ac:dyDescent="0.15">
      <c r="A182" s="62"/>
      <c r="E182" s="23" t="str">
        <f>IFERROR(VLOOKUP($A182,Admission!179:1178,3,0),"")</f>
        <v/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</row>
    <row r="183" spans="1:21" ht="13" x14ac:dyDescent="0.15">
      <c r="A183" s="62"/>
      <c r="E183" s="23" t="str">
        <f>IFERROR(VLOOKUP($A183,Admission!180:1179,3,0),"")</f>
        <v/>
      </c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</row>
    <row r="184" spans="1:21" ht="13" x14ac:dyDescent="0.15">
      <c r="A184" s="62"/>
      <c r="E184" s="23" t="str">
        <f>IFERROR(VLOOKUP($A184,Admission!181:1180,3,0),"")</f>
        <v/>
      </c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</row>
    <row r="185" spans="1:21" ht="13" x14ac:dyDescent="0.15">
      <c r="A185" s="62"/>
      <c r="E185" s="23" t="str">
        <f>IFERROR(VLOOKUP($A185,Admission!182:1181,3,0),"")</f>
        <v/>
      </c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</row>
    <row r="186" spans="1:21" ht="13" x14ac:dyDescent="0.15">
      <c r="A186" s="62"/>
      <c r="E186" s="23" t="str">
        <f>IFERROR(VLOOKUP($A186,Admission!183:1182,3,0),"")</f>
        <v/>
      </c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</row>
    <row r="187" spans="1:21" ht="13" x14ac:dyDescent="0.15">
      <c r="A187" s="62"/>
      <c r="E187" s="23" t="str">
        <f>IFERROR(VLOOKUP($A187,Admission!184:1183,3,0),"")</f>
        <v/>
      </c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</row>
    <row r="188" spans="1:21" ht="13" x14ac:dyDescent="0.15">
      <c r="A188" s="62"/>
      <c r="E188" s="23" t="str">
        <f>IFERROR(VLOOKUP($A188,Admission!181:1184,3,0),"")</f>
        <v/>
      </c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</row>
    <row r="189" spans="1:21" ht="13" x14ac:dyDescent="0.15">
      <c r="A189" s="62"/>
      <c r="E189" s="23" t="str">
        <f>IFERROR(VLOOKUP($A189,Admission!178:1185,3,0),"")</f>
        <v/>
      </c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</row>
    <row r="190" spans="1:21" ht="13" x14ac:dyDescent="0.15">
      <c r="A190" s="62"/>
      <c r="E190" s="23" t="str">
        <f>IFERROR(VLOOKUP($A190,Admission!179:1186,3,0),"")</f>
        <v/>
      </c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</row>
    <row r="191" spans="1:21" ht="13" x14ac:dyDescent="0.15">
      <c r="A191" s="62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</row>
    <row r="192" spans="1:21" ht="13" x14ac:dyDescent="0.15">
      <c r="A192" s="62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</row>
    <row r="193" spans="1:21" ht="13" x14ac:dyDescent="0.15">
      <c r="A193" s="6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</row>
    <row r="194" spans="1:21" ht="13" x14ac:dyDescent="0.15">
      <c r="A194" s="6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</row>
    <row r="195" spans="1:21" ht="13" x14ac:dyDescent="0.15">
      <c r="A195" s="6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</row>
    <row r="196" spans="1:21" ht="13" x14ac:dyDescent="0.15">
      <c r="A196" s="6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</row>
    <row r="197" spans="1:21" ht="13" x14ac:dyDescent="0.15">
      <c r="A197" s="6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</row>
    <row r="198" spans="1:21" ht="13" x14ac:dyDescent="0.15">
      <c r="A198" s="6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</row>
    <row r="199" spans="1:21" ht="13" x14ac:dyDescent="0.15">
      <c r="A199" s="6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</row>
    <row r="200" spans="1:21" ht="13" x14ac:dyDescent="0.15">
      <c r="A200" s="6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</row>
    <row r="201" spans="1:21" ht="13" x14ac:dyDescent="0.15">
      <c r="A201" s="6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</row>
    <row r="202" spans="1:21" ht="13" x14ac:dyDescent="0.15">
      <c r="A202" s="6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</row>
    <row r="203" spans="1:21" ht="13" x14ac:dyDescent="0.15">
      <c r="A203" s="6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</row>
    <row r="204" spans="1:21" ht="13" x14ac:dyDescent="0.15">
      <c r="A204" s="6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</row>
    <row r="205" spans="1:21" ht="13" x14ac:dyDescent="0.15">
      <c r="A205" s="6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</row>
    <row r="206" spans="1:21" ht="13" x14ac:dyDescent="0.15">
      <c r="A206" s="6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</row>
    <row r="207" spans="1:21" ht="13" x14ac:dyDescent="0.15">
      <c r="A207" s="6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</row>
    <row r="208" spans="1:21" ht="13" x14ac:dyDescent="0.15">
      <c r="A208" s="6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</row>
    <row r="209" spans="1:21" ht="13" x14ac:dyDescent="0.15">
      <c r="A209" s="6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</row>
    <row r="210" spans="1:21" ht="13" x14ac:dyDescent="0.15">
      <c r="A210" s="6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</row>
    <row r="211" spans="1:21" ht="13" x14ac:dyDescent="0.15">
      <c r="A211" s="6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</row>
    <row r="212" spans="1:21" ht="13" x14ac:dyDescent="0.15">
      <c r="A212" s="6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</row>
    <row r="213" spans="1:21" ht="13" x14ac:dyDescent="0.15">
      <c r="A213" s="6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</row>
    <row r="214" spans="1:21" ht="13" x14ac:dyDescent="0.15">
      <c r="A214" s="6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</row>
    <row r="215" spans="1:21" ht="13" x14ac:dyDescent="0.15">
      <c r="A215" s="6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</row>
    <row r="216" spans="1:21" ht="13" x14ac:dyDescent="0.15">
      <c r="A216" s="6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</row>
    <row r="217" spans="1:21" ht="13" x14ac:dyDescent="0.15">
      <c r="A217" s="6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</row>
    <row r="218" spans="1:21" ht="13" x14ac:dyDescent="0.15">
      <c r="A218" s="6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</row>
    <row r="219" spans="1:21" ht="13" x14ac:dyDescent="0.15">
      <c r="A219" s="6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</row>
    <row r="220" spans="1:21" ht="13" x14ac:dyDescent="0.15">
      <c r="A220" s="6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</row>
    <row r="221" spans="1:21" ht="13" x14ac:dyDescent="0.15">
      <c r="A221" s="6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</row>
    <row r="222" spans="1:21" ht="13" x14ac:dyDescent="0.15">
      <c r="A222" s="6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</row>
    <row r="223" spans="1:21" ht="13" x14ac:dyDescent="0.15">
      <c r="A223" s="6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</row>
    <row r="224" spans="1:21" ht="13" x14ac:dyDescent="0.15">
      <c r="A224" s="6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</row>
    <row r="225" spans="1:21" ht="13" x14ac:dyDescent="0.15">
      <c r="A225" s="6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</row>
    <row r="226" spans="1:21" ht="13" x14ac:dyDescent="0.15">
      <c r="A226" s="6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</row>
    <row r="227" spans="1:21" ht="13" x14ac:dyDescent="0.15">
      <c r="A227" s="6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</row>
    <row r="228" spans="1:21" ht="13" x14ac:dyDescent="0.15">
      <c r="A228" s="6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</row>
    <row r="229" spans="1:21" ht="13" x14ac:dyDescent="0.15">
      <c r="A229" s="6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</row>
    <row r="230" spans="1:21" ht="13" x14ac:dyDescent="0.15">
      <c r="A230" s="6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</row>
    <row r="231" spans="1:21" ht="13" x14ac:dyDescent="0.15">
      <c r="A231" s="6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</row>
    <row r="232" spans="1:21" ht="13" x14ac:dyDescent="0.15">
      <c r="A232" s="6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</row>
    <row r="233" spans="1:21" ht="13" x14ac:dyDescent="0.15">
      <c r="A233" s="6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</row>
    <row r="234" spans="1:21" ht="13" x14ac:dyDescent="0.15">
      <c r="A234" s="6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</row>
    <row r="235" spans="1:21" ht="13" x14ac:dyDescent="0.15">
      <c r="A235" s="6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</row>
    <row r="236" spans="1:21" ht="13" x14ac:dyDescent="0.15">
      <c r="A236" s="6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</row>
    <row r="237" spans="1:21" ht="13" x14ac:dyDescent="0.15">
      <c r="A237" s="6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</row>
    <row r="238" spans="1:21" ht="13" x14ac:dyDescent="0.15">
      <c r="A238" s="6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</row>
    <row r="239" spans="1:21" ht="13" x14ac:dyDescent="0.15">
      <c r="A239" s="6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</row>
    <row r="240" spans="1:21" ht="13" x14ac:dyDescent="0.15">
      <c r="A240" s="6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</row>
    <row r="241" spans="1:21" ht="13" x14ac:dyDescent="0.15">
      <c r="A241" s="6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</row>
    <row r="242" spans="1:21" ht="13" x14ac:dyDescent="0.15">
      <c r="A242" s="6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</row>
    <row r="243" spans="1:21" ht="13" x14ac:dyDescent="0.15">
      <c r="A243" s="6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</row>
    <row r="244" spans="1:21" ht="13" x14ac:dyDescent="0.15">
      <c r="A244" s="6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</row>
    <row r="245" spans="1:21" ht="13" x14ac:dyDescent="0.15">
      <c r="A245" s="6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</row>
    <row r="246" spans="1:21" ht="13" x14ac:dyDescent="0.15">
      <c r="A246" s="6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</row>
    <row r="247" spans="1:21" ht="13" x14ac:dyDescent="0.15">
      <c r="A247" s="6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</row>
    <row r="248" spans="1:21" ht="13" x14ac:dyDescent="0.15">
      <c r="A248" s="6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</row>
    <row r="249" spans="1:21" ht="13" x14ac:dyDescent="0.15">
      <c r="A249" s="6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</row>
    <row r="250" spans="1:21" ht="13" x14ac:dyDescent="0.15">
      <c r="A250" s="6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</row>
    <row r="251" spans="1:21" ht="13" x14ac:dyDescent="0.15">
      <c r="A251" s="6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</row>
    <row r="252" spans="1:21" ht="13" x14ac:dyDescent="0.15">
      <c r="A252" s="6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</row>
    <row r="253" spans="1:21" ht="13" x14ac:dyDescent="0.15">
      <c r="A253" s="6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</row>
    <row r="254" spans="1:21" ht="13" x14ac:dyDescent="0.15">
      <c r="A254" s="6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</row>
    <row r="255" spans="1:21" ht="13" x14ac:dyDescent="0.15">
      <c r="A255" s="6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</row>
    <row r="256" spans="1:21" ht="13" x14ac:dyDescent="0.15">
      <c r="A256" s="6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</row>
    <row r="257" spans="1:21" ht="13" x14ac:dyDescent="0.15">
      <c r="A257" s="6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</row>
    <row r="258" spans="1:21" ht="13" x14ac:dyDescent="0.15">
      <c r="A258" s="6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</row>
    <row r="259" spans="1:21" ht="13" x14ac:dyDescent="0.15">
      <c r="A259" s="6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</row>
    <row r="260" spans="1:21" ht="13" x14ac:dyDescent="0.15">
      <c r="A260" s="6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</row>
    <row r="261" spans="1:21" ht="13" x14ac:dyDescent="0.15">
      <c r="A261" s="6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</row>
    <row r="262" spans="1:21" ht="13" x14ac:dyDescent="0.15">
      <c r="A262" s="6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</row>
    <row r="263" spans="1:21" ht="13" x14ac:dyDescent="0.15">
      <c r="A263" s="6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</row>
    <row r="264" spans="1:21" ht="13" x14ac:dyDescent="0.15">
      <c r="A264" s="6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</row>
    <row r="265" spans="1:21" ht="13" x14ac:dyDescent="0.15">
      <c r="A265" s="6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</row>
    <row r="266" spans="1:21" ht="13" x14ac:dyDescent="0.15">
      <c r="A266" s="6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</row>
    <row r="267" spans="1:21" ht="13" x14ac:dyDescent="0.15">
      <c r="A267" s="6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</row>
    <row r="268" spans="1:21" ht="13" x14ac:dyDescent="0.15">
      <c r="A268" s="6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</row>
    <row r="269" spans="1:21" ht="13" x14ac:dyDescent="0.15">
      <c r="A269" s="6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</row>
    <row r="270" spans="1:21" ht="13" x14ac:dyDescent="0.15">
      <c r="A270" s="6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</row>
    <row r="271" spans="1:21" ht="13" x14ac:dyDescent="0.15">
      <c r="A271" s="6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</row>
    <row r="272" spans="1:21" ht="13" x14ac:dyDescent="0.15">
      <c r="A272" s="6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</row>
    <row r="273" spans="1:21" ht="13" x14ac:dyDescent="0.15">
      <c r="A273" s="6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</row>
    <row r="274" spans="1:21" ht="13" x14ac:dyDescent="0.15">
      <c r="A274" s="6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</row>
    <row r="275" spans="1:21" ht="13" x14ac:dyDescent="0.15">
      <c r="A275" s="6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</row>
    <row r="276" spans="1:21" ht="13" x14ac:dyDescent="0.15">
      <c r="A276" s="6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</row>
    <row r="277" spans="1:21" ht="13" x14ac:dyDescent="0.15">
      <c r="A277" s="6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</row>
    <row r="278" spans="1:21" ht="13" x14ac:dyDescent="0.15">
      <c r="A278" s="6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</row>
    <row r="279" spans="1:21" ht="13" x14ac:dyDescent="0.15">
      <c r="A279" s="6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</row>
    <row r="280" spans="1:21" ht="13" x14ac:dyDescent="0.15">
      <c r="A280" s="6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</row>
    <row r="281" spans="1:21" ht="13" x14ac:dyDescent="0.15">
      <c r="A281" s="6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</row>
    <row r="282" spans="1:21" ht="13" x14ac:dyDescent="0.15">
      <c r="A282" s="6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</row>
    <row r="283" spans="1:21" ht="13" x14ac:dyDescent="0.15">
      <c r="A283" s="6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</row>
    <row r="284" spans="1:21" ht="13" x14ac:dyDescent="0.15">
      <c r="A284" s="6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</row>
    <row r="285" spans="1:21" ht="13" x14ac:dyDescent="0.15">
      <c r="A285" s="6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</row>
    <row r="286" spans="1:21" ht="13" x14ac:dyDescent="0.15">
      <c r="A286" s="6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</row>
    <row r="287" spans="1:21" ht="13" x14ac:dyDescent="0.15">
      <c r="A287" s="6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</row>
    <row r="288" spans="1:21" ht="13" x14ac:dyDescent="0.15">
      <c r="A288" s="6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</row>
    <row r="289" spans="1:21" ht="13" x14ac:dyDescent="0.15">
      <c r="A289" s="6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</row>
    <row r="290" spans="1:21" ht="13" x14ac:dyDescent="0.15">
      <c r="A290" s="6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</row>
    <row r="291" spans="1:21" ht="13" x14ac:dyDescent="0.15">
      <c r="A291" s="6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</row>
    <row r="292" spans="1:21" ht="13" x14ac:dyDescent="0.15">
      <c r="A292" s="6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</row>
    <row r="293" spans="1:21" ht="13" x14ac:dyDescent="0.15">
      <c r="A293" s="6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</row>
    <row r="294" spans="1:21" ht="13" x14ac:dyDescent="0.15">
      <c r="A294" s="6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</row>
    <row r="295" spans="1:21" ht="13" x14ac:dyDescent="0.15">
      <c r="A295" s="6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</row>
    <row r="296" spans="1:21" ht="13" x14ac:dyDescent="0.15">
      <c r="A296" s="6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</row>
    <row r="297" spans="1:21" ht="13" x14ac:dyDescent="0.15">
      <c r="A297" s="6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</row>
    <row r="298" spans="1:21" ht="13" x14ac:dyDescent="0.15">
      <c r="A298" s="6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</row>
    <row r="299" spans="1:21" ht="13" x14ac:dyDescent="0.15">
      <c r="A299" s="6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</row>
    <row r="300" spans="1:21" ht="13" x14ac:dyDescent="0.15">
      <c r="A300" s="6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</row>
    <row r="301" spans="1:21" ht="13" x14ac:dyDescent="0.15">
      <c r="A301" s="6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</row>
    <row r="302" spans="1:21" ht="13" x14ac:dyDescent="0.15">
      <c r="A302" s="6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</row>
    <row r="303" spans="1:21" ht="13" x14ac:dyDescent="0.15">
      <c r="A303" s="6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</row>
    <row r="304" spans="1:21" ht="13" x14ac:dyDescent="0.15">
      <c r="A304" s="6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</row>
    <row r="305" spans="1:21" ht="13" x14ac:dyDescent="0.15">
      <c r="A305" s="6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</row>
    <row r="306" spans="1:21" ht="13" x14ac:dyDescent="0.15">
      <c r="A306" s="6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</row>
    <row r="307" spans="1:21" ht="13" x14ac:dyDescent="0.15">
      <c r="A307" s="6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</row>
    <row r="308" spans="1:21" ht="13" x14ac:dyDescent="0.15">
      <c r="A308" s="6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</row>
    <row r="309" spans="1:21" ht="13" x14ac:dyDescent="0.15">
      <c r="A309" s="6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</row>
    <row r="310" spans="1:21" ht="13" x14ac:dyDescent="0.15">
      <c r="A310" s="6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</row>
    <row r="311" spans="1:21" ht="13" x14ac:dyDescent="0.15">
      <c r="A311" s="6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</row>
    <row r="312" spans="1:21" ht="13" x14ac:dyDescent="0.15">
      <c r="A312" s="6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</row>
    <row r="313" spans="1:21" ht="13" x14ac:dyDescent="0.15">
      <c r="A313" s="6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</row>
    <row r="314" spans="1:21" ht="13" x14ac:dyDescent="0.15">
      <c r="A314" s="6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</row>
    <row r="315" spans="1:21" ht="13" x14ac:dyDescent="0.15">
      <c r="A315" s="6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</row>
    <row r="316" spans="1:21" ht="13" x14ac:dyDescent="0.15">
      <c r="A316" s="6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</row>
    <row r="317" spans="1:21" ht="13" x14ac:dyDescent="0.15">
      <c r="A317" s="6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</row>
    <row r="318" spans="1:21" ht="13" x14ac:dyDescent="0.15">
      <c r="A318" s="6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</row>
    <row r="319" spans="1:21" ht="13" x14ac:dyDescent="0.15">
      <c r="A319" s="6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</row>
    <row r="320" spans="1:21" ht="13" x14ac:dyDescent="0.15">
      <c r="A320" s="6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</row>
    <row r="321" spans="1:21" ht="13" x14ac:dyDescent="0.15">
      <c r="A321" s="6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</row>
    <row r="322" spans="1:21" ht="13" x14ac:dyDescent="0.15">
      <c r="A322" s="6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</row>
    <row r="323" spans="1:21" ht="13" x14ac:dyDescent="0.15">
      <c r="A323" s="6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</row>
    <row r="324" spans="1:21" ht="13" x14ac:dyDescent="0.15">
      <c r="A324" s="6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</row>
    <row r="325" spans="1:21" ht="13" x14ac:dyDescent="0.15">
      <c r="A325" s="6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</row>
    <row r="326" spans="1:21" ht="13" x14ac:dyDescent="0.15">
      <c r="A326" s="6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</row>
    <row r="327" spans="1:21" ht="13" x14ac:dyDescent="0.15">
      <c r="A327" s="6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</row>
    <row r="328" spans="1:21" ht="13" x14ac:dyDescent="0.15">
      <c r="A328" s="6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</row>
    <row r="329" spans="1:21" ht="13" x14ac:dyDescent="0.15">
      <c r="A329" s="6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</row>
    <row r="330" spans="1:21" ht="13" x14ac:dyDescent="0.15">
      <c r="A330" s="6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</row>
    <row r="331" spans="1:21" ht="13" x14ac:dyDescent="0.15">
      <c r="A331" s="6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</row>
    <row r="332" spans="1:21" ht="13" x14ac:dyDescent="0.15">
      <c r="A332" s="6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</row>
    <row r="333" spans="1:21" ht="13" x14ac:dyDescent="0.15">
      <c r="A333" s="6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</row>
    <row r="334" spans="1:21" ht="13" x14ac:dyDescent="0.15">
      <c r="A334" s="6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</row>
    <row r="335" spans="1:21" ht="13" x14ac:dyDescent="0.15">
      <c r="A335" s="6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</row>
    <row r="336" spans="1:21" ht="13" x14ac:dyDescent="0.15">
      <c r="A336" s="6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</row>
    <row r="337" spans="1:21" ht="13" x14ac:dyDescent="0.15">
      <c r="A337" s="6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</row>
    <row r="338" spans="1:21" ht="13" x14ac:dyDescent="0.15">
      <c r="A338" s="6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</row>
    <row r="339" spans="1:21" ht="13" x14ac:dyDescent="0.15">
      <c r="A339" s="6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</row>
    <row r="340" spans="1:21" ht="13" x14ac:dyDescent="0.15">
      <c r="A340" s="6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</row>
    <row r="341" spans="1:21" ht="13" x14ac:dyDescent="0.15">
      <c r="A341" s="6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</row>
    <row r="342" spans="1:21" ht="13" x14ac:dyDescent="0.15">
      <c r="A342" s="6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</row>
    <row r="343" spans="1:21" ht="13" x14ac:dyDescent="0.15">
      <c r="A343" s="6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</row>
    <row r="344" spans="1:21" ht="13" x14ac:dyDescent="0.15">
      <c r="A344" s="6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</row>
    <row r="345" spans="1:21" ht="13" x14ac:dyDescent="0.15">
      <c r="A345" s="6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</row>
    <row r="346" spans="1:21" ht="13" x14ac:dyDescent="0.15">
      <c r="A346" s="6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</row>
    <row r="347" spans="1:21" ht="13" x14ac:dyDescent="0.15">
      <c r="A347" s="6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</row>
    <row r="348" spans="1:21" ht="13" x14ac:dyDescent="0.15">
      <c r="A348" s="6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</row>
    <row r="349" spans="1:21" ht="13" x14ac:dyDescent="0.15">
      <c r="A349" s="6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</row>
    <row r="350" spans="1:21" ht="13" x14ac:dyDescent="0.15">
      <c r="A350" s="6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</row>
    <row r="351" spans="1:21" ht="13" x14ac:dyDescent="0.15">
      <c r="A351" s="6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</row>
    <row r="352" spans="1:21" ht="13" x14ac:dyDescent="0.15">
      <c r="A352" s="6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</row>
    <row r="353" spans="1:21" ht="13" x14ac:dyDescent="0.15">
      <c r="A353" s="6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</row>
    <row r="354" spans="1:21" ht="13" x14ac:dyDescent="0.15">
      <c r="A354" s="6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</row>
    <row r="355" spans="1:21" ht="13" x14ac:dyDescent="0.15">
      <c r="A355" s="6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</row>
    <row r="356" spans="1:21" ht="13" x14ac:dyDescent="0.15">
      <c r="A356" s="6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</row>
    <row r="357" spans="1:21" ht="13" x14ac:dyDescent="0.15">
      <c r="A357" s="6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</row>
    <row r="358" spans="1:21" ht="13" x14ac:dyDescent="0.15">
      <c r="A358" s="6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</row>
    <row r="359" spans="1:21" ht="13" x14ac:dyDescent="0.15">
      <c r="A359" s="6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</row>
    <row r="360" spans="1:21" ht="13" x14ac:dyDescent="0.15">
      <c r="A360" s="6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</row>
    <row r="361" spans="1:21" ht="13" x14ac:dyDescent="0.15">
      <c r="A361" s="6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</row>
    <row r="362" spans="1:21" ht="13" x14ac:dyDescent="0.15">
      <c r="A362" s="6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</row>
    <row r="363" spans="1:21" ht="13" x14ac:dyDescent="0.15">
      <c r="A363" s="6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</row>
    <row r="364" spans="1:21" ht="13" x14ac:dyDescent="0.15">
      <c r="A364" s="6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</row>
    <row r="365" spans="1:21" ht="13" x14ac:dyDescent="0.15">
      <c r="A365" s="6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</row>
    <row r="366" spans="1:21" ht="13" x14ac:dyDescent="0.15">
      <c r="A366" s="6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</row>
    <row r="367" spans="1:21" ht="13" x14ac:dyDescent="0.15">
      <c r="A367" s="6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</row>
    <row r="368" spans="1:21" ht="13" x14ac:dyDescent="0.15">
      <c r="A368" s="6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</row>
    <row r="369" spans="1:21" ht="13" x14ac:dyDescent="0.15">
      <c r="A369" s="6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</row>
    <row r="370" spans="1:21" ht="13" x14ac:dyDescent="0.15">
      <c r="A370" s="6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</row>
    <row r="371" spans="1:21" ht="13" x14ac:dyDescent="0.15">
      <c r="A371" s="6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</row>
    <row r="372" spans="1:21" ht="13" x14ac:dyDescent="0.15">
      <c r="A372" s="6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</row>
    <row r="373" spans="1:21" ht="13" x14ac:dyDescent="0.15">
      <c r="A373" s="6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</row>
    <row r="374" spans="1:21" ht="13" x14ac:dyDescent="0.15">
      <c r="A374" s="6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</row>
    <row r="375" spans="1:21" ht="13" x14ac:dyDescent="0.15">
      <c r="A375" s="6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</row>
    <row r="376" spans="1:21" ht="13" x14ac:dyDescent="0.15">
      <c r="A376" s="6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</row>
    <row r="377" spans="1:21" ht="13" x14ac:dyDescent="0.15">
      <c r="A377" s="6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</row>
    <row r="378" spans="1:21" ht="13" x14ac:dyDescent="0.15">
      <c r="A378" s="6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</row>
    <row r="379" spans="1:21" ht="13" x14ac:dyDescent="0.15">
      <c r="A379" s="6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</row>
    <row r="380" spans="1:21" ht="13" x14ac:dyDescent="0.15">
      <c r="A380" s="6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</row>
    <row r="381" spans="1:21" ht="13" x14ac:dyDescent="0.15">
      <c r="A381" s="6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</row>
    <row r="382" spans="1:21" ht="13" x14ac:dyDescent="0.15">
      <c r="A382" s="6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</row>
    <row r="383" spans="1:21" ht="13" x14ac:dyDescent="0.15">
      <c r="A383" s="6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</row>
    <row r="384" spans="1:21" ht="13" x14ac:dyDescent="0.15">
      <c r="A384" s="6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</row>
    <row r="385" spans="1:21" ht="13" x14ac:dyDescent="0.15">
      <c r="A385" s="6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</row>
    <row r="386" spans="1:21" ht="13" x14ac:dyDescent="0.15">
      <c r="A386" s="6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</row>
    <row r="387" spans="1:21" ht="13" x14ac:dyDescent="0.15">
      <c r="A387" s="6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</row>
    <row r="388" spans="1:21" ht="13" x14ac:dyDescent="0.15">
      <c r="A388" s="6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</row>
    <row r="389" spans="1:21" ht="13" x14ac:dyDescent="0.15">
      <c r="A389" s="6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</row>
    <row r="390" spans="1:21" ht="13" x14ac:dyDescent="0.15">
      <c r="A390" s="6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</row>
    <row r="391" spans="1:21" ht="13" x14ac:dyDescent="0.15">
      <c r="A391" s="6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</row>
    <row r="392" spans="1:21" ht="13" x14ac:dyDescent="0.15">
      <c r="A392" s="6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</row>
    <row r="393" spans="1:21" ht="13" x14ac:dyDescent="0.15">
      <c r="A393" s="6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</row>
    <row r="394" spans="1:21" ht="13" x14ac:dyDescent="0.15">
      <c r="A394" s="6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</row>
    <row r="395" spans="1:21" ht="13" x14ac:dyDescent="0.15">
      <c r="A395" s="6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</row>
    <row r="396" spans="1:21" ht="13" x14ac:dyDescent="0.15">
      <c r="A396" s="6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</row>
    <row r="397" spans="1:21" ht="13" x14ac:dyDescent="0.15">
      <c r="A397" s="6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</row>
    <row r="398" spans="1:21" ht="13" x14ac:dyDescent="0.15">
      <c r="A398" s="6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</row>
    <row r="399" spans="1:21" ht="13" x14ac:dyDescent="0.15">
      <c r="A399" s="6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</row>
    <row r="400" spans="1:21" ht="13" x14ac:dyDescent="0.15">
      <c r="A400" s="6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</row>
    <row r="401" spans="1:21" ht="13" x14ac:dyDescent="0.15">
      <c r="A401" s="6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</row>
    <row r="402" spans="1:21" ht="13" x14ac:dyDescent="0.15">
      <c r="A402" s="6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</row>
    <row r="403" spans="1:21" ht="13" x14ac:dyDescent="0.15">
      <c r="A403" s="6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</row>
    <row r="404" spans="1:21" ht="13" x14ac:dyDescent="0.15">
      <c r="A404" s="6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</row>
    <row r="405" spans="1:21" ht="13" x14ac:dyDescent="0.15">
      <c r="A405" s="6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</row>
    <row r="406" spans="1:21" ht="13" x14ac:dyDescent="0.15">
      <c r="A406" s="6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</row>
    <row r="407" spans="1:21" ht="13" x14ac:dyDescent="0.15">
      <c r="A407" s="6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</row>
    <row r="408" spans="1:21" ht="13" x14ac:dyDescent="0.15">
      <c r="A408" s="6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</row>
    <row r="409" spans="1:21" ht="13" x14ac:dyDescent="0.15">
      <c r="A409" s="6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</row>
    <row r="410" spans="1:21" ht="13" x14ac:dyDescent="0.15">
      <c r="A410" s="6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</row>
    <row r="411" spans="1:21" ht="13" x14ac:dyDescent="0.15">
      <c r="A411" s="6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</row>
    <row r="412" spans="1:21" ht="13" x14ac:dyDescent="0.15">
      <c r="A412" s="6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</row>
    <row r="413" spans="1:21" ht="13" x14ac:dyDescent="0.15">
      <c r="A413" s="6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</row>
    <row r="414" spans="1:21" ht="13" x14ac:dyDescent="0.15">
      <c r="A414" s="6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</row>
    <row r="415" spans="1:21" ht="13" x14ac:dyDescent="0.15">
      <c r="A415" s="6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</row>
    <row r="416" spans="1:21" ht="13" x14ac:dyDescent="0.15">
      <c r="A416" s="6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</row>
    <row r="417" spans="1:21" ht="13" x14ac:dyDescent="0.15">
      <c r="A417" s="6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</row>
    <row r="418" spans="1:21" ht="13" x14ac:dyDescent="0.15">
      <c r="A418" s="6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</row>
    <row r="419" spans="1:21" ht="13" x14ac:dyDescent="0.15">
      <c r="A419" s="6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</row>
    <row r="420" spans="1:21" ht="13" x14ac:dyDescent="0.15">
      <c r="A420" s="6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</row>
    <row r="421" spans="1:21" ht="13" x14ac:dyDescent="0.15">
      <c r="A421" s="6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</row>
    <row r="422" spans="1:21" ht="13" x14ac:dyDescent="0.15">
      <c r="A422" s="6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</row>
    <row r="423" spans="1:21" ht="13" x14ac:dyDescent="0.15">
      <c r="A423" s="6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</row>
    <row r="424" spans="1:21" ht="13" x14ac:dyDescent="0.15">
      <c r="A424" s="6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</row>
    <row r="425" spans="1:21" ht="13" x14ac:dyDescent="0.15">
      <c r="A425" s="6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</row>
    <row r="426" spans="1:21" ht="13" x14ac:dyDescent="0.15">
      <c r="A426" s="6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</row>
    <row r="427" spans="1:21" ht="13" x14ac:dyDescent="0.15">
      <c r="A427" s="6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</row>
    <row r="428" spans="1:21" ht="13" x14ac:dyDescent="0.15">
      <c r="A428" s="6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</row>
    <row r="429" spans="1:21" ht="13" x14ac:dyDescent="0.15">
      <c r="A429" s="6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</row>
    <row r="430" spans="1:21" ht="13" x14ac:dyDescent="0.15">
      <c r="A430" s="6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</row>
    <row r="431" spans="1:21" ht="13" x14ac:dyDescent="0.15">
      <c r="A431" s="6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</row>
    <row r="432" spans="1:21" ht="13" x14ac:dyDescent="0.15">
      <c r="A432" s="6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</row>
    <row r="433" spans="1:21" ht="13" x14ac:dyDescent="0.15">
      <c r="A433" s="6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</row>
    <row r="434" spans="1:21" ht="13" x14ac:dyDescent="0.15">
      <c r="A434" s="6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</row>
    <row r="435" spans="1:21" ht="13" x14ac:dyDescent="0.15">
      <c r="A435" s="6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</row>
    <row r="436" spans="1:21" ht="13" x14ac:dyDescent="0.15">
      <c r="A436" s="6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</row>
    <row r="437" spans="1:21" ht="13" x14ac:dyDescent="0.15">
      <c r="A437" s="6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</row>
    <row r="438" spans="1:21" ht="13" x14ac:dyDescent="0.15">
      <c r="A438" s="6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</row>
    <row r="439" spans="1:21" ht="13" x14ac:dyDescent="0.15">
      <c r="A439" s="6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</row>
    <row r="440" spans="1:21" ht="13" x14ac:dyDescent="0.15">
      <c r="A440" s="6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</row>
    <row r="441" spans="1:21" ht="13" x14ac:dyDescent="0.15">
      <c r="A441" s="6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</row>
    <row r="442" spans="1:21" ht="13" x14ac:dyDescent="0.15">
      <c r="A442" s="6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</row>
    <row r="443" spans="1:21" ht="13" x14ac:dyDescent="0.15">
      <c r="A443" s="6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</row>
    <row r="444" spans="1:21" ht="13" x14ac:dyDescent="0.15">
      <c r="A444" s="6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</row>
    <row r="445" spans="1:21" ht="13" x14ac:dyDescent="0.15">
      <c r="A445" s="6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</row>
    <row r="446" spans="1:21" ht="13" x14ac:dyDescent="0.15">
      <c r="A446" s="6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</row>
    <row r="447" spans="1:21" ht="13" x14ac:dyDescent="0.15">
      <c r="A447" s="6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</row>
    <row r="448" spans="1:21" ht="13" x14ac:dyDescent="0.15">
      <c r="A448" s="6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</row>
    <row r="449" spans="1:21" ht="13" x14ac:dyDescent="0.15">
      <c r="A449" s="6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</row>
    <row r="450" spans="1:21" ht="13" x14ac:dyDescent="0.15">
      <c r="A450" s="6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</row>
    <row r="451" spans="1:21" ht="13" x14ac:dyDescent="0.15">
      <c r="A451" s="6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</row>
    <row r="452" spans="1:21" ht="13" x14ac:dyDescent="0.15">
      <c r="A452" s="6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</row>
    <row r="453" spans="1:21" ht="13" x14ac:dyDescent="0.15">
      <c r="A453" s="6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</row>
    <row r="454" spans="1:21" ht="13" x14ac:dyDescent="0.15">
      <c r="A454" s="6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</row>
    <row r="455" spans="1:21" ht="13" x14ac:dyDescent="0.15">
      <c r="A455" s="6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</row>
    <row r="456" spans="1:21" ht="13" x14ac:dyDescent="0.15">
      <c r="A456" s="6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</row>
    <row r="457" spans="1:21" ht="13" x14ac:dyDescent="0.15">
      <c r="A457" s="6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</row>
    <row r="458" spans="1:21" ht="13" x14ac:dyDescent="0.15">
      <c r="A458" s="6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</row>
    <row r="459" spans="1:21" ht="13" x14ac:dyDescent="0.15">
      <c r="A459" s="6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</row>
    <row r="460" spans="1:21" ht="13" x14ac:dyDescent="0.15">
      <c r="A460" s="6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</row>
    <row r="461" spans="1:21" ht="13" x14ac:dyDescent="0.15">
      <c r="A461" s="6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</row>
    <row r="462" spans="1:21" ht="13" x14ac:dyDescent="0.15">
      <c r="A462" s="6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</row>
    <row r="463" spans="1:21" ht="13" x14ac:dyDescent="0.15">
      <c r="A463" s="6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</row>
    <row r="464" spans="1:21" ht="13" x14ac:dyDescent="0.15">
      <c r="A464" s="6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</row>
    <row r="465" spans="1:21" ht="13" x14ac:dyDescent="0.15">
      <c r="A465" s="6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</row>
    <row r="466" spans="1:21" ht="13" x14ac:dyDescent="0.15">
      <c r="A466" s="6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</row>
    <row r="467" spans="1:21" ht="13" x14ac:dyDescent="0.15">
      <c r="A467" s="6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</row>
    <row r="468" spans="1:21" ht="13" x14ac:dyDescent="0.15">
      <c r="A468" s="6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</row>
    <row r="469" spans="1:21" ht="13" x14ac:dyDescent="0.15">
      <c r="A469" s="6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</row>
    <row r="470" spans="1:21" ht="13" x14ac:dyDescent="0.15">
      <c r="A470" s="6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</row>
    <row r="471" spans="1:21" ht="13" x14ac:dyDescent="0.15">
      <c r="A471" s="6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</row>
    <row r="472" spans="1:21" ht="13" x14ac:dyDescent="0.15">
      <c r="A472" s="6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</row>
    <row r="473" spans="1:21" ht="13" x14ac:dyDescent="0.15">
      <c r="A473" s="6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</row>
    <row r="474" spans="1:21" ht="13" x14ac:dyDescent="0.15">
      <c r="A474" s="6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</row>
    <row r="475" spans="1:21" ht="13" x14ac:dyDescent="0.15">
      <c r="A475" s="6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</row>
    <row r="476" spans="1:21" ht="13" x14ac:dyDescent="0.15">
      <c r="A476" s="6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</row>
    <row r="477" spans="1:21" ht="13" x14ac:dyDescent="0.15">
      <c r="A477" s="6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</row>
    <row r="478" spans="1:21" ht="13" x14ac:dyDescent="0.15">
      <c r="A478" s="6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</row>
    <row r="479" spans="1:21" ht="13" x14ac:dyDescent="0.15">
      <c r="A479" s="6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</row>
    <row r="480" spans="1:21" ht="13" x14ac:dyDescent="0.15">
      <c r="A480" s="6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</row>
    <row r="481" spans="1:21" ht="13" x14ac:dyDescent="0.15">
      <c r="A481" s="6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</row>
    <row r="482" spans="1:21" ht="13" x14ac:dyDescent="0.15">
      <c r="A482" s="6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</row>
    <row r="483" spans="1:21" ht="13" x14ac:dyDescent="0.15">
      <c r="A483" s="6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</row>
    <row r="484" spans="1:21" ht="13" x14ac:dyDescent="0.15">
      <c r="A484" s="6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</row>
    <row r="485" spans="1:21" ht="13" x14ac:dyDescent="0.15">
      <c r="A485" s="6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</row>
    <row r="486" spans="1:21" ht="13" x14ac:dyDescent="0.15">
      <c r="A486" s="6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</row>
    <row r="487" spans="1:21" ht="13" x14ac:dyDescent="0.15">
      <c r="A487" s="6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</row>
    <row r="488" spans="1:21" ht="13" x14ac:dyDescent="0.15">
      <c r="A488" s="6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</row>
    <row r="489" spans="1:21" ht="13" x14ac:dyDescent="0.15">
      <c r="A489" s="6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</row>
    <row r="490" spans="1:21" ht="13" x14ac:dyDescent="0.15">
      <c r="A490" s="6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</row>
    <row r="491" spans="1:21" ht="13" x14ac:dyDescent="0.15">
      <c r="A491" s="6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</row>
    <row r="492" spans="1:21" ht="13" x14ac:dyDescent="0.15">
      <c r="A492" s="6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</row>
    <row r="493" spans="1:21" ht="13" x14ac:dyDescent="0.15">
      <c r="A493" s="6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</row>
    <row r="494" spans="1:21" ht="13" x14ac:dyDescent="0.15">
      <c r="A494" s="6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</row>
    <row r="495" spans="1:21" ht="13" x14ac:dyDescent="0.15">
      <c r="A495" s="6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</row>
    <row r="496" spans="1:21" ht="13" x14ac:dyDescent="0.15">
      <c r="A496" s="6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</row>
    <row r="497" spans="1:21" ht="13" x14ac:dyDescent="0.15">
      <c r="A497" s="6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</row>
    <row r="498" spans="1:21" ht="13" x14ac:dyDescent="0.15">
      <c r="A498" s="6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</row>
    <row r="499" spans="1:21" ht="13" x14ac:dyDescent="0.15">
      <c r="A499" s="6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</row>
    <row r="500" spans="1:21" ht="13" x14ac:dyDescent="0.15">
      <c r="A500" s="6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</row>
    <row r="501" spans="1:21" ht="13" x14ac:dyDescent="0.15">
      <c r="A501" s="6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</row>
    <row r="502" spans="1:21" ht="13" x14ac:dyDescent="0.15">
      <c r="A502" s="6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</row>
    <row r="503" spans="1:21" ht="13" x14ac:dyDescent="0.15">
      <c r="A503" s="6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</row>
    <row r="504" spans="1:21" ht="13" x14ac:dyDescent="0.15">
      <c r="A504" s="6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</row>
    <row r="505" spans="1:21" ht="13" x14ac:dyDescent="0.15">
      <c r="A505" s="6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</row>
    <row r="506" spans="1:21" ht="13" x14ac:dyDescent="0.15">
      <c r="A506" s="6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</row>
    <row r="507" spans="1:21" ht="13" x14ac:dyDescent="0.15">
      <c r="A507" s="6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</row>
    <row r="508" spans="1:21" ht="13" x14ac:dyDescent="0.15">
      <c r="A508" s="6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</row>
    <row r="509" spans="1:21" ht="13" x14ac:dyDescent="0.15">
      <c r="A509" s="6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</row>
    <row r="510" spans="1:21" ht="13" x14ac:dyDescent="0.15">
      <c r="A510" s="6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</row>
    <row r="511" spans="1:21" ht="13" x14ac:dyDescent="0.15">
      <c r="A511" s="6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</row>
    <row r="512" spans="1:21" ht="13" x14ac:dyDescent="0.15">
      <c r="A512" s="6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</row>
    <row r="513" spans="1:21" ht="13" x14ac:dyDescent="0.15">
      <c r="A513" s="6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</row>
    <row r="514" spans="1:21" ht="13" x14ac:dyDescent="0.15">
      <c r="A514" s="6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</row>
    <row r="515" spans="1:21" ht="13" x14ac:dyDescent="0.15">
      <c r="A515" s="6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</row>
    <row r="516" spans="1:21" ht="13" x14ac:dyDescent="0.15">
      <c r="A516" s="6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</row>
    <row r="517" spans="1:21" ht="13" x14ac:dyDescent="0.15">
      <c r="A517" s="6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</row>
    <row r="518" spans="1:21" ht="13" x14ac:dyDescent="0.15">
      <c r="A518" s="6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</row>
    <row r="519" spans="1:21" ht="13" x14ac:dyDescent="0.15">
      <c r="A519" s="6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</row>
    <row r="520" spans="1:21" ht="13" x14ac:dyDescent="0.15">
      <c r="A520" s="6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</row>
    <row r="521" spans="1:21" ht="13" x14ac:dyDescent="0.15">
      <c r="A521" s="6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</row>
    <row r="522" spans="1:21" ht="13" x14ac:dyDescent="0.15">
      <c r="A522" s="6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</row>
    <row r="523" spans="1:21" ht="13" x14ac:dyDescent="0.15">
      <c r="A523" s="6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</row>
    <row r="524" spans="1:21" ht="13" x14ac:dyDescent="0.15">
      <c r="A524" s="6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</row>
    <row r="525" spans="1:21" ht="13" x14ac:dyDescent="0.15">
      <c r="A525" s="6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</row>
    <row r="526" spans="1:21" ht="13" x14ac:dyDescent="0.15">
      <c r="A526" s="6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</row>
    <row r="527" spans="1:21" ht="13" x14ac:dyDescent="0.15">
      <c r="A527" s="6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</row>
    <row r="528" spans="1:21" ht="13" x14ac:dyDescent="0.15">
      <c r="A528" s="6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</row>
    <row r="529" spans="1:21" ht="13" x14ac:dyDescent="0.15">
      <c r="A529" s="6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</row>
    <row r="530" spans="1:21" ht="13" x14ac:dyDescent="0.15">
      <c r="A530" s="6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</row>
    <row r="531" spans="1:21" ht="13" x14ac:dyDescent="0.15">
      <c r="A531" s="6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</row>
    <row r="532" spans="1:21" ht="13" x14ac:dyDescent="0.15">
      <c r="A532" s="6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</row>
    <row r="533" spans="1:21" ht="13" x14ac:dyDescent="0.15">
      <c r="A533" s="6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</row>
    <row r="534" spans="1:21" ht="13" x14ac:dyDescent="0.15">
      <c r="A534" s="6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</row>
    <row r="535" spans="1:21" ht="13" x14ac:dyDescent="0.15">
      <c r="A535" s="6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</row>
    <row r="536" spans="1:21" ht="13" x14ac:dyDescent="0.15">
      <c r="A536" s="6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</row>
    <row r="537" spans="1:21" ht="13" x14ac:dyDescent="0.15">
      <c r="A537" s="6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</row>
    <row r="538" spans="1:21" ht="13" x14ac:dyDescent="0.15">
      <c r="A538" s="6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</row>
    <row r="539" spans="1:21" ht="13" x14ac:dyDescent="0.15">
      <c r="A539" s="6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</row>
    <row r="540" spans="1:21" ht="13" x14ac:dyDescent="0.15">
      <c r="A540" s="6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</row>
    <row r="541" spans="1:21" ht="13" x14ac:dyDescent="0.15">
      <c r="A541" s="6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</row>
    <row r="542" spans="1:21" ht="13" x14ac:dyDescent="0.15">
      <c r="A542" s="6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</row>
    <row r="543" spans="1:21" ht="13" x14ac:dyDescent="0.15">
      <c r="A543" s="6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</row>
    <row r="544" spans="1:21" ht="13" x14ac:dyDescent="0.15">
      <c r="A544" s="6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</row>
    <row r="545" spans="1:21" ht="13" x14ac:dyDescent="0.15">
      <c r="A545" s="6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</row>
    <row r="546" spans="1:21" ht="13" x14ac:dyDescent="0.15">
      <c r="A546" s="6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</row>
    <row r="547" spans="1:21" ht="13" x14ac:dyDescent="0.15">
      <c r="A547" s="6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</row>
    <row r="548" spans="1:21" ht="13" x14ac:dyDescent="0.15">
      <c r="A548" s="6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</row>
    <row r="549" spans="1:21" ht="13" x14ac:dyDescent="0.15">
      <c r="A549" s="6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</row>
    <row r="550" spans="1:21" ht="13" x14ac:dyDescent="0.15">
      <c r="A550" s="6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</row>
    <row r="551" spans="1:21" ht="13" x14ac:dyDescent="0.15">
      <c r="A551" s="6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</row>
    <row r="552" spans="1:21" ht="13" x14ac:dyDescent="0.15">
      <c r="A552" s="6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</row>
    <row r="553" spans="1:21" ht="13" x14ac:dyDescent="0.15">
      <c r="A553" s="6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</row>
    <row r="554" spans="1:21" ht="13" x14ac:dyDescent="0.15">
      <c r="A554" s="6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</row>
    <row r="555" spans="1:21" ht="13" x14ac:dyDescent="0.15">
      <c r="A555" s="6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</row>
    <row r="556" spans="1:21" ht="13" x14ac:dyDescent="0.15">
      <c r="A556" s="6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</row>
    <row r="557" spans="1:21" ht="13" x14ac:dyDescent="0.15">
      <c r="A557" s="6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</row>
    <row r="558" spans="1:21" ht="13" x14ac:dyDescent="0.15">
      <c r="A558" s="6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</row>
    <row r="559" spans="1:21" ht="13" x14ac:dyDescent="0.15">
      <c r="A559" s="6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</row>
    <row r="560" spans="1:21" ht="13" x14ac:dyDescent="0.15">
      <c r="A560" s="6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</row>
    <row r="561" spans="1:21" ht="13" x14ac:dyDescent="0.15">
      <c r="A561" s="6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</row>
    <row r="562" spans="1:21" ht="13" x14ac:dyDescent="0.15">
      <c r="A562" s="6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</row>
    <row r="563" spans="1:21" ht="13" x14ac:dyDescent="0.15">
      <c r="A563" s="6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</row>
    <row r="564" spans="1:21" ht="13" x14ac:dyDescent="0.15">
      <c r="A564" s="6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</row>
    <row r="565" spans="1:21" ht="13" x14ac:dyDescent="0.15">
      <c r="A565" s="6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</row>
    <row r="566" spans="1:21" ht="13" x14ac:dyDescent="0.15">
      <c r="A566" s="6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</row>
    <row r="567" spans="1:21" ht="13" x14ac:dyDescent="0.15">
      <c r="A567" s="6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</row>
    <row r="568" spans="1:21" ht="13" x14ac:dyDescent="0.15">
      <c r="A568" s="6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</row>
    <row r="569" spans="1:21" ht="13" x14ac:dyDescent="0.15">
      <c r="A569" s="6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</row>
    <row r="570" spans="1:21" ht="13" x14ac:dyDescent="0.15">
      <c r="A570" s="6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</row>
    <row r="571" spans="1:21" ht="13" x14ac:dyDescent="0.15">
      <c r="A571" s="6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</row>
    <row r="572" spans="1:21" ht="13" x14ac:dyDescent="0.15">
      <c r="A572" s="6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</row>
    <row r="573" spans="1:21" ht="13" x14ac:dyDescent="0.15">
      <c r="A573" s="6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</row>
    <row r="574" spans="1:21" ht="13" x14ac:dyDescent="0.15">
      <c r="A574" s="6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</row>
    <row r="575" spans="1:21" ht="13" x14ac:dyDescent="0.15">
      <c r="A575" s="6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</row>
    <row r="576" spans="1:21" ht="13" x14ac:dyDescent="0.15">
      <c r="A576" s="6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</row>
    <row r="577" spans="1:21" ht="13" x14ac:dyDescent="0.15">
      <c r="A577" s="6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</row>
    <row r="578" spans="1:21" ht="13" x14ac:dyDescent="0.15">
      <c r="A578" s="6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</row>
    <row r="579" spans="1:21" ht="13" x14ac:dyDescent="0.15">
      <c r="A579" s="6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</row>
    <row r="580" spans="1:21" ht="13" x14ac:dyDescent="0.15">
      <c r="A580" s="6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</row>
    <row r="581" spans="1:21" ht="13" x14ac:dyDescent="0.15">
      <c r="A581" s="6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</row>
    <row r="582" spans="1:21" ht="13" x14ac:dyDescent="0.15">
      <c r="A582" s="6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</row>
    <row r="583" spans="1:21" ht="13" x14ac:dyDescent="0.15">
      <c r="A583" s="6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</row>
    <row r="584" spans="1:21" ht="13" x14ac:dyDescent="0.15">
      <c r="A584" s="6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</row>
    <row r="585" spans="1:21" ht="13" x14ac:dyDescent="0.15">
      <c r="A585" s="6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</row>
    <row r="586" spans="1:21" ht="13" x14ac:dyDescent="0.15">
      <c r="A586" s="6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</row>
    <row r="587" spans="1:21" ht="13" x14ac:dyDescent="0.15">
      <c r="A587" s="6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</row>
    <row r="588" spans="1:21" ht="13" x14ac:dyDescent="0.15">
      <c r="A588" s="6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</row>
    <row r="589" spans="1:21" ht="13" x14ac:dyDescent="0.15">
      <c r="A589" s="6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</row>
    <row r="590" spans="1:21" ht="13" x14ac:dyDescent="0.15">
      <c r="A590" s="6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</row>
    <row r="591" spans="1:21" ht="13" x14ac:dyDescent="0.15">
      <c r="A591" s="6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</row>
    <row r="592" spans="1:21" ht="13" x14ac:dyDescent="0.15">
      <c r="A592" s="6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</row>
    <row r="593" spans="1:21" ht="13" x14ac:dyDescent="0.15">
      <c r="A593" s="6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</row>
    <row r="594" spans="1:21" ht="13" x14ac:dyDescent="0.15">
      <c r="A594" s="6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</row>
    <row r="595" spans="1:21" ht="13" x14ac:dyDescent="0.15">
      <c r="A595" s="6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</row>
    <row r="596" spans="1:21" ht="13" x14ac:dyDescent="0.15">
      <c r="A596" s="6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</row>
    <row r="597" spans="1:21" ht="13" x14ac:dyDescent="0.15">
      <c r="A597" s="6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</row>
    <row r="598" spans="1:21" ht="13" x14ac:dyDescent="0.15">
      <c r="A598" s="6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</row>
    <row r="599" spans="1:21" ht="13" x14ac:dyDescent="0.15">
      <c r="A599" s="6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</row>
    <row r="600" spans="1:21" ht="13" x14ac:dyDescent="0.15">
      <c r="A600" s="6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</row>
    <row r="601" spans="1:21" ht="13" x14ac:dyDescent="0.15">
      <c r="A601" s="6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</row>
    <row r="602" spans="1:21" ht="13" x14ac:dyDescent="0.15">
      <c r="A602" s="6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</row>
    <row r="603" spans="1:21" ht="13" x14ac:dyDescent="0.15">
      <c r="A603" s="6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</row>
    <row r="604" spans="1:21" ht="13" x14ac:dyDescent="0.15">
      <c r="A604" s="6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</row>
    <row r="605" spans="1:21" ht="13" x14ac:dyDescent="0.15">
      <c r="A605" s="6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</row>
    <row r="606" spans="1:21" ht="13" x14ac:dyDescent="0.15">
      <c r="A606" s="6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</row>
    <row r="607" spans="1:21" ht="13" x14ac:dyDescent="0.15">
      <c r="A607" s="6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</row>
    <row r="608" spans="1:21" ht="13" x14ac:dyDescent="0.15">
      <c r="A608" s="6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</row>
    <row r="609" spans="1:21" ht="13" x14ac:dyDescent="0.15">
      <c r="A609" s="6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</row>
    <row r="610" spans="1:21" ht="13" x14ac:dyDescent="0.15">
      <c r="A610" s="6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</row>
    <row r="611" spans="1:21" ht="13" x14ac:dyDescent="0.15">
      <c r="A611" s="6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</row>
    <row r="612" spans="1:21" ht="13" x14ac:dyDescent="0.15">
      <c r="A612" s="6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</row>
    <row r="613" spans="1:21" ht="13" x14ac:dyDescent="0.15">
      <c r="A613" s="6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</row>
    <row r="614" spans="1:21" ht="13" x14ac:dyDescent="0.15">
      <c r="A614" s="6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</row>
    <row r="615" spans="1:21" ht="13" x14ac:dyDescent="0.15">
      <c r="A615" s="6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</row>
    <row r="616" spans="1:21" ht="13" x14ac:dyDescent="0.15">
      <c r="A616" s="6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</row>
    <row r="617" spans="1:21" ht="13" x14ac:dyDescent="0.15">
      <c r="A617" s="6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</row>
    <row r="618" spans="1:21" ht="13" x14ac:dyDescent="0.15">
      <c r="A618" s="6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</row>
    <row r="619" spans="1:21" ht="13" x14ac:dyDescent="0.15">
      <c r="A619" s="6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</row>
    <row r="620" spans="1:21" ht="13" x14ac:dyDescent="0.15">
      <c r="A620" s="6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</row>
    <row r="621" spans="1:21" ht="13" x14ac:dyDescent="0.15">
      <c r="A621" s="6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</row>
    <row r="622" spans="1:21" ht="13" x14ac:dyDescent="0.15">
      <c r="A622" s="6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</row>
    <row r="623" spans="1:21" ht="13" x14ac:dyDescent="0.15">
      <c r="A623" s="6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</row>
    <row r="624" spans="1:21" ht="13" x14ac:dyDescent="0.15">
      <c r="A624" s="6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</row>
    <row r="625" spans="1:21" ht="13" x14ac:dyDescent="0.15">
      <c r="A625" s="6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</row>
    <row r="626" spans="1:21" ht="13" x14ac:dyDescent="0.15">
      <c r="A626" s="6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</row>
    <row r="627" spans="1:21" ht="13" x14ac:dyDescent="0.15">
      <c r="A627" s="6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</row>
    <row r="628" spans="1:21" ht="13" x14ac:dyDescent="0.15">
      <c r="A628" s="6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</row>
    <row r="629" spans="1:21" ht="13" x14ac:dyDescent="0.15">
      <c r="A629" s="6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</row>
    <row r="630" spans="1:21" ht="13" x14ac:dyDescent="0.15">
      <c r="A630" s="6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</row>
    <row r="631" spans="1:21" ht="13" x14ac:dyDescent="0.15">
      <c r="A631" s="6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</row>
    <row r="632" spans="1:21" ht="13" x14ac:dyDescent="0.15">
      <c r="A632" s="6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</row>
    <row r="633" spans="1:21" ht="13" x14ac:dyDescent="0.15">
      <c r="A633" s="6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</row>
    <row r="634" spans="1:21" ht="13" x14ac:dyDescent="0.15">
      <c r="A634" s="6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</row>
    <row r="635" spans="1:21" ht="13" x14ac:dyDescent="0.15">
      <c r="A635" s="6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</row>
    <row r="636" spans="1:21" ht="13" x14ac:dyDescent="0.15">
      <c r="A636" s="6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</row>
    <row r="637" spans="1:21" ht="13" x14ac:dyDescent="0.15">
      <c r="A637" s="6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</row>
    <row r="638" spans="1:21" ht="13" x14ac:dyDescent="0.15">
      <c r="A638" s="6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</row>
    <row r="639" spans="1:21" ht="13" x14ac:dyDescent="0.15">
      <c r="A639" s="6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</row>
    <row r="640" spans="1:21" ht="13" x14ac:dyDescent="0.15">
      <c r="A640" s="6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</row>
    <row r="641" spans="1:21" ht="13" x14ac:dyDescent="0.15">
      <c r="A641" s="6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</row>
    <row r="642" spans="1:21" ht="13" x14ac:dyDescent="0.15">
      <c r="A642" s="6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</row>
    <row r="643" spans="1:21" ht="13" x14ac:dyDescent="0.15">
      <c r="A643" s="6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</row>
    <row r="644" spans="1:21" ht="13" x14ac:dyDescent="0.15">
      <c r="A644" s="6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</row>
    <row r="645" spans="1:21" ht="13" x14ac:dyDescent="0.15">
      <c r="A645" s="6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</row>
    <row r="646" spans="1:21" ht="13" x14ac:dyDescent="0.15">
      <c r="A646" s="6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</row>
    <row r="647" spans="1:21" ht="13" x14ac:dyDescent="0.15">
      <c r="A647" s="6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</row>
    <row r="648" spans="1:21" ht="13" x14ac:dyDescent="0.15">
      <c r="A648" s="6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</row>
    <row r="649" spans="1:21" ht="13" x14ac:dyDescent="0.15">
      <c r="A649" s="6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</row>
    <row r="650" spans="1:21" ht="13" x14ac:dyDescent="0.15">
      <c r="A650" s="6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</row>
    <row r="651" spans="1:21" ht="13" x14ac:dyDescent="0.15">
      <c r="A651" s="6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</row>
    <row r="652" spans="1:21" ht="13" x14ac:dyDescent="0.15">
      <c r="A652" s="6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</row>
    <row r="653" spans="1:21" ht="13" x14ac:dyDescent="0.15">
      <c r="A653" s="6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</row>
    <row r="654" spans="1:21" ht="13" x14ac:dyDescent="0.15">
      <c r="A654" s="6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</row>
    <row r="655" spans="1:21" ht="13" x14ac:dyDescent="0.15">
      <c r="A655" s="6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</row>
    <row r="656" spans="1:21" ht="13" x14ac:dyDescent="0.15">
      <c r="A656" s="6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</row>
    <row r="657" spans="1:21" ht="13" x14ac:dyDescent="0.15">
      <c r="A657" s="6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</row>
    <row r="658" spans="1:21" ht="13" x14ac:dyDescent="0.15">
      <c r="A658" s="6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</row>
    <row r="659" spans="1:21" ht="13" x14ac:dyDescent="0.15">
      <c r="A659" s="6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</row>
    <row r="660" spans="1:21" ht="13" x14ac:dyDescent="0.15">
      <c r="A660" s="6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</row>
    <row r="661" spans="1:21" ht="13" x14ac:dyDescent="0.15">
      <c r="A661" s="6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</row>
    <row r="662" spans="1:21" ht="13" x14ac:dyDescent="0.15">
      <c r="A662" s="6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</row>
    <row r="663" spans="1:21" ht="13" x14ac:dyDescent="0.15">
      <c r="A663" s="6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</row>
    <row r="664" spans="1:21" ht="13" x14ac:dyDescent="0.15">
      <c r="A664" s="6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</row>
    <row r="665" spans="1:21" ht="13" x14ac:dyDescent="0.15">
      <c r="A665" s="6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</row>
    <row r="666" spans="1:21" ht="13" x14ac:dyDescent="0.15">
      <c r="A666" s="6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</row>
    <row r="667" spans="1:21" ht="13" x14ac:dyDescent="0.15">
      <c r="A667" s="6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</row>
    <row r="668" spans="1:21" ht="13" x14ac:dyDescent="0.15">
      <c r="A668" s="6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</row>
    <row r="669" spans="1:21" ht="13" x14ac:dyDescent="0.15">
      <c r="A669" s="6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</row>
    <row r="670" spans="1:21" ht="13" x14ac:dyDescent="0.15">
      <c r="A670" s="6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</row>
    <row r="671" spans="1:21" ht="13" x14ac:dyDescent="0.15">
      <c r="A671" s="6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</row>
    <row r="672" spans="1:21" ht="13" x14ac:dyDescent="0.15">
      <c r="A672" s="6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</row>
    <row r="673" spans="1:21" ht="13" x14ac:dyDescent="0.15">
      <c r="A673" s="6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</row>
    <row r="674" spans="1:21" ht="13" x14ac:dyDescent="0.15">
      <c r="A674" s="6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</row>
    <row r="675" spans="1:21" ht="13" x14ac:dyDescent="0.15">
      <c r="A675" s="62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</row>
    <row r="676" spans="1:21" ht="13" x14ac:dyDescent="0.15">
      <c r="A676" s="62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</row>
    <row r="677" spans="1:21" ht="13" x14ac:dyDescent="0.15">
      <c r="A677" s="62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</row>
    <row r="678" spans="1:21" ht="13" x14ac:dyDescent="0.15">
      <c r="A678" s="62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</row>
    <row r="679" spans="1:21" ht="13" x14ac:dyDescent="0.15">
      <c r="A679" s="62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</row>
    <row r="680" spans="1:21" ht="13" x14ac:dyDescent="0.15">
      <c r="A680" s="62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</row>
    <row r="681" spans="1:21" ht="13" x14ac:dyDescent="0.15">
      <c r="A681" s="62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</row>
    <row r="682" spans="1:21" ht="13" x14ac:dyDescent="0.15">
      <c r="A682" s="62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</row>
    <row r="683" spans="1:21" ht="13" x14ac:dyDescent="0.15">
      <c r="A683" s="62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</row>
    <row r="684" spans="1:21" ht="13" x14ac:dyDescent="0.15">
      <c r="A684" s="62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</row>
    <row r="685" spans="1:21" ht="13" x14ac:dyDescent="0.15">
      <c r="A685" s="62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</row>
    <row r="686" spans="1:21" ht="13" x14ac:dyDescent="0.15">
      <c r="A686" s="62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</row>
    <row r="687" spans="1:21" ht="13" x14ac:dyDescent="0.15">
      <c r="A687" s="62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</row>
    <row r="688" spans="1:21" ht="13" x14ac:dyDescent="0.15">
      <c r="A688" s="62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</row>
    <row r="689" spans="1:21" ht="13" x14ac:dyDescent="0.15">
      <c r="A689" s="62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</row>
    <row r="690" spans="1:21" ht="13" x14ac:dyDescent="0.15">
      <c r="A690" s="62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</row>
    <row r="691" spans="1:21" ht="13" x14ac:dyDescent="0.15">
      <c r="A691" s="62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</row>
    <row r="692" spans="1:21" ht="13" x14ac:dyDescent="0.15">
      <c r="A692" s="62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</row>
    <row r="693" spans="1:21" ht="13" x14ac:dyDescent="0.15">
      <c r="A693" s="62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</row>
    <row r="694" spans="1:21" ht="13" x14ac:dyDescent="0.15">
      <c r="A694" s="62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</row>
    <row r="695" spans="1:21" ht="13" x14ac:dyDescent="0.15">
      <c r="A695" s="62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</row>
    <row r="696" spans="1:21" ht="13" x14ac:dyDescent="0.15">
      <c r="A696" s="62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</row>
    <row r="697" spans="1:21" ht="13" x14ac:dyDescent="0.15">
      <c r="A697" s="62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</row>
    <row r="698" spans="1:21" ht="13" x14ac:dyDescent="0.15">
      <c r="A698" s="62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</row>
    <row r="699" spans="1:21" ht="13" x14ac:dyDescent="0.15">
      <c r="A699" s="62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</row>
    <row r="700" spans="1:21" ht="13" x14ac:dyDescent="0.15">
      <c r="A700" s="62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</row>
    <row r="701" spans="1:21" ht="13" x14ac:dyDescent="0.15">
      <c r="A701" s="62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</row>
    <row r="702" spans="1:21" ht="13" x14ac:dyDescent="0.15">
      <c r="A702" s="62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</row>
    <row r="703" spans="1:21" ht="13" x14ac:dyDescent="0.15">
      <c r="A703" s="62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</row>
    <row r="704" spans="1:21" ht="13" x14ac:dyDescent="0.15">
      <c r="A704" s="62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</row>
    <row r="705" spans="1:21" ht="13" x14ac:dyDescent="0.15">
      <c r="A705" s="62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</row>
    <row r="706" spans="1:21" ht="13" x14ac:dyDescent="0.15">
      <c r="A706" s="62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</row>
    <row r="707" spans="1:21" ht="13" x14ac:dyDescent="0.15">
      <c r="A707" s="62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</row>
    <row r="708" spans="1:21" ht="13" x14ac:dyDescent="0.15">
      <c r="A708" s="62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</row>
    <row r="709" spans="1:21" ht="13" x14ac:dyDescent="0.15">
      <c r="A709" s="62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</row>
    <row r="710" spans="1:21" ht="13" x14ac:dyDescent="0.15">
      <c r="A710" s="62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</row>
    <row r="711" spans="1:21" ht="13" x14ac:dyDescent="0.15">
      <c r="A711" s="62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</row>
    <row r="712" spans="1:21" ht="13" x14ac:dyDescent="0.15">
      <c r="A712" s="62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</row>
    <row r="713" spans="1:21" ht="13" x14ac:dyDescent="0.15">
      <c r="A713" s="62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</row>
    <row r="714" spans="1:21" ht="13" x14ac:dyDescent="0.15">
      <c r="A714" s="62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</row>
    <row r="715" spans="1:21" ht="13" x14ac:dyDescent="0.15">
      <c r="A715" s="62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</row>
    <row r="716" spans="1:21" ht="13" x14ac:dyDescent="0.15">
      <c r="A716" s="62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</row>
    <row r="717" spans="1:21" ht="13" x14ac:dyDescent="0.15">
      <c r="A717" s="62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</row>
    <row r="718" spans="1:21" ht="13" x14ac:dyDescent="0.15">
      <c r="A718" s="62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</row>
    <row r="719" spans="1:21" ht="13" x14ac:dyDescent="0.15">
      <c r="A719" s="62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</row>
    <row r="720" spans="1:21" ht="13" x14ac:dyDescent="0.15">
      <c r="A720" s="62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</row>
    <row r="721" spans="1:21" ht="13" x14ac:dyDescent="0.15">
      <c r="A721" s="62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</row>
    <row r="722" spans="1:21" ht="13" x14ac:dyDescent="0.15">
      <c r="A722" s="62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</row>
    <row r="723" spans="1:21" ht="13" x14ac:dyDescent="0.15">
      <c r="A723" s="62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</row>
    <row r="724" spans="1:21" ht="13" x14ac:dyDescent="0.15">
      <c r="A724" s="62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</row>
    <row r="725" spans="1:21" ht="13" x14ac:dyDescent="0.15">
      <c r="A725" s="62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</row>
    <row r="726" spans="1:21" ht="13" x14ac:dyDescent="0.15">
      <c r="A726" s="62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</row>
    <row r="727" spans="1:21" ht="13" x14ac:dyDescent="0.15">
      <c r="A727" s="62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</row>
    <row r="728" spans="1:21" ht="13" x14ac:dyDescent="0.15">
      <c r="A728" s="62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</row>
    <row r="729" spans="1:21" ht="13" x14ac:dyDescent="0.15">
      <c r="A729" s="62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</row>
    <row r="730" spans="1:21" ht="13" x14ac:dyDescent="0.15">
      <c r="A730" s="62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</row>
    <row r="731" spans="1:21" ht="13" x14ac:dyDescent="0.15">
      <c r="A731" s="62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</row>
    <row r="732" spans="1:21" ht="13" x14ac:dyDescent="0.15">
      <c r="A732" s="62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</row>
    <row r="733" spans="1:21" ht="13" x14ac:dyDescent="0.15">
      <c r="A733" s="62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</row>
    <row r="734" spans="1:21" ht="13" x14ac:dyDescent="0.15">
      <c r="A734" s="62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</row>
    <row r="735" spans="1:21" ht="13" x14ac:dyDescent="0.15">
      <c r="A735" s="62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</row>
    <row r="736" spans="1:21" ht="13" x14ac:dyDescent="0.15">
      <c r="A736" s="62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</row>
    <row r="737" spans="1:21" ht="13" x14ac:dyDescent="0.15">
      <c r="A737" s="62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</row>
    <row r="738" spans="1:21" ht="13" x14ac:dyDescent="0.15">
      <c r="A738" s="62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</row>
    <row r="739" spans="1:21" ht="13" x14ac:dyDescent="0.15">
      <c r="A739" s="62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</row>
    <row r="740" spans="1:21" ht="13" x14ac:dyDescent="0.15">
      <c r="A740" s="62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</row>
    <row r="741" spans="1:21" ht="13" x14ac:dyDescent="0.15">
      <c r="A741" s="62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</row>
    <row r="742" spans="1:21" ht="13" x14ac:dyDescent="0.15">
      <c r="A742" s="62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</row>
    <row r="743" spans="1:21" ht="13" x14ac:dyDescent="0.15">
      <c r="A743" s="62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</row>
    <row r="744" spans="1:21" ht="13" x14ac:dyDescent="0.15">
      <c r="A744" s="62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</row>
    <row r="745" spans="1:21" ht="13" x14ac:dyDescent="0.15">
      <c r="A745" s="62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</row>
    <row r="746" spans="1:21" ht="13" x14ac:dyDescent="0.15">
      <c r="A746" s="62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</row>
    <row r="747" spans="1:21" ht="13" x14ac:dyDescent="0.15">
      <c r="A747" s="62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</row>
    <row r="748" spans="1:21" ht="13" x14ac:dyDescent="0.15">
      <c r="A748" s="62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</row>
    <row r="749" spans="1:21" ht="13" x14ac:dyDescent="0.15">
      <c r="A749" s="62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</row>
    <row r="750" spans="1:21" ht="13" x14ac:dyDescent="0.15">
      <c r="A750" s="62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</row>
    <row r="751" spans="1:21" ht="13" x14ac:dyDescent="0.15">
      <c r="A751" s="62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</row>
    <row r="752" spans="1:21" ht="13" x14ac:dyDescent="0.15">
      <c r="A752" s="62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</row>
    <row r="753" spans="1:21" ht="13" x14ac:dyDescent="0.15">
      <c r="A753" s="62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</row>
    <row r="754" spans="1:21" ht="13" x14ac:dyDescent="0.15">
      <c r="A754" s="62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</row>
    <row r="755" spans="1:21" ht="13" x14ac:dyDescent="0.15">
      <c r="A755" s="62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</row>
    <row r="756" spans="1:21" ht="13" x14ac:dyDescent="0.15">
      <c r="A756" s="62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</row>
    <row r="757" spans="1:21" ht="13" x14ac:dyDescent="0.15">
      <c r="A757" s="62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</row>
    <row r="758" spans="1:21" ht="13" x14ac:dyDescent="0.15">
      <c r="A758" s="62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</row>
    <row r="759" spans="1:21" ht="13" x14ac:dyDescent="0.15">
      <c r="A759" s="62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</row>
    <row r="760" spans="1:21" ht="13" x14ac:dyDescent="0.15">
      <c r="A760" s="62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</row>
    <row r="761" spans="1:21" ht="13" x14ac:dyDescent="0.15">
      <c r="A761" s="62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</row>
    <row r="762" spans="1:21" ht="13" x14ac:dyDescent="0.15">
      <c r="A762" s="62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</row>
    <row r="763" spans="1:21" ht="13" x14ac:dyDescent="0.15">
      <c r="A763" s="62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</row>
    <row r="764" spans="1:21" ht="13" x14ac:dyDescent="0.15">
      <c r="A764" s="62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</row>
    <row r="765" spans="1:21" ht="13" x14ac:dyDescent="0.15">
      <c r="A765" s="62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</row>
    <row r="766" spans="1:21" ht="13" x14ac:dyDescent="0.15">
      <c r="A766" s="62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</row>
    <row r="767" spans="1:21" ht="13" x14ac:dyDescent="0.15">
      <c r="A767" s="62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</row>
    <row r="768" spans="1:21" ht="13" x14ac:dyDescent="0.15">
      <c r="A768" s="62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</row>
    <row r="769" spans="1:21" ht="13" x14ac:dyDescent="0.15">
      <c r="A769" s="62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</row>
    <row r="770" spans="1:21" ht="13" x14ac:dyDescent="0.15">
      <c r="A770" s="62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</row>
    <row r="771" spans="1:21" ht="13" x14ac:dyDescent="0.15">
      <c r="A771" s="62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</row>
    <row r="772" spans="1:21" ht="13" x14ac:dyDescent="0.15">
      <c r="A772" s="62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</row>
    <row r="773" spans="1:21" ht="13" x14ac:dyDescent="0.15">
      <c r="A773" s="62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</row>
    <row r="774" spans="1:21" ht="13" x14ac:dyDescent="0.15">
      <c r="A774" s="62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</row>
    <row r="775" spans="1:21" ht="13" x14ac:dyDescent="0.15">
      <c r="A775" s="62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</row>
    <row r="776" spans="1:21" ht="13" x14ac:dyDescent="0.15">
      <c r="A776" s="62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</row>
    <row r="777" spans="1:21" ht="13" x14ac:dyDescent="0.15">
      <c r="A777" s="62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</row>
    <row r="778" spans="1:21" ht="13" x14ac:dyDescent="0.15">
      <c r="A778" s="62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</row>
    <row r="779" spans="1:21" ht="13" x14ac:dyDescent="0.15">
      <c r="A779" s="62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</row>
    <row r="780" spans="1:21" ht="13" x14ac:dyDescent="0.15">
      <c r="A780" s="62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</row>
    <row r="781" spans="1:21" ht="13" x14ac:dyDescent="0.15">
      <c r="A781" s="62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</row>
    <row r="782" spans="1:21" ht="13" x14ac:dyDescent="0.15">
      <c r="A782" s="62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</row>
    <row r="783" spans="1:21" ht="13" x14ac:dyDescent="0.15">
      <c r="A783" s="62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</row>
    <row r="784" spans="1:21" ht="13" x14ac:dyDescent="0.15">
      <c r="A784" s="62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</row>
    <row r="785" spans="1:21" ht="13" x14ac:dyDescent="0.15">
      <c r="A785" s="62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</row>
    <row r="786" spans="1:21" ht="13" x14ac:dyDescent="0.15">
      <c r="A786" s="62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</row>
    <row r="787" spans="1:21" ht="13" x14ac:dyDescent="0.15">
      <c r="A787" s="62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</row>
    <row r="788" spans="1:21" ht="13" x14ac:dyDescent="0.15">
      <c r="A788" s="62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</row>
    <row r="789" spans="1:21" ht="13" x14ac:dyDescent="0.15">
      <c r="A789" s="62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</row>
    <row r="790" spans="1:21" ht="13" x14ac:dyDescent="0.15">
      <c r="A790" s="62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</row>
    <row r="791" spans="1:21" ht="13" x14ac:dyDescent="0.15">
      <c r="A791" s="62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</row>
    <row r="792" spans="1:21" ht="13" x14ac:dyDescent="0.15">
      <c r="A792" s="62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</row>
    <row r="793" spans="1:21" ht="13" x14ac:dyDescent="0.15">
      <c r="A793" s="62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</row>
    <row r="794" spans="1:21" ht="13" x14ac:dyDescent="0.15">
      <c r="A794" s="62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</row>
    <row r="795" spans="1:21" ht="13" x14ac:dyDescent="0.15">
      <c r="A795" s="62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</row>
    <row r="796" spans="1:21" ht="13" x14ac:dyDescent="0.15">
      <c r="A796" s="62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</row>
    <row r="797" spans="1:21" ht="13" x14ac:dyDescent="0.15">
      <c r="A797" s="62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</row>
    <row r="798" spans="1:21" ht="13" x14ac:dyDescent="0.15">
      <c r="A798" s="62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</row>
    <row r="799" spans="1:21" ht="13" x14ac:dyDescent="0.15">
      <c r="A799" s="62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</row>
    <row r="800" spans="1:21" ht="13" x14ac:dyDescent="0.15">
      <c r="A800" s="62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</row>
    <row r="801" spans="1:21" ht="13" x14ac:dyDescent="0.15">
      <c r="A801" s="62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</row>
    <row r="802" spans="1:21" ht="13" x14ac:dyDescent="0.15">
      <c r="A802" s="62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</row>
    <row r="803" spans="1:21" ht="13" x14ac:dyDescent="0.15">
      <c r="A803" s="62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</row>
    <row r="804" spans="1:21" ht="13" x14ac:dyDescent="0.15">
      <c r="A804" s="62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</row>
    <row r="805" spans="1:21" ht="13" x14ac:dyDescent="0.15">
      <c r="A805" s="62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</row>
    <row r="806" spans="1:21" ht="13" x14ac:dyDescent="0.15">
      <c r="A806" s="62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</row>
    <row r="807" spans="1:21" ht="13" x14ac:dyDescent="0.15">
      <c r="A807" s="62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</row>
    <row r="808" spans="1:21" ht="13" x14ac:dyDescent="0.15">
      <c r="A808" s="62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</row>
    <row r="809" spans="1:21" ht="13" x14ac:dyDescent="0.15">
      <c r="A809" s="62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</row>
    <row r="810" spans="1:21" ht="13" x14ac:dyDescent="0.15">
      <c r="A810" s="62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</row>
    <row r="811" spans="1:21" ht="13" x14ac:dyDescent="0.15">
      <c r="A811" s="62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</row>
    <row r="812" spans="1:21" ht="13" x14ac:dyDescent="0.15">
      <c r="A812" s="62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</row>
    <row r="813" spans="1:21" ht="13" x14ac:dyDescent="0.15">
      <c r="A813" s="62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</row>
    <row r="814" spans="1:21" ht="13" x14ac:dyDescent="0.15">
      <c r="A814" s="62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</row>
    <row r="815" spans="1:21" ht="13" x14ac:dyDescent="0.15">
      <c r="A815" s="62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</row>
    <row r="816" spans="1:21" ht="13" x14ac:dyDescent="0.15">
      <c r="A816" s="62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</row>
    <row r="817" spans="1:21" ht="13" x14ac:dyDescent="0.15">
      <c r="A817" s="62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</row>
    <row r="818" spans="1:21" ht="13" x14ac:dyDescent="0.15">
      <c r="A818" s="62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</row>
    <row r="819" spans="1:21" ht="13" x14ac:dyDescent="0.15">
      <c r="A819" s="62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</row>
    <row r="820" spans="1:21" ht="13" x14ac:dyDescent="0.15">
      <c r="A820" s="62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</row>
    <row r="821" spans="1:21" ht="13" x14ac:dyDescent="0.15">
      <c r="A821" s="62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</row>
    <row r="822" spans="1:21" ht="13" x14ac:dyDescent="0.15">
      <c r="A822" s="62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</row>
    <row r="823" spans="1:21" ht="13" x14ac:dyDescent="0.15">
      <c r="A823" s="62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</row>
    <row r="824" spans="1:21" ht="13" x14ac:dyDescent="0.15">
      <c r="A824" s="62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</row>
    <row r="825" spans="1:21" ht="13" x14ac:dyDescent="0.15">
      <c r="A825" s="62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</row>
    <row r="826" spans="1:21" ht="13" x14ac:dyDescent="0.15">
      <c r="A826" s="62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</row>
    <row r="827" spans="1:21" ht="13" x14ac:dyDescent="0.15">
      <c r="A827" s="62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</row>
    <row r="828" spans="1:21" ht="13" x14ac:dyDescent="0.15">
      <c r="A828" s="62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</row>
    <row r="829" spans="1:21" ht="13" x14ac:dyDescent="0.15">
      <c r="A829" s="62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</row>
    <row r="830" spans="1:21" ht="13" x14ac:dyDescent="0.15">
      <c r="A830" s="62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</row>
    <row r="831" spans="1:21" ht="13" x14ac:dyDescent="0.15">
      <c r="A831" s="62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</row>
    <row r="832" spans="1:21" ht="13" x14ac:dyDescent="0.15">
      <c r="A832" s="62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</row>
    <row r="833" spans="1:21" ht="13" x14ac:dyDescent="0.15">
      <c r="A833" s="62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</row>
    <row r="834" spans="1:21" ht="13" x14ac:dyDescent="0.15">
      <c r="A834" s="62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</row>
    <row r="835" spans="1:21" ht="13" x14ac:dyDescent="0.15">
      <c r="A835" s="62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</row>
    <row r="836" spans="1:21" ht="13" x14ac:dyDescent="0.15">
      <c r="A836" s="62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</row>
    <row r="837" spans="1:21" ht="13" x14ac:dyDescent="0.15">
      <c r="A837" s="62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</row>
    <row r="838" spans="1:21" ht="13" x14ac:dyDescent="0.15">
      <c r="A838" s="62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</row>
    <row r="839" spans="1:21" ht="13" x14ac:dyDescent="0.15">
      <c r="A839" s="62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</row>
    <row r="840" spans="1:21" ht="13" x14ac:dyDescent="0.15">
      <c r="A840" s="62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</row>
    <row r="841" spans="1:21" ht="13" x14ac:dyDescent="0.15">
      <c r="A841" s="62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</row>
    <row r="842" spans="1:21" ht="13" x14ac:dyDescent="0.15">
      <c r="A842" s="62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</row>
    <row r="843" spans="1:21" ht="13" x14ac:dyDescent="0.15">
      <c r="A843" s="62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</row>
    <row r="844" spans="1:21" ht="13" x14ac:dyDescent="0.15">
      <c r="A844" s="62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</row>
    <row r="845" spans="1:21" ht="13" x14ac:dyDescent="0.15">
      <c r="A845" s="62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</row>
    <row r="846" spans="1:21" ht="13" x14ac:dyDescent="0.15">
      <c r="A846" s="62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</row>
    <row r="847" spans="1:21" ht="13" x14ac:dyDescent="0.15">
      <c r="A847" s="62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</row>
    <row r="848" spans="1:21" ht="13" x14ac:dyDescent="0.15">
      <c r="A848" s="62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</row>
    <row r="849" spans="1:21" ht="13" x14ac:dyDescent="0.15">
      <c r="A849" s="62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</row>
    <row r="850" spans="1:21" ht="13" x14ac:dyDescent="0.15">
      <c r="A850" s="62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</row>
    <row r="851" spans="1:21" ht="13" x14ac:dyDescent="0.15">
      <c r="A851" s="62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</row>
    <row r="852" spans="1:21" ht="13" x14ac:dyDescent="0.15">
      <c r="A852" s="62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</row>
    <row r="853" spans="1:21" ht="13" x14ac:dyDescent="0.15">
      <c r="A853" s="62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</row>
    <row r="854" spans="1:21" ht="13" x14ac:dyDescent="0.15">
      <c r="A854" s="62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</row>
    <row r="855" spans="1:21" ht="13" x14ac:dyDescent="0.15">
      <c r="A855" s="62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</row>
    <row r="856" spans="1:21" ht="13" x14ac:dyDescent="0.15">
      <c r="A856" s="62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</row>
    <row r="857" spans="1:21" ht="13" x14ac:dyDescent="0.15">
      <c r="A857" s="62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</row>
    <row r="858" spans="1:21" ht="13" x14ac:dyDescent="0.15">
      <c r="A858" s="62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</row>
    <row r="859" spans="1:21" ht="13" x14ac:dyDescent="0.15">
      <c r="A859" s="62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</row>
    <row r="860" spans="1:21" ht="13" x14ac:dyDescent="0.15">
      <c r="A860" s="62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</row>
    <row r="861" spans="1:21" ht="13" x14ac:dyDescent="0.15">
      <c r="A861" s="62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</row>
    <row r="862" spans="1:21" ht="13" x14ac:dyDescent="0.15">
      <c r="A862" s="62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</row>
    <row r="863" spans="1:21" ht="13" x14ac:dyDescent="0.15">
      <c r="A863" s="62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</row>
    <row r="864" spans="1:21" ht="13" x14ac:dyDescent="0.15">
      <c r="A864" s="62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</row>
    <row r="865" spans="1:21" ht="13" x14ac:dyDescent="0.15">
      <c r="A865" s="62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</row>
    <row r="866" spans="1:21" ht="13" x14ac:dyDescent="0.15">
      <c r="A866" s="62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</row>
    <row r="867" spans="1:21" ht="13" x14ac:dyDescent="0.15">
      <c r="A867" s="62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</row>
    <row r="868" spans="1:21" ht="13" x14ac:dyDescent="0.15">
      <c r="A868" s="62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</row>
    <row r="869" spans="1:21" ht="13" x14ac:dyDescent="0.15">
      <c r="A869" s="62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</row>
    <row r="870" spans="1:21" ht="13" x14ac:dyDescent="0.15">
      <c r="A870" s="62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</row>
    <row r="871" spans="1:21" ht="13" x14ac:dyDescent="0.15">
      <c r="A871" s="62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</row>
    <row r="872" spans="1:21" ht="13" x14ac:dyDescent="0.15">
      <c r="A872" s="62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</row>
    <row r="873" spans="1:21" ht="13" x14ac:dyDescent="0.15">
      <c r="A873" s="62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</row>
    <row r="874" spans="1:21" ht="13" x14ac:dyDescent="0.15">
      <c r="A874" s="62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</row>
    <row r="875" spans="1:21" ht="13" x14ac:dyDescent="0.15">
      <c r="A875" s="62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</row>
    <row r="876" spans="1:21" ht="13" x14ac:dyDescent="0.15">
      <c r="A876" s="62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</row>
    <row r="877" spans="1:21" ht="13" x14ac:dyDescent="0.15">
      <c r="A877" s="62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</row>
    <row r="878" spans="1:21" ht="13" x14ac:dyDescent="0.15">
      <c r="A878" s="62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</row>
    <row r="879" spans="1:21" ht="13" x14ac:dyDescent="0.15">
      <c r="A879" s="62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</row>
    <row r="880" spans="1:21" ht="13" x14ac:dyDescent="0.15">
      <c r="A880" s="62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</row>
    <row r="881" spans="1:21" ht="13" x14ac:dyDescent="0.15">
      <c r="A881" s="62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</row>
    <row r="882" spans="1:21" ht="13" x14ac:dyDescent="0.15">
      <c r="A882" s="62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</row>
    <row r="883" spans="1:21" ht="13" x14ac:dyDescent="0.15">
      <c r="A883" s="62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</row>
    <row r="884" spans="1:21" ht="13" x14ac:dyDescent="0.15">
      <c r="A884" s="62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</row>
    <row r="885" spans="1:21" ht="13" x14ac:dyDescent="0.15">
      <c r="A885" s="62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</row>
    <row r="886" spans="1:21" ht="13" x14ac:dyDescent="0.15">
      <c r="A886" s="62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</row>
    <row r="887" spans="1:21" ht="13" x14ac:dyDescent="0.15">
      <c r="A887" s="62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</row>
    <row r="888" spans="1:21" ht="13" x14ac:dyDescent="0.15">
      <c r="A888" s="62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</row>
    <row r="889" spans="1:21" ht="13" x14ac:dyDescent="0.15">
      <c r="A889" s="62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</row>
    <row r="890" spans="1:21" ht="13" x14ac:dyDescent="0.15">
      <c r="A890" s="62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</row>
    <row r="891" spans="1:21" ht="13" x14ac:dyDescent="0.15">
      <c r="A891" s="62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</row>
    <row r="892" spans="1:21" ht="13" x14ac:dyDescent="0.15">
      <c r="A892" s="62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</row>
    <row r="893" spans="1:21" ht="13" x14ac:dyDescent="0.15">
      <c r="A893" s="62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</row>
    <row r="894" spans="1:21" ht="13" x14ac:dyDescent="0.15">
      <c r="A894" s="62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</row>
    <row r="895" spans="1:21" ht="13" x14ac:dyDescent="0.15">
      <c r="A895" s="62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</row>
    <row r="896" spans="1:21" ht="13" x14ac:dyDescent="0.15">
      <c r="A896" s="62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</row>
    <row r="897" spans="1:21" ht="13" x14ac:dyDescent="0.15">
      <c r="A897" s="62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</row>
    <row r="898" spans="1:21" ht="13" x14ac:dyDescent="0.15">
      <c r="A898" s="62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</row>
    <row r="899" spans="1:21" ht="13" x14ac:dyDescent="0.15">
      <c r="A899" s="62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</row>
    <row r="900" spans="1:21" ht="13" x14ac:dyDescent="0.15">
      <c r="A900" s="62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</row>
    <row r="901" spans="1:21" ht="13" x14ac:dyDescent="0.15">
      <c r="A901" s="62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</row>
    <row r="902" spans="1:21" ht="13" x14ac:dyDescent="0.15">
      <c r="A902" s="62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</row>
    <row r="903" spans="1:21" ht="13" x14ac:dyDescent="0.15">
      <c r="A903" s="62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</row>
    <row r="904" spans="1:21" ht="13" x14ac:dyDescent="0.15">
      <c r="A904" s="62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</row>
    <row r="905" spans="1:21" ht="13" x14ac:dyDescent="0.15">
      <c r="A905" s="62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</row>
    <row r="906" spans="1:21" ht="13" x14ac:dyDescent="0.15">
      <c r="A906" s="62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</row>
    <row r="907" spans="1:21" ht="13" x14ac:dyDescent="0.15">
      <c r="A907" s="62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</row>
    <row r="908" spans="1:21" ht="13" x14ac:dyDescent="0.15">
      <c r="A908" s="62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</row>
    <row r="909" spans="1:21" ht="13" x14ac:dyDescent="0.15">
      <c r="A909" s="62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</row>
    <row r="910" spans="1:21" ht="13" x14ac:dyDescent="0.15">
      <c r="A910" s="62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</row>
    <row r="911" spans="1:21" ht="13" x14ac:dyDescent="0.15">
      <c r="A911" s="62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</row>
    <row r="912" spans="1:21" ht="13" x14ac:dyDescent="0.15">
      <c r="A912" s="62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</row>
    <row r="913" spans="1:21" ht="13" x14ac:dyDescent="0.15">
      <c r="A913" s="62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</row>
    <row r="914" spans="1:21" ht="13" x14ac:dyDescent="0.15">
      <c r="A914" s="62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</row>
    <row r="915" spans="1:21" ht="13" x14ac:dyDescent="0.15">
      <c r="A915" s="62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</row>
    <row r="916" spans="1:21" ht="13" x14ac:dyDescent="0.15">
      <c r="A916" s="62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</row>
    <row r="917" spans="1:21" ht="13" x14ac:dyDescent="0.15">
      <c r="A917" s="62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</row>
    <row r="918" spans="1:21" ht="13" x14ac:dyDescent="0.15">
      <c r="A918" s="62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</row>
    <row r="919" spans="1:21" ht="13" x14ac:dyDescent="0.15">
      <c r="A919" s="62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</row>
    <row r="920" spans="1:21" ht="13" x14ac:dyDescent="0.15">
      <c r="A920" s="62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</row>
    <row r="921" spans="1:21" ht="13" x14ac:dyDescent="0.15">
      <c r="A921" s="62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</row>
    <row r="922" spans="1:21" ht="13" x14ac:dyDescent="0.15">
      <c r="A922" s="62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</row>
    <row r="923" spans="1:21" ht="13" x14ac:dyDescent="0.15">
      <c r="A923" s="62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</row>
    <row r="924" spans="1:21" ht="13" x14ac:dyDescent="0.15">
      <c r="A924" s="62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</row>
    <row r="925" spans="1:21" ht="13" x14ac:dyDescent="0.15">
      <c r="A925" s="62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</row>
    <row r="926" spans="1:21" ht="13" x14ac:dyDescent="0.15">
      <c r="A926" s="62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</row>
    <row r="927" spans="1:21" ht="13" x14ac:dyDescent="0.15">
      <c r="A927" s="62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</row>
    <row r="928" spans="1:21" ht="13" x14ac:dyDescent="0.15">
      <c r="A928" s="62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</row>
    <row r="929" spans="1:21" ht="13" x14ac:dyDescent="0.15">
      <c r="A929" s="62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</row>
    <row r="930" spans="1:21" ht="13" x14ac:dyDescent="0.15">
      <c r="A930" s="62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</row>
    <row r="931" spans="1:21" ht="13" x14ac:dyDescent="0.15">
      <c r="A931" s="62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</row>
    <row r="932" spans="1:21" ht="13" x14ac:dyDescent="0.15">
      <c r="A932" s="62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</row>
    <row r="933" spans="1:21" ht="13" x14ac:dyDescent="0.15">
      <c r="A933" s="62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</row>
    <row r="934" spans="1:21" ht="13" x14ac:dyDescent="0.15">
      <c r="A934" s="62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</row>
    <row r="935" spans="1:21" ht="13" x14ac:dyDescent="0.15">
      <c r="A935" s="62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</row>
    <row r="936" spans="1:21" ht="13" x14ac:dyDescent="0.15">
      <c r="A936" s="62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</row>
    <row r="937" spans="1:21" ht="13" x14ac:dyDescent="0.15">
      <c r="A937" s="62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</row>
    <row r="938" spans="1:21" ht="13" x14ac:dyDescent="0.15">
      <c r="A938" s="62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</row>
    <row r="939" spans="1:21" ht="13" x14ac:dyDescent="0.15">
      <c r="A939" s="62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</row>
    <row r="940" spans="1:21" ht="13" x14ac:dyDescent="0.15">
      <c r="A940" s="62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</row>
    <row r="941" spans="1:21" ht="13" x14ac:dyDescent="0.15">
      <c r="A941" s="62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</row>
    <row r="942" spans="1:21" ht="13" x14ac:dyDescent="0.15">
      <c r="A942" s="62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</row>
    <row r="943" spans="1:21" ht="13" x14ac:dyDescent="0.15">
      <c r="A943" s="62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</row>
    <row r="944" spans="1:21" ht="13" x14ac:dyDescent="0.15">
      <c r="A944" s="62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</row>
    <row r="945" spans="1:21" ht="13" x14ac:dyDescent="0.15">
      <c r="A945" s="62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</row>
    <row r="946" spans="1:21" ht="13" x14ac:dyDescent="0.15">
      <c r="A946" s="62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</row>
    <row r="947" spans="1:21" ht="13" x14ac:dyDescent="0.15">
      <c r="A947" s="62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</row>
    <row r="948" spans="1:21" ht="13" x14ac:dyDescent="0.15">
      <c r="A948" s="62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</row>
    <row r="949" spans="1:21" ht="13" x14ac:dyDescent="0.15">
      <c r="A949" s="62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</row>
    <row r="950" spans="1:21" ht="13" x14ac:dyDescent="0.15">
      <c r="A950" s="62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</row>
    <row r="951" spans="1:21" ht="13" x14ac:dyDescent="0.15">
      <c r="A951" s="62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</row>
    <row r="952" spans="1:21" ht="13" x14ac:dyDescent="0.15">
      <c r="A952" s="62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</row>
    <row r="953" spans="1:21" ht="13" x14ac:dyDescent="0.15">
      <c r="A953" s="62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</row>
    <row r="954" spans="1:21" ht="13" x14ac:dyDescent="0.15">
      <c r="A954" s="62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</row>
    <row r="955" spans="1:21" ht="13" x14ac:dyDescent="0.15">
      <c r="A955" s="62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</row>
    <row r="956" spans="1:21" ht="13" x14ac:dyDescent="0.15">
      <c r="A956" s="62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</row>
    <row r="957" spans="1:21" ht="13" x14ac:dyDescent="0.15">
      <c r="A957" s="62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</row>
    <row r="958" spans="1:21" ht="13" x14ac:dyDescent="0.15">
      <c r="A958" s="62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</row>
    <row r="959" spans="1:21" ht="13" x14ac:dyDescent="0.15">
      <c r="A959" s="62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</row>
    <row r="960" spans="1:21" ht="13" x14ac:dyDescent="0.15">
      <c r="A960" s="62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</row>
    <row r="961" spans="1:21" ht="13" x14ac:dyDescent="0.15">
      <c r="A961" s="62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</row>
    <row r="962" spans="1:21" ht="13" x14ac:dyDescent="0.15">
      <c r="A962" s="62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</row>
    <row r="963" spans="1:21" ht="13" x14ac:dyDescent="0.15">
      <c r="A963" s="62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</row>
    <row r="964" spans="1:21" ht="13" x14ac:dyDescent="0.15">
      <c r="A964" s="62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</row>
    <row r="965" spans="1:21" ht="13" x14ac:dyDescent="0.15">
      <c r="A965" s="62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</row>
    <row r="966" spans="1:21" ht="13" x14ac:dyDescent="0.15">
      <c r="A966" s="62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</row>
    <row r="967" spans="1:21" ht="13" x14ac:dyDescent="0.15">
      <c r="A967" s="62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</row>
    <row r="968" spans="1:21" ht="13" x14ac:dyDescent="0.15">
      <c r="A968" s="62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</row>
    <row r="969" spans="1:21" ht="13" x14ac:dyDescent="0.15">
      <c r="A969" s="62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</row>
    <row r="970" spans="1:21" ht="13" x14ac:dyDescent="0.15">
      <c r="A970" s="62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</row>
    <row r="971" spans="1:21" ht="13" x14ac:dyDescent="0.15">
      <c r="A971" s="62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</row>
    <row r="972" spans="1:21" ht="13" x14ac:dyDescent="0.15">
      <c r="A972" s="62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</row>
    <row r="973" spans="1:21" ht="13" x14ac:dyDescent="0.15">
      <c r="A973" s="62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</row>
    <row r="974" spans="1:21" ht="13" x14ac:dyDescent="0.15">
      <c r="A974" s="62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</row>
    <row r="975" spans="1:21" ht="13" x14ac:dyDescent="0.15">
      <c r="A975" s="62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</row>
    <row r="976" spans="1:21" ht="13" x14ac:dyDescent="0.15">
      <c r="A976" s="62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</row>
    <row r="977" spans="1:21" ht="13" x14ac:dyDescent="0.15">
      <c r="A977" s="62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</row>
    <row r="978" spans="1:21" ht="13" x14ac:dyDescent="0.15">
      <c r="A978" s="62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</row>
    <row r="979" spans="1:21" ht="13" x14ac:dyDescent="0.15">
      <c r="A979" s="62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</row>
    <row r="980" spans="1:21" ht="13" x14ac:dyDescent="0.15">
      <c r="A980" s="62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</row>
    <row r="981" spans="1:21" ht="13" x14ac:dyDescent="0.15">
      <c r="A981" s="62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</row>
    <row r="982" spans="1:21" ht="13" x14ac:dyDescent="0.15">
      <c r="A982" s="62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</row>
    <row r="983" spans="1:21" ht="13" x14ac:dyDescent="0.15">
      <c r="A983" s="62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</row>
    <row r="984" spans="1:21" ht="13" x14ac:dyDescent="0.15">
      <c r="A984" s="62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</row>
    <row r="985" spans="1:21" ht="13" x14ac:dyDescent="0.15">
      <c r="A985" s="62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</row>
    <row r="986" spans="1:21" ht="13" x14ac:dyDescent="0.15">
      <c r="A986" s="62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</row>
    <row r="987" spans="1:21" ht="13" x14ac:dyDescent="0.15">
      <c r="A987" s="62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</row>
    <row r="988" spans="1:21" ht="13" x14ac:dyDescent="0.15">
      <c r="A988" s="62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</row>
    <row r="989" spans="1:21" ht="13" x14ac:dyDescent="0.15">
      <c r="A989" s="62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</row>
    <row r="990" spans="1:21" ht="13" x14ac:dyDescent="0.15">
      <c r="A990" s="62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</row>
    <row r="991" spans="1:21" ht="13" x14ac:dyDescent="0.15">
      <c r="A991" s="62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</row>
    <row r="992" spans="1:21" ht="13" x14ac:dyDescent="0.15">
      <c r="A992" s="62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</row>
    <row r="993" spans="1:21" ht="13" x14ac:dyDescent="0.15">
      <c r="A993" s="62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</row>
    <row r="994" spans="1:21" ht="13" x14ac:dyDescent="0.15">
      <c r="A994" s="62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</row>
    <row r="995" spans="1:21" ht="13" x14ac:dyDescent="0.15">
      <c r="A995" s="62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</row>
    <row r="996" spans="1:21" ht="13" x14ac:dyDescent="0.15">
      <c r="A996" s="62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</row>
    <row r="997" spans="1:21" ht="13" x14ac:dyDescent="0.15">
      <c r="A997" s="62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</row>
    <row r="998" spans="1:21" ht="13" x14ac:dyDescent="0.15">
      <c r="A998" s="62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</row>
    <row r="999" spans="1:21" ht="13" x14ac:dyDescent="0.15">
      <c r="A999" s="62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</row>
    <row r="1000" spans="1:21" ht="13" x14ac:dyDescent="0.15">
      <c r="A1000" s="62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</row>
  </sheetData>
  <mergeCells count="1">
    <mergeCell ref="F1:U1"/>
  </mergeCells>
  <conditionalFormatting sqref="D3:E3">
    <cfRule type="containsText" dxfId="0" priority="1" operator="containsText" text="hosteller">
      <formula>NOT(ISERROR(SEARCH(("hosteller"),(D3))))</formula>
    </cfRule>
  </conditionalFormatting>
  <printOptions horizontalCentered="1" gridLines="1"/>
  <pageMargins left="0.7" right="0.7" top="0.75" bottom="0.75" header="0" footer="0"/>
  <pageSetup paperSize="9" scale="150" pageOrder="overThenDown" orientation="landscape" cellComments="atEnd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R3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2.6640625" defaultRowHeight="15.75" customHeight="1" x14ac:dyDescent="0.15"/>
  <cols>
    <col min="1" max="1" width="12.6640625" customWidth="1"/>
    <col min="5" max="5" width="7.6640625" customWidth="1"/>
    <col min="6" max="6" width="11.1640625" customWidth="1"/>
    <col min="7" max="8" width="6.5" customWidth="1"/>
    <col min="9" max="14" width="7.5" customWidth="1"/>
    <col min="15" max="15" width="5.83203125" customWidth="1"/>
    <col min="16" max="18" width="7.5" customWidth="1"/>
  </cols>
  <sheetData>
    <row r="1" spans="1:18" ht="15.75" customHeight="1" x14ac:dyDescent="0.15">
      <c r="A1" s="102" t="s">
        <v>588</v>
      </c>
      <c r="B1" s="103"/>
      <c r="C1" s="103"/>
      <c r="D1" s="104"/>
      <c r="F1" s="102" t="s">
        <v>589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4"/>
    </row>
    <row r="2" spans="1:18" ht="15.75" customHeight="1" x14ac:dyDescent="0.15">
      <c r="A2" s="76" t="s">
        <v>590</v>
      </c>
      <c r="B2" s="52" t="s">
        <v>15</v>
      </c>
      <c r="C2" s="52" t="s">
        <v>22</v>
      </c>
      <c r="D2" s="77" t="s">
        <v>591</v>
      </c>
      <c r="F2" s="76" t="s">
        <v>590</v>
      </c>
      <c r="G2" s="52" t="s">
        <v>557</v>
      </c>
      <c r="H2" s="52" t="s">
        <v>558</v>
      </c>
      <c r="I2" s="52" t="s">
        <v>592</v>
      </c>
      <c r="J2" s="52" t="s">
        <v>593</v>
      </c>
      <c r="K2" s="52" t="s">
        <v>561</v>
      </c>
      <c r="L2" s="52" t="s">
        <v>562</v>
      </c>
      <c r="M2" s="52" t="s">
        <v>563</v>
      </c>
      <c r="N2" s="52" t="s">
        <v>564</v>
      </c>
      <c r="O2" s="52" t="s">
        <v>565</v>
      </c>
      <c r="P2" s="52" t="s">
        <v>554</v>
      </c>
      <c r="Q2" s="52" t="s">
        <v>555</v>
      </c>
      <c r="R2" s="77" t="s">
        <v>556</v>
      </c>
    </row>
    <row r="3" spans="1:18" ht="15.75" customHeight="1" x14ac:dyDescent="0.15">
      <c r="A3" s="78" t="s">
        <v>594</v>
      </c>
      <c r="B3" s="2">
        <f>Nur!B2</f>
        <v>2</v>
      </c>
      <c r="C3" s="2">
        <f>Nur!C2</f>
        <v>9</v>
      </c>
      <c r="D3" s="79">
        <f>COUNTIF(Admission!H:H,A3)</f>
        <v>11</v>
      </c>
      <c r="F3" s="78" t="s">
        <v>594</v>
      </c>
      <c r="G3" s="2">
        <f>Nur!F2</f>
        <v>4900</v>
      </c>
      <c r="H3" s="2">
        <f>Nur!G2</f>
        <v>6100</v>
      </c>
      <c r="I3" s="2">
        <f>Nur!H2</f>
        <v>6700</v>
      </c>
      <c r="J3" s="2">
        <f>Nur!J2</f>
        <v>6700</v>
      </c>
      <c r="K3" s="2">
        <f>Nur!K2</f>
        <v>11600</v>
      </c>
      <c r="L3" s="2">
        <f>Nur!L2</f>
        <v>12800</v>
      </c>
      <c r="M3" s="2">
        <f>Nur!N2</f>
        <v>12200</v>
      </c>
      <c r="N3" s="2">
        <f>Nur!O2</f>
        <v>12200</v>
      </c>
      <c r="O3" s="2">
        <f>Nur!P2</f>
        <v>12200</v>
      </c>
      <c r="P3" s="2">
        <f>Nur!R2</f>
        <v>11600</v>
      </c>
      <c r="Q3" s="2">
        <f>Nur!S2</f>
        <v>11000</v>
      </c>
      <c r="R3" s="79">
        <f>Nur!U2</f>
        <v>11000</v>
      </c>
    </row>
    <row r="4" spans="1:18" ht="15.75" customHeight="1" x14ac:dyDescent="0.15">
      <c r="A4" s="78" t="s">
        <v>100</v>
      </c>
      <c r="B4" s="2">
        <f>LKG!B2</f>
        <v>8</v>
      </c>
      <c r="C4" s="2">
        <f>LKG!C2</f>
        <v>5</v>
      </c>
      <c r="D4" s="79">
        <f t="shared" ref="D4:D5" si="0">SUM(A4:C4)</f>
        <v>13</v>
      </c>
      <c r="F4" s="78" t="s">
        <v>100</v>
      </c>
      <c r="G4" s="2">
        <f>LKG!F2</f>
        <v>16000</v>
      </c>
      <c r="H4" s="2">
        <f>LKG!G2</f>
        <v>21500</v>
      </c>
      <c r="I4" s="2">
        <f>LKG!I2</f>
        <v>32000</v>
      </c>
      <c r="J4" s="2">
        <f>LKG!J2</f>
        <v>32000</v>
      </c>
      <c r="K4" s="2">
        <f>LKG!K2</f>
        <v>31000</v>
      </c>
      <c r="L4" s="2">
        <f>LKG!L2</f>
        <v>32000</v>
      </c>
      <c r="M4" s="2">
        <f>LKG!N2</f>
        <v>32000</v>
      </c>
      <c r="N4" s="2">
        <f>LKG!O2</f>
        <v>32000</v>
      </c>
      <c r="O4" s="2">
        <f>LKG!P2</f>
        <v>32000</v>
      </c>
      <c r="P4" s="2">
        <f>LKG!R2</f>
        <v>32000</v>
      </c>
      <c r="Q4" s="2">
        <f>LKG!S2</f>
        <v>31400</v>
      </c>
      <c r="R4" s="79">
        <f>LKG!U2</f>
        <v>31402</v>
      </c>
    </row>
    <row r="5" spans="1:18" ht="15.75" customHeight="1" x14ac:dyDescent="0.15">
      <c r="A5" s="78" t="s">
        <v>65</v>
      </c>
      <c r="B5" s="2">
        <f>UKG!B2</f>
        <v>17</v>
      </c>
      <c r="C5" s="2">
        <f>UKG!C2</f>
        <v>5</v>
      </c>
      <c r="D5" s="79">
        <f t="shared" si="0"/>
        <v>22</v>
      </c>
      <c r="F5" s="78" t="s">
        <v>65</v>
      </c>
      <c r="G5" s="2">
        <f>UKG!F2</f>
        <v>21500</v>
      </c>
      <c r="H5" s="2">
        <f>UKG!G2</f>
        <v>40000</v>
      </c>
      <c r="I5" s="2">
        <f>UKG!H2</f>
        <v>62200</v>
      </c>
      <c r="J5" s="2">
        <f>UKG!J2</f>
        <v>65900</v>
      </c>
      <c r="K5" s="2">
        <f>UKG!K2</f>
        <v>65900</v>
      </c>
      <c r="L5" s="2">
        <f>UKG!L2</f>
        <v>65900</v>
      </c>
      <c r="M5" s="2">
        <f>UKG!N2</f>
        <v>69000</v>
      </c>
      <c r="N5" s="2">
        <f>UKG!O2</f>
        <v>69000</v>
      </c>
      <c r="O5" s="2">
        <f>UKG!P2</f>
        <v>69000</v>
      </c>
      <c r="P5" s="2">
        <f>UKG!R2</f>
        <v>69000</v>
      </c>
      <c r="Q5" s="2">
        <f>UKG!S2</f>
        <v>69000</v>
      </c>
      <c r="R5" s="79">
        <f>UKG!U2</f>
        <v>68600</v>
      </c>
    </row>
    <row r="6" spans="1:18" ht="15.75" customHeight="1" x14ac:dyDescent="0.15">
      <c r="A6" s="78" t="s">
        <v>28</v>
      </c>
      <c r="B6" s="2">
        <f>I!B2</f>
        <v>17</v>
      </c>
      <c r="C6" s="2">
        <f>I!C2</f>
        <v>14</v>
      </c>
      <c r="D6" s="79">
        <f>COUNTIF(Admission!H:H,A6)</f>
        <v>33</v>
      </c>
      <c r="F6" s="78" t="s">
        <v>28</v>
      </c>
      <c r="G6" s="2">
        <f>I!F2</f>
        <v>52100</v>
      </c>
      <c r="H6" s="2">
        <f>I!G2</f>
        <v>56500</v>
      </c>
      <c r="I6" s="2">
        <f>I!H2</f>
        <v>67000</v>
      </c>
      <c r="J6" s="2">
        <f>I!J2</f>
        <v>67000</v>
      </c>
      <c r="K6" s="2">
        <f>I!K2</f>
        <v>67000</v>
      </c>
      <c r="L6" s="2">
        <f>I!L2</f>
        <v>67000</v>
      </c>
      <c r="M6" s="2">
        <f>I!N2</f>
        <v>60200</v>
      </c>
      <c r="N6" s="2">
        <f>I!O2</f>
        <v>59600</v>
      </c>
      <c r="O6" s="2">
        <f>I!P2</f>
        <v>55900</v>
      </c>
      <c r="P6" s="2">
        <f>I!R2</f>
        <v>55500</v>
      </c>
      <c r="Q6" s="2">
        <f>I!S2</f>
        <v>55300</v>
      </c>
      <c r="R6" s="79">
        <f>I!U2</f>
        <v>55300</v>
      </c>
    </row>
    <row r="7" spans="1:18" ht="15.75" customHeight="1" x14ac:dyDescent="0.15">
      <c r="A7" s="78" t="s">
        <v>104</v>
      </c>
      <c r="B7" s="2">
        <f>II!B2</f>
        <v>12</v>
      </c>
      <c r="C7" s="2">
        <f>II!C2</f>
        <v>9</v>
      </c>
      <c r="D7" s="79">
        <f>COUNTIF(Admission!H:H,A7)</f>
        <v>21</v>
      </c>
      <c r="F7" s="78" t="s">
        <v>104</v>
      </c>
      <c r="G7" s="2">
        <f>II!F2</f>
        <v>43200</v>
      </c>
      <c r="H7" s="2">
        <f>II!G2</f>
        <v>51200</v>
      </c>
      <c r="I7" s="2">
        <f>II!H2</f>
        <v>55200</v>
      </c>
      <c r="J7" s="2">
        <f>II!J2</f>
        <v>55200</v>
      </c>
      <c r="K7" s="2">
        <f>II!K2</f>
        <v>55200</v>
      </c>
      <c r="L7" s="2">
        <f>II!L2</f>
        <v>55200</v>
      </c>
      <c r="M7" s="2">
        <f>II!N2</f>
        <v>54400</v>
      </c>
      <c r="N7" s="2">
        <f>II!O2</f>
        <v>54400</v>
      </c>
      <c r="O7" s="2">
        <v>49600</v>
      </c>
      <c r="P7" s="2">
        <f>II!R2</f>
        <v>43200</v>
      </c>
      <c r="Q7" s="2">
        <f>II!S2</f>
        <v>43200</v>
      </c>
      <c r="R7" s="79">
        <f>II!U2</f>
        <v>42400</v>
      </c>
    </row>
    <row r="8" spans="1:18" ht="15.75" customHeight="1" x14ac:dyDescent="0.15">
      <c r="A8" s="78" t="s">
        <v>83</v>
      </c>
      <c r="B8" s="2">
        <f>III!B2</f>
        <v>11</v>
      </c>
      <c r="C8" s="2">
        <f>III!C2</f>
        <v>6</v>
      </c>
      <c r="D8" s="79">
        <f>COUNTIF(Admission!H:H,A8)</f>
        <v>17</v>
      </c>
      <c r="F8" s="78" t="s">
        <v>83</v>
      </c>
      <c r="G8" s="2">
        <f>III!F2</f>
        <v>32600</v>
      </c>
      <c r="H8" s="2">
        <f>III!G2</f>
        <v>40800</v>
      </c>
      <c r="I8" s="2">
        <f>III!H2</f>
        <v>48800</v>
      </c>
      <c r="J8" s="2">
        <f>III!J2</f>
        <v>44800</v>
      </c>
      <c r="K8" s="2">
        <f>III!K2</f>
        <v>36000</v>
      </c>
      <c r="L8" s="2">
        <f>III!L2</f>
        <v>35200</v>
      </c>
      <c r="M8" s="2">
        <f>III!N2</f>
        <v>38400</v>
      </c>
      <c r="N8" s="2">
        <f>III!O2</f>
        <v>34400</v>
      </c>
      <c r="O8" s="2">
        <f>III!P2</f>
        <v>38400</v>
      </c>
      <c r="P8" s="2">
        <f>III!R2</f>
        <v>38400</v>
      </c>
      <c r="Q8" s="2">
        <f>III!S2</f>
        <v>37600</v>
      </c>
      <c r="R8" s="79">
        <f>III!U2</f>
        <v>37600</v>
      </c>
    </row>
    <row r="9" spans="1:18" ht="15.75" customHeight="1" x14ac:dyDescent="0.15">
      <c r="A9" s="78" t="s">
        <v>19</v>
      </c>
      <c r="B9" s="2">
        <f>IV!B2</f>
        <v>14</v>
      </c>
      <c r="C9" s="2">
        <f>IV!C2</f>
        <v>7</v>
      </c>
      <c r="D9" s="79">
        <f>COUNTIF(Admission!H:H,A9)</f>
        <v>21</v>
      </c>
      <c r="F9" s="78" t="s">
        <v>19</v>
      </c>
      <c r="G9" s="2">
        <f>IV!F2</f>
        <v>34100</v>
      </c>
      <c r="H9" s="2">
        <f>IV!G2</f>
        <v>60550</v>
      </c>
      <c r="I9" s="2">
        <f>IV!H2</f>
        <v>60550</v>
      </c>
      <c r="J9" s="2">
        <f>IV!J2</f>
        <v>60550</v>
      </c>
      <c r="K9" s="2">
        <f>IV!K2</f>
        <v>52150</v>
      </c>
      <c r="L9" s="2">
        <f>IV!L2</f>
        <v>52150</v>
      </c>
      <c r="M9" s="2">
        <f>IV!N2</f>
        <v>52150</v>
      </c>
      <c r="N9" s="2">
        <f>IV!O2</f>
        <v>52150</v>
      </c>
      <c r="O9" s="2">
        <v>25050</v>
      </c>
      <c r="P9" s="2">
        <f>IV!R2</f>
        <v>46250</v>
      </c>
      <c r="Q9" s="2">
        <f>IV!S2</f>
        <v>46250</v>
      </c>
      <c r="R9" s="79">
        <f>IV!U2</f>
        <v>40350</v>
      </c>
    </row>
    <row r="10" spans="1:18" ht="15.75" customHeight="1" x14ac:dyDescent="0.15">
      <c r="A10" s="78" t="s">
        <v>40</v>
      </c>
      <c r="B10" s="2">
        <f>V!B2</f>
        <v>13</v>
      </c>
      <c r="C10" s="2">
        <f>V!C2</f>
        <v>3</v>
      </c>
      <c r="D10" s="79">
        <f>COUNTIF(Admission!H:H,A10)</f>
        <v>16</v>
      </c>
      <c r="F10" s="78" t="s">
        <v>40</v>
      </c>
      <c r="G10" s="2">
        <f>V!F2</f>
        <v>36150</v>
      </c>
      <c r="H10" s="2">
        <f>V!G2</f>
        <v>44550</v>
      </c>
      <c r="I10" s="2">
        <f>V!H2</f>
        <v>48750</v>
      </c>
      <c r="J10" s="2">
        <f>V!J2</f>
        <v>48750</v>
      </c>
      <c r="K10" s="2">
        <f>V!K2</f>
        <v>48750</v>
      </c>
      <c r="L10" s="2">
        <f>V!L2</f>
        <v>47900</v>
      </c>
      <c r="M10" s="2">
        <f>V!N2</f>
        <v>47900</v>
      </c>
      <c r="N10" s="2">
        <f>V!O2</f>
        <v>52100</v>
      </c>
      <c r="O10" s="2">
        <f>V!P2</f>
        <v>52100</v>
      </c>
      <c r="P10" s="2">
        <f>V!R2</f>
        <v>52100</v>
      </c>
      <c r="Q10" s="2">
        <f>V!S2</f>
        <v>52100</v>
      </c>
      <c r="R10" s="79">
        <f>V!U2</f>
        <v>52100</v>
      </c>
    </row>
    <row r="11" spans="1:18" ht="15.75" customHeight="1" x14ac:dyDescent="0.15">
      <c r="A11" s="78" t="s">
        <v>198</v>
      </c>
      <c r="B11" s="2">
        <f>VI!B2</f>
        <v>5</v>
      </c>
      <c r="C11" s="2">
        <f>VI!C2</f>
        <v>2</v>
      </c>
      <c r="D11" s="79">
        <f>COUNTIF(Admission!H:H,A11)</f>
        <v>7</v>
      </c>
      <c r="F11" s="78" t="s">
        <v>198</v>
      </c>
      <c r="G11" s="2">
        <f>VI!F2</f>
        <v>19850</v>
      </c>
      <c r="H11" s="2">
        <f>VI!G2</f>
        <v>24350</v>
      </c>
      <c r="I11" s="2">
        <f>VI!H2</f>
        <v>24500</v>
      </c>
      <c r="J11" s="2">
        <f>VI!J2</f>
        <v>24500</v>
      </c>
      <c r="K11" s="2">
        <f>VI!K2</f>
        <v>24500</v>
      </c>
      <c r="L11" s="2">
        <f>VI!L2</f>
        <v>24500</v>
      </c>
      <c r="M11" s="2">
        <f>VI!N2</f>
        <v>24500</v>
      </c>
      <c r="N11" s="2">
        <f>VI!O2</f>
        <v>24500</v>
      </c>
      <c r="O11" s="2">
        <f>VI!P2</f>
        <v>23500</v>
      </c>
      <c r="P11" s="2">
        <f>VI!R2</f>
        <v>23500</v>
      </c>
      <c r="Q11" s="2">
        <f>VI!S2</f>
        <v>22500</v>
      </c>
      <c r="R11" s="79">
        <f>VI!U2</f>
        <v>22500</v>
      </c>
    </row>
    <row r="12" spans="1:18" ht="15.75" customHeight="1" x14ac:dyDescent="0.15">
      <c r="A12" s="78" t="s">
        <v>51</v>
      </c>
      <c r="B12" s="2">
        <f>VII!B2</f>
        <v>5</v>
      </c>
      <c r="C12" s="2">
        <f>VII!C2</f>
        <v>6</v>
      </c>
      <c r="D12" s="79">
        <f>SUM(A12:C12)</f>
        <v>11</v>
      </c>
      <c r="F12" s="78" t="s">
        <v>51</v>
      </c>
      <c r="G12" s="2">
        <f>VII!F2</f>
        <v>24000</v>
      </c>
      <c r="H12" s="2">
        <f>VII!G2</f>
        <v>24000</v>
      </c>
      <c r="I12" s="2">
        <f>VII!H2</f>
        <v>24000</v>
      </c>
      <c r="J12" s="2">
        <f>VII!J2</f>
        <v>24000</v>
      </c>
      <c r="K12" s="2">
        <f>VII!K2</f>
        <v>24000</v>
      </c>
      <c r="L12" s="2">
        <f>VII!L2</f>
        <v>27500</v>
      </c>
      <c r="M12" s="2">
        <f>VII!N2</f>
        <v>27500</v>
      </c>
      <c r="N12" s="2">
        <f>VII!O2</f>
        <v>27500</v>
      </c>
      <c r="O12" s="2">
        <f>VII!P2</f>
        <v>18950</v>
      </c>
      <c r="P12" s="2">
        <f>VII!R2</f>
        <v>17500</v>
      </c>
      <c r="Q12" s="2">
        <f>VII!S2</f>
        <v>16500</v>
      </c>
      <c r="R12" s="79">
        <f>VII!U2</f>
        <v>11000</v>
      </c>
    </row>
    <row r="13" spans="1:18" ht="15.75" customHeight="1" x14ac:dyDescent="0.15">
      <c r="A13" s="78" t="s">
        <v>210</v>
      </c>
      <c r="B13" s="2">
        <f>VIII!B2</f>
        <v>7</v>
      </c>
      <c r="C13" s="2">
        <f>VIII!C2</f>
        <v>4</v>
      </c>
      <c r="D13" s="79">
        <f>COUNTIF(Admission!H:H,A13)</f>
        <v>11</v>
      </c>
      <c r="F13" s="78" t="s">
        <v>210</v>
      </c>
      <c r="G13" s="2">
        <f>VIII!F2</f>
        <v>31400</v>
      </c>
      <c r="H13" s="2">
        <f>VIII!G2</f>
        <v>37200</v>
      </c>
      <c r="I13" s="2">
        <f>VIII!H2</f>
        <v>32200</v>
      </c>
      <c r="J13" s="2">
        <f>VIII!J2</f>
        <v>33300</v>
      </c>
      <c r="K13" s="2">
        <f>VIII!K2</f>
        <v>32200</v>
      </c>
      <c r="L13" s="2">
        <f>VIII!L2</f>
        <v>32200</v>
      </c>
      <c r="M13" s="2">
        <f>VIII!N2</f>
        <v>27200</v>
      </c>
      <c r="N13" s="2">
        <f>VIII!O2</f>
        <v>27200</v>
      </c>
      <c r="O13" s="2">
        <f>VIII!P2</f>
        <v>27200</v>
      </c>
      <c r="P13" s="2">
        <f>VIII!R2</f>
        <v>27200</v>
      </c>
      <c r="Q13" s="2">
        <f>VIII!S2</f>
        <v>22200</v>
      </c>
      <c r="R13" s="79">
        <f>VIII!U2</f>
        <v>12200</v>
      </c>
    </row>
    <row r="14" spans="1:18" ht="15.75" customHeight="1" x14ac:dyDescent="0.15">
      <c r="A14" s="80"/>
      <c r="B14" s="81">
        <f t="shared" ref="B14:D14" si="1">SUM(B3:B13)</f>
        <v>111</v>
      </c>
      <c r="C14" s="81">
        <f t="shared" si="1"/>
        <v>70</v>
      </c>
      <c r="D14" s="82">
        <f t="shared" si="1"/>
        <v>183</v>
      </c>
      <c r="F14" s="80" t="s">
        <v>591</v>
      </c>
      <c r="G14" s="81">
        <f t="shared" ref="G14:R14" si="2">SUM(G3:G13)</f>
        <v>315800</v>
      </c>
      <c r="H14" s="81">
        <f t="shared" si="2"/>
        <v>406750</v>
      </c>
      <c r="I14" s="81">
        <f t="shared" si="2"/>
        <v>461900</v>
      </c>
      <c r="J14" s="81">
        <f t="shared" si="2"/>
        <v>462700</v>
      </c>
      <c r="K14" s="81">
        <f t="shared" si="2"/>
        <v>448300</v>
      </c>
      <c r="L14" s="81">
        <f t="shared" si="2"/>
        <v>452350</v>
      </c>
      <c r="M14" s="81">
        <f t="shared" si="2"/>
        <v>445450</v>
      </c>
      <c r="N14" s="81">
        <f t="shared" si="2"/>
        <v>445050</v>
      </c>
      <c r="O14" s="81">
        <f t="shared" si="2"/>
        <v>403900</v>
      </c>
      <c r="P14" s="81">
        <f t="shared" si="2"/>
        <v>416250</v>
      </c>
      <c r="Q14" s="81">
        <f t="shared" si="2"/>
        <v>407050</v>
      </c>
      <c r="R14" s="81">
        <f t="shared" si="2"/>
        <v>384452</v>
      </c>
    </row>
    <row r="15" spans="1:18" ht="15.75" customHeight="1" x14ac:dyDescent="0.15">
      <c r="A15" s="49" t="s">
        <v>595</v>
      </c>
      <c r="B15" s="83">
        <f>COUNTIFS(Admission!C:C,B2,Admission!O:O,A15)</f>
        <v>5</v>
      </c>
      <c r="C15" s="83">
        <f>COUNTIFS(Admission!C:C,C2,Admission!O:O,A15)</f>
        <v>1</v>
      </c>
      <c r="D15" s="84">
        <f>COUNTIF(Admission!O:O,"left")</f>
        <v>6</v>
      </c>
      <c r="I15" s="2"/>
    </row>
    <row r="16" spans="1:18" ht="15.75" customHeight="1" x14ac:dyDescent="0.15">
      <c r="A16" s="49" t="s">
        <v>396</v>
      </c>
      <c r="B16" s="83">
        <f>COUNTIFS(Admission!C:C,B2,Admission!O:O,A16)</f>
        <v>2</v>
      </c>
      <c r="C16" s="83">
        <f>COUNTIFS(Admission!C:C,C2,Admission!O:O,A16)</f>
        <v>1</v>
      </c>
      <c r="D16" s="84">
        <f>COUNTIF(Admission!O:O,"free")</f>
        <v>3</v>
      </c>
    </row>
    <row r="17" spans="4:15" ht="15.75" customHeight="1" x14ac:dyDescent="0.15">
      <c r="D17" s="85">
        <f>D14-D15</f>
        <v>177</v>
      </c>
    </row>
    <row r="18" spans="4:15" ht="15.75" customHeight="1" x14ac:dyDescent="0.15">
      <c r="K18" s="23" t="s">
        <v>566</v>
      </c>
    </row>
    <row r="19" spans="4:15" ht="15.75" customHeight="1" x14ac:dyDescent="0.15">
      <c r="O19" s="23" t="s">
        <v>566</v>
      </c>
    </row>
    <row r="23" spans="4:15" ht="15.75" customHeight="1" x14ac:dyDescent="0.15">
      <c r="H23" s="86" t="s">
        <v>28</v>
      </c>
      <c r="I23" s="86">
        <v>15</v>
      </c>
      <c r="J23" s="86">
        <v>11</v>
      </c>
      <c r="K23" s="86">
        <v>26</v>
      </c>
      <c r="L23" s="105">
        <v>45</v>
      </c>
    </row>
    <row r="24" spans="4:15" ht="15.75" customHeight="1" x14ac:dyDescent="0.15">
      <c r="H24" s="86" t="s">
        <v>104</v>
      </c>
      <c r="I24" s="86">
        <v>9</v>
      </c>
      <c r="J24" s="86">
        <v>10</v>
      </c>
      <c r="K24" s="86">
        <v>19</v>
      </c>
      <c r="L24" s="106"/>
    </row>
    <row r="25" spans="4:15" ht="15.75" customHeight="1" x14ac:dyDescent="0.15">
      <c r="H25" s="86" t="s">
        <v>83</v>
      </c>
      <c r="I25" s="86">
        <v>15</v>
      </c>
      <c r="J25" s="86">
        <v>4</v>
      </c>
      <c r="K25" s="86">
        <v>19</v>
      </c>
      <c r="L25" s="105">
        <v>49</v>
      </c>
    </row>
    <row r="26" spans="4:15" ht="15.75" customHeight="1" x14ac:dyDescent="0.15">
      <c r="H26" s="86" t="s">
        <v>19</v>
      </c>
      <c r="I26" s="86">
        <v>13</v>
      </c>
      <c r="J26" s="86">
        <v>6</v>
      </c>
      <c r="K26" s="86">
        <v>19</v>
      </c>
      <c r="L26" s="107"/>
    </row>
    <row r="27" spans="4:15" ht="15.75" customHeight="1" x14ac:dyDescent="0.15">
      <c r="H27" s="86" t="s">
        <v>40</v>
      </c>
      <c r="I27" s="86">
        <v>9</v>
      </c>
      <c r="J27" s="86">
        <v>2</v>
      </c>
      <c r="K27" s="86">
        <v>11</v>
      </c>
      <c r="L27" s="106"/>
    </row>
    <row r="28" spans="4:15" ht="15.75" customHeight="1" x14ac:dyDescent="0.15">
      <c r="H28" s="86" t="s">
        <v>198</v>
      </c>
      <c r="I28" s="86">
        <v>11</v>
      </c>
      <c r="J28" s="86">
        <v>5</v>
      </c>
      <c r="K28" s="86">
        <v>16</v>
      </c>
      <c r="L28" s="105">
        <v>37</v>
      </c>
    </row>
    <row r="29" spans="4:15" ht="15.75" customHeight="1" x14ac:dyDescent="0.15">
      <c r="H29" s="86" t="s">
        <v>51</v>
      </c>
      <c r="I29" s="86">
        <v>10</v>
      </c>
      <c r="J29" s="86">
        <v>7</v>
      </c>
      <c r="K29" s="86">
        <v>17</v>
      </c>
      <c r="L29" s="107"/>
    </row>
    <row r="30" spans="4:15" ht="15.75" customHeight="1" x14ac:dyDescent="0.15">
      <c r="H30" s="86" t="s">
        <v>210</v>
      </c>
      <c r="I30" s="86">
        <v>2</v>
      </c>
      <c r="J30" s="86">
        <v>2</v>
      </c>
      <c r="K30" s="86">
        <v>4</v>
      </c>
      <c r="L30" s="106"/>
    </row>
  </sheetData>
  <mergeCells count="5">
    <mergeCell ref="A1:D1"/>
    <mergeCell ref="F1:R1"/>
    <mergeCell ref="L23:L24"/>
    <mergeCell ref="L25:L27"/>
    <mergeCell ref="L28:L30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20"/>
  <sheetViews>
    <sheetView workbookViewId="0">
      <selection sqref="A1:M1"/>
    </sheetView>
  </sheetViews>
  <sheetFormatPr baseColWidth="10" defaultColWidth="12.6640625" defaultRowHeight="15.75" customHeight="1" x14ac:dyDescent="0.15"/>
  <cols>
    <col min="1" max="1" width="11.33203125" customWidth="1"/>
  </cols>
  <sheetData>
    <row r="1" spans="1:13" ht="15.75" customHeight="1" x14ac:dyDescent="0.15">
      <c r="A1" s="102" t="s">
        <v>596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/>
    </row>
    <row r="2" spans="1:13" ht="15.75" customHeight="1" x14ac:dyDescent="0.15">
      <c r="A2" s="76" t="s">
        <v>590</v>
      </c>
      <c r="B2" s="52" t="s">
        <v>557</v>
      </c>
      <c r="C2" s="52" t="s">
        <v>558</v>
      </c>
      <c r="D2" s="52" t="s">
        <v>592</v>
      </c>
      <c r="E2" s="52" t="s">
        <v>593</v>
      </c>
      <c r="F2" s="52" t="s">
        <v>561</v>
      </c>
      <c r="G2" s="52" t="s">
        <v>562</v>
      </c>
      <c r="H2" s="52" t="s">
        <v>563</v>
      </c>
      <c r="I2" s="52" t="s">
        <v>564</v>
      </c>
      <c r="J2" s="52" t="s">
        <v>565</v>
      </c>
      <c r="K2" s="52" t="s">
        <v>554</v>
      </c>
      <c r="L2" s="52" t="s">
        <v>555</v>
      </c>
      <c r="M2" s="77" t="s">
        <v>556</v>
      </c>
    </row>
    <row r="3" spans="1:13" ht="15.75" customHeight="1" x14ac:dyDescent="0.15">
      <c r="A3" s="78" t="s">
        <v>594</v>
      </c>
      <c r="B3" s="85">
        <f>(Nur!$B$2*Fee!C4)+(Nur!C2*Fee!C18)-(COUNTIFS(Nur!$E$4:$E$100,Nur!$B$1,Nur!$F$4:$F$100,"NA")*Fee!C4+COUNTIFS(Nur!$E$4:$E$100,Nur!$C$1,Nur!$F$4:$F$100,"NA")*Fee!C18)</f>
        <v>12800</v>
      </c>
      <c r="C3" s="85">
        <f>(Nur!$B$2*Fee!C4)+(Nur!C2*Fee!C18)-(COUNTIFS(Nur!$E$4:$E$100,Nur!$B$1,Nur!$G$4:$G$100,"NA")*Fee!C4+COUNTIFS(Nur!$E$4:$E$100,Nur!$C$1,Nur!G4:G100,"NA")*Fee!C18)</f>
        <v>12800</v>
      </c>
      <c r="D3" s="85">
        <f>(Nur!$B$2*Fee!C4)+(Nur!C2*Fee!C18)-(COUNTIFS(Nur!$E$4:$E$100,Nur!$B$1,Nur!H4:H100,"NA")*Fee!C4+COUNTIFS(Nur!$E$4:$E$100,Nur!$C$1,Nur!H4:H100,"NA")*Fee!C18)</f>
        <v>12800</v>
      </c>
      <c r="E3" s="85">
        <f>(Nur!$B$2*Fee!C4)+(Nur!C2*Fee!C18)-(COUNTIFS(Nur!$E$4:$E$100,Nur!$B$1,Nur!J4:J100,"NA")*Fee!C4+COUNTIFS(Nur!$E$4:$E$100,Nur!$C$1,Nur!J4:J100,"NA")*Fee!C18)</f>
        <v>12800</v>
      </c>
      <c r="F3" s="2">
        <f>(Nur!$B$2*Fee!C4)+(Nur!C2*Fee!C18)-(COUNTIFS(Nur!$E$4:$E$100,Nur!$B$1,Nur!K4:K100,"NA")*Fee!C4+COUNTIFS(Nur!$E$4:$E$100,Nur!$C$1,Nur!K4:K100,"NA")*Fee!C18)</f>
        <v>12800</v>
      </c>
      <c r="G3" s="2">
        <f>(Nur!$B$2*Fee!C4)+(Nur!C2*Fee!C18)-(COUNTIFS(Nur!$E$4:$E$100,Nur!$B$1,Nur!L4:L100,"NA")*Fee!C4+COUNTIFS(Nur!$E$4:$E$100,Nur!$C$1,Nur!L4:L100,"NA")*Fee!C18)</f>
        <v>12800</v>
      </c>
      <c r="H3" s="2">
        <f>(Nur!$B$2*Fee!C4)+(Nur!C2*Fee!C18)-(COUNTIFS(Nur!$E$4:$E$100,Nur!$B$1,Nur!N4:N100,"NA")*Fee!C4+COUNTIFS(Nur!$E$4:$E$100,Nur!$C$1,Nur!N4:N100,"NA")*Fee!C18)</f>
        <v>12800</v>
      </c>
      <c r="I3" s="2">
        <f>(Nur!$B$2*Fee!C4)+(Nur!C2*Fee!C18)-(COUNTIFS(Nur!$E$4:$E$100,Nur!$B$1,Nur!O4:O100,"NA")*Fee!C4+COUNTIFS(Nur!$E$4:$E$100,Nur!$C$1,Nur!O4:O100,"NA")*Fee!C18)</f>
        <v>12800</v>
      </c>
      <c r="J3" s="2">
        <f>(Nur!$B$2*Fee!C4)+(Nur!C2*Fee!C18)-(COUNTIFS(Nur!$E$4:$E$100,Nur!$B$1,Nur!P4:P100,"NA")*Fee!C4+COUNTIFS(Nur!$E$4:$E$100,Nur!$C$1,Nur!P4:P100,"NA")*Fee!C18)</f>
        <v>12800</v>
      </c>
      <c r="K3" s="2">
        <f>(Nur!$B$2*Fee!C4)+(Nur!C2*Fee!C18)-(COUNTIFS(Nur!$E$4:$E$100,Nur!$B$1,Nur!R4:R100,"NA")*Fee!C4+COUNTIFS(Nur!$E$4:$E$100,Nur!$C$1,Nur!R4:R100,"NA")*Fee!C18)</f>
        <v>12800</v>
      </c>
      <c r="L3" s="2">
        <f>(Nur!$B$2*Fee!C4)+(Nur!C2*Fee!C18)-(COUNTIFS(Nur!$E$4:$E$100,Nur!$B$1,Nur!S4:S100,"NA")*Fee!C4+COUNTIFS(Nur!$E$4:$E$100,Nur!$C$1,Nur!S4:S100,"NA")*Fee!C18)</f>
        <v>12800</v>
      </c>
      <c r="M3" s="79">
        <f>(Nur!$B$2*Fee!C4)+(Nur!C2*Fee!C18)-(COUNTIFS(Nur!$E$4:$E$100,Nur!$B$1,Nur!U4:U100,"NA")*Fee!C4+COUNTIFS(Nur!$E$4:$E$100,Nur!$C$1,Nur!U4:U100,"NA")*Fee!C18)</f>
        <v>12800</v>
      </c>
    </row>
    <row r="4" spans="1:13" ht="15.75" customHeight="1" x14ac:dyDescent="0.15">
      <c r="A4" s="78" t="s">
        <v>100</v>
      </c>
      <c r="B4" s="85">
        <f>(LKG!$B$2*Fee!C5)+(LKG!C2*Fee!C19)-(COUNTIFS(LKG!$E$4:$E$98,LKG!$B$1,LKG!F4:F98,"NA")*Fee!C5+COUNTIFS(LKG!$E$4:$E$98,LKG!$C$1,LKG!F4:F98,"NA")*Fee!C19)</f>
        <v>32600</v>
      </c>
      <c r="C4" s="85">
        <f>(LKG!$B$2*Fee!C5)+(LKG!C2*Fee!C19)-(COUNTIFS(LKG!$E$4:$E$97,LKG!$B$1,LKG!G4:G97,"NA")*Fee!C5+COUNTIFS(LKG!$E$4:$E$97,LKG!$C$1,LKG!G4:G97,"NA")*Fee!C19)</f>
        <v>32600</v>
      </c>
      <c r="D4" s="85">
        <f>(LKG!$B$2*Fee!C5)+(LKG!C2*Fee!C19)-(COUNTIFS(LKG!$E$4:$E$97,LKG!$B$1,LKG!I4:I97,"NA")*Fee!C5+COUNTIFS(LKG!$E$4:$E$97,LKG!$C$1,LKG!I4:I97,"NA")*Fee!C19)</f>
        <v>32600</v>
      </c>
      <c r="E4" s="85">
        <f>(LKG!$B$2*Fee!C5)+(LKG!C2*Fee!C19)-(COUNTIFS(LKG!$E$4:$E$97,LKG!$B$1,LKG!J4:J97,"NA")*Fee!C5+COUNTIFS(LKG!$E$4:$E$97,LKG!$C$1,LKG!J4:J97,"NA")*Fee!C19)</f>
        <v>32600</v>
      </c>
      <c r="F4" s="2">
        <f>(LKG!$B$2*Fee!C5)+(LKG!C2*Fee!C19)-(COUNTIFS(LKG!$E$4:$E$97,LKG!$B$1,LKG!K4:K97,"NA")*Fee!C5+COUNTIFS(LKG!$E$4:$E$97,LKG!$C$1,LKG!K4:K97,"NA")*Fee!C19)</f>
        <v>32600</v>
      </c>
      <c r="G4" s="87">
        <f>(LKG!$B$2*Fee!C5)+(LKG!C2*Fee!C19)-(COUNTIFS(LKG!$E$4:$E$97,LKG!$B$1,LKG!L4:L97,"NA")*Fee!C5+COUNTIFS(LKG!$E$4:$E$97,LKG!$C$1,LKG!L4:L97,"NA")*Fee!C19)</f>
        <v>32600</v>
      </c>
      <c r="H4" s="2">
        <f>(LKG!$B$2*Fee!C5)+(LKG!C2*Fee!C19)-(COUNTIFS(LKG!$E$4:$E$97,LKG!$B$1,LKG!N4:N97,"NA")*Fee!C5+COUNTIFS(LKG!$E$4:$E$97,LKG!$C$1,LKG!N4:N97,"NA")*Fee!C19)</f>
        <v>32600</v>
      </c>
      <c r="I4" s="2">
        <f>(LKG!$B$2*Fee!C5)+(LKG!C2*Fee!C19)-(COUNTIFS(LKG!$E$4:$E$97,LKG!$B$1,LKG!O4:O97,"NA")*Fee!C5+COUNTIFS(LKG!$E$4:$E$97,LKG!$C$1,LKG!O4:O97,"NA")*Fee!C19)</f>
        <v>32600</v>
      </c>
      <c r="J4" s="2">
        <f>(LKG!$B$2*Fee!C5)+(LKG!C2*Fee!C19)-(COUNTIFS(LKG!$E$4:$E$97,LKG!$B$1,LKG!P4:P97,"NA")*Fee!C5+COUNTIFS(LKG!$E$4:$E$97,LKG!$C$1,LKG!P4:P97,"NA")*Fee!C19)</f>
        <v>32600</v>
      </c>
      <c r="K4" s="2">
        <f>(LKG!$B$2*Fee!C5)+(LKG!C2*Fee!C19)-(COUNTIFS(LKG!$E$4:$E$97,LKG!$B$1,LKG!R4:R97,"NA")*Fee!C5+COUNTIFS(LKG!$E$4:$E$97,LKG!$C$1,LKG!R4:R97,"NA")*Fee!C19)</f>
        <v>32600</v>
      </c>
      <c r="L4" s="2">
        <f>(LKG!$B$2*Fee!C5)+(LKG!C2*Fee!C19)-(COUNTIFS(LKG!$E$4:$E$97,LKG!$B$1,LKG!S4:S97,"NA")*Fee!C5+COUNTIFS(LKG!$E$4:$E$97,LKG!$C$1,LKG!S4:S97,"NA")*Fee!C19)</f>
        <v>32600</v>
      </c>
      <c r="M4" s="79">
        <f>(LKG!$B$2*Fee!C5)+(LKG!C2*Fee!C19)-(COUNTIFS(LKG!$E$4:$E$97,LKG!$B$1,LKG!U4:U97,"NA")*Fee!C5+COUNTIFS(LKG!$E$4:$E$97,LKG!$C$1,LKG!U4:U97,"NA")*Fee!C19)</f>
        <v>32600</v>
      </c>
    </row>
    <row r="5" spans="1:13" ht="15.75" customHeight="1" x14ac:dyDescent="0.15">
      <c r="A5" s="78" t="s">
        <v>65</v>
      </c>
      <c r="B5" s="85">
        <f>(UKG!$B$2*Fee!C6)+(UKG!C2*Fee!C20)-(COUNTIFS(UKG!$E$4:$E$95,UKG!$B$1,UKG!F4:F95,"NA")*Fee!C6+COUNTIFS(UKG!$E$4:$E$95,UKG!$C$1,UKG!F4:F95,"NA")*Fee!C20)</f>
        <v>65900</v>
      </c>
      <c r="C5" s="85">
        <f>(UKG!$B$2*Fee!C6)+(UKG!C2*Fee!C20)-(COUNTIFS(UKG!$E$4:$E$95,UKG!$B$1,UKG!G4:G95,"NA")*Fee!C6+COUNTIFS(UKG!$E$4:$E$95,UKG!$C$1,UKG!G4:G95,"NA")*Fee!C20)</f>
        <v>65900</v>
      </c>
      <c r="D5" s="85">
        <f>(UKG!$B$2*Fee!C6)+(UKG!C2*Fee!C20)-(COUNTIFS(UKG!$E$4:$E$95,UKG!$B$1,UKG!H4:H95,"NA")*Fee!C6+COUNTIFS(UKG!$E$4:$E$95,UKG!$C$1,UKG!H4:H95,"NA")*Fee!C20)</f>
        <v>65900</v>
      </c>
      <c r="E5" s="85">
        <f>(UKG!$B$2*Fee!C6)+(UKG!C2*Fee!C20)-(COUNTIFS(UKG!$E$4:$E$95,UKG!$B$1,UKG!J4:J95,"NA")*Fee!C6+COUNTIFS(UKG!$E$4:$E$95,UKG!$C$1,UKG!J4:J95,"NA")*Fee!C20)</f>
        <v>65900</v>
      </c>
      <c r="F5" s="2">
        <f>(UKG!$B$2*Fee!C6)+(UKG!C2*Fee!C20)-(COUNTIFS(UKG!$E$4:$E$95,UKG!$B$1,UKG!K4:K95,"NA")*Fee!C6+COUNTIFS(UKG!$E$4:$E$95,UKG!$C$1,UKG!K4:K95,"NA")*Fee!C20)</f>
        <v>65900</v>
      </c>
      <c r="G5" s="2">
        <f>(UKG!$B$2*Fee!C6)+(UKG!C2*Fee!C20)-(COUNTIFS(UKG!$E$4:$E$95,UKG!$B$1,UKG!L4:L95,"NA")*Fee!C6+COUNTIFS(UKG!$E$4:$E$95,UKG!$C$1,UKG!L4:L95,"NA")*Fee!C20)</f>
        <v>65900</v>
      </c>
      <c r="H5" s="2">
        <f>(UKG!$B$2*Fee!C6)+(UKG!C2*Fee!C20)-(COUNTIFS(UKG!$E$4:$E$95,UKG!$B$1,UKG!N4:N95,"NA")*Fee!C6+COUNTIFS(UKG!$E$4:$E$95,UKG!$C$1,UKG!N4:N95,"NA")*Fee!C20)</f>
        <v>65900</v>
      </c>
      <c r="I5" s="2">
        <f>(UKG!$B$2*Fee!C6)+(UKG!C2*Fee!C20)-(COUNTIFS(UKG!$E$4:$E$95,UKG!$B$1,UKG!O4:O95,"NA")*Fee!C6+COUNTIFS(UKG!$E$4:$E$95,UKG!$C$1,UKG!O4:O95,"NA")*Fee!C20)</f>
        <v>65900</v>
      </c>
      <c r="J5" s="2">
        <f>(UKG!$B$2*Fee!C6)+(UKG!C2*Fee!C20)-(COUNTIFS(UKG!$E$4:$E$95,UKG!$B$1,UKG!P4:P95,"NA")*Fee!C6+COUNTIFS(UKG!$E$4:$E$95,UKG!$C$1,UKG!P4:P95,"NA")*Fee!C20)</f>
        <v>65900</v>
      </c>
      <c r="K5" s="2">
        <f>(UKG!$B$2*Fee!C6)+(UKG!C2*Fee!C20)-(COUNTIFS(UKG!$E$4:$E$95,UKG!$B$1,UKG!R4:R95,"NA")*Fee!C6+COUNTIFS(UKG!$E$4:$E$95,UKG!$C$1,UKG!R4:R95,"NA")*Fee!C20)</f>
        <v>65900</v>
      </c>
      <c r="L5" s="2">
        <f>(UKG!$B$2*Fee!C6)+(UKG!C2*Fee!C20)-(COUNTIFS(UKG!$E$4:$E$95,UKG!$B$1,UKG!S4:S95,"NA")*Fee!C6+COUNTIFS(UKG!$E$4:$E$95,UKG!$C$1,UKG!S4:S95,"NA")*Fee!C20)</f>
        <v>65900</v>
      </c>
      <c r="M5" s="79">
        <f>(UKG!$B$2*Fee!C6)+(UKG!C2*Fee!C20)-(COUNTIFS(UKG!$E$4:$E$95,UKG!$B$1,UKG!U4:U95,"NA")*Fee!C6+COUNTIFS(UKG!$E$4:$E$95,UKG!$C$1,UKG!U4:U95,"NA")*Fee!C20)</f>
        <v>65900</v>
      </c>
    </row>
    <row r="6" spans="1:13" ht="15.75" customHeight="1" x14ac:dyDescent="0.15">
      <c r="A6" s="78" t="s">
        <v>28</v>
      </c>
      <c r="B6" s="85">
        <f>(I!$B$2*Fee!C7)+(I!C2*Fee!C21)-(COUNTIFS(I!$E$4:$E$98,I!$B$1,I!F4:F98,"NA")*Fee!C7+COUNTIFS(I!$E$4:$E$98,I!$C$1,I!F4:F98,"NA")*Fee!C21)</f>
        <v>71300</v>
      </c>
      <c r="C6" s="85">
        <f>(I!$B$2*Fee!C7)+(I!C2*Fee!C21)-(COUNTIFS(I!$E$4:$E$99,I!$B$1,I!G4:G99,"NA")*Fee!C7+COUNTIFS(I!$E$4:$E$99,UKG!$C$1,I!G4:G99,"NA")*Fee!C21)</f>
        <v>71300</v>
      </c>
      <c r="D6" s="85">
        <f>(I!$B$2*Fee!C7)+(I!C2*Fee!C21)-(COUNTIFS(I!$E$4:$E$99,I!$B$1,I!H4:H99,"NA")*Fee!C7+COUNTIFS(I!$E$4:$E$99,UKG!$C$1,I!H4:H99,"NA")*Fee!C21)</f>
        <v>71300</v>
      </c>
      <c r="E6" s="88">
        <f>(I!$B$2*Fee!C7)+(I!C2*Fee!C21)-(COUNTIFS(I!$E$4:$E$99,I!$B$1,I!J4:J99,"NA")*Fee!C7+COUNTIFS(I!$E$4:$E$99,UKG!$C$1,I!J4:J99,"NA")*Fee!C21)</f>
        <v>71300</v>
      </c>
      <c r="F6" s="2">
        <f>(I!$B$2*Fee!C7)+(I!C2*Fee!C21)-(COUNTIFS(I!$E$4:$E$99,I!$B$1,I!K4:K99,"NA")*Fee!C7+COUNTIFS(I!$E$4:$E$99,UKG!$C$1,I!K4:K99,"NA")*Fee!C21)</f>
        <v>71300</v>
      </c>
      <c r="G6" s="2">
        <f>(I!$B$2*Fee!C7)+(I!C2*Fee!C21)-(COUNTIFS(I!$E$4:$E$99,I!$B$1,I!L4:L99,"NA")*Fee!C7+COUNTIFS(I!$E$4:$E$99,UKG!$C$1,I!L4:L99,"NA")*Fee!C21)</f>
        <v>71300</v>
      </c>
      <c r="H6" s="2">
        <f>(I!$B$2*Fee!C7)+(I!C2*Fee!C21)-(COUNTIFS(I!$E$4:$E$99,I!$B$1,I!N4:N99,"NA")*Fee!C7+COUNTIFS(I!$E$4:$E$99,UKG!$C$1,I!N4:N99,"NA")*Fee!C21)</f>
        <v>71300</v>
      </c>
      <c r="I6" s="2">
        <f>(I!$B$2*Fee!C7)+(I!C2*Fee!C21)-(COUNTIFS(I!$E$4:$E$99,I!$B$1,I!O4:O99,"NA")*Fee!C7+COUNTIFS(I!$E$4:$E$99,UKG!$C$1,I!O4:O99,"NA")*Fee!C21)</f>
        <v>71300</v>
      </c>
      <c r="J6" s="2">
        <f>(I!$B$2*Fee!C7)+(I!C2*Fee!C21)-(COUNTIFS(I!$E$4:$E$99,I!$B$1,I!P4:P99,"NA")*Fee!C7+COUNTIFS(I!$E$4:$E$99,UKG!$C$1,I!P4:P99,"NA")*Fee!C21)</f>
        <v>71300</v>
      </c>
      <c r="K6" s="2">
        <f>(I!$B$2*Fee!C7)+(I!C2*Fee!C21)-(COUNTIFS(I!$E$4:$E$99,I!$B$1,I!R4:R99,"NA")*Fee!C7+COUNTIFS(I!$E$4:$E$99,UKG!$C$1,I!R4:R99,"NA")*Fee!C21)</f>
        <v>71300</v>
      </c>
      <c r="L6" s="2">
        <f>(I!$B$2*Fee!C7)+(I!C2*Fee!C21)-(COUNTIFS(I!$E$4:$E$99,I!$B$1,I!S4:S99,"NA")*Fee!C7+COUNTIFS(I!$E$4:$E$99,UKG!$C$1,I!S4:S99,"NA")*Fee!C21)</f>
        <v>71300</v>
      </c>
      <c r="M6" s="79">
        <f>(I!$B$2*Fee!C7)+(I!C2*Fee!C21)-(COUNTIFS(I!$E$4:$E$99,I!$B$1,I!U4:U99,"NA")*Fee!C7+COUNTIFS(I!$E$4:$E$99,UKG!$C$1,I!U4:U99,"NA")*Fee!C21)</f>
        <v>71300</v>
      </c>
    </row>
    <row r="7" spans="1:13" ht="15.75" customHeight="1" x14ac:dyDescent="0.15">
      <c r="A7" s="78" t="s">
        <v>104</v>
      </c>
      <c r="B7" s="85">
        <f>(II!$B$2*Fee!C8)+(II!C2*Fee!C22)-(COUNTIFS(II!$E$4:$E$99,II!$B$1,II!F4:F99,"NA")*Fee!C8+COUNTIFS(II!$E$4:$E$99,II!$C$1,II!F4:F99,"NA")*Fee!C22)</f>
        <v>55200</v>
      </c>
      <c r="C7" s="85">
        <f>(II!$B$2*Fee!C8)+(II!C2*Fee!C22)-(COUNTIFS(II!$E$4:$E$99,II!$B$1,II!G4:G99,"NA")*Fee!C8+COUNTIFS(II!$E$4:$E$99,II!$C$1,II!G4:G99,"NA")*Fee!C22)</f>
        <v>55200</v>
      </c>
      <c r="D7" s="85">
        <f>(II!$B$2*Fee!C8)+(II!C2*Fee!C22)-(COUNTIFS(II!$E$4:$E$99,II!$B$1,II!H4:H99,"NA")*Fee!C8+COUNTIFS(II!$E$4:$E$99,II!$C$1,II!H4:H99,"NA")*Fee!C22)</f>
        <v>55200</v>
      </c>
      <c r="E7" s="85">
        <f>(II!$B$2*Fee!C8)+(II!C2*Fee!C22)-(COUNTIFS(II!$E$4:$E$99,II!$B$1,II!J4:J99,"NA")*Fee!C8+COUNTIFS(II!$E$4:$E$99,II!$C$1,II!J4:J99,"NA")*Fee!C22)</f>
        <v>55200</v>
      </c>
      <c r="F7" s="2">
        <f>(II!$B$2*Fee!C8)+(II!C2*Fee!C22)-(COUNTIFS(II!$E$4:$E$99,II!$B$1,II!K4:K99,"NA")*Fee!C8+COUNTIFS(II!$E$4:$E$99,II!$C$1,II!K4:K99,"NA")*Fee!C22)</f>
        <v>55200</v>
      </c>
      <c r="G7" s="2">
        <f>(II!$B$2*Fee!C8)+(II!C2*Fee!C22)-(COUNTIFS(II!$E$4:$E$99,II!$B$1,II!L4:L99,"NA")*Fee!C8+COUNTIFS(II!$E$4:$E$99,II!$C$1,II!L4:L99,"NA")*Fee!C22)</f>
        <v>55200</v>
      </c>
      <c r="H7" s="2">
        <f>(II!$B$2*Fee!C8)+(II!C2*Fee!C22)-(COUNTIFS(II!$E$4:$E$99,II!$B$1,II!N4:N99,"NA")*Fee!C8+COUNTIFS(II!$E$4:$E$99,II!$C$1,II!N4:N99,"NA")*Fee!C22)</f>
        <v>55200</v>
      </c>
      <c r="I7" s="2">
        <f>(II!$B$2*Fee!C8)+(II!C2*Fee!C22)-(COUNTIFS(II!$E$4:$E$99,II!$B$1,II!O4:O99,"NA")*Fee!C8+COUNTIFS(II!$E$4:$E$99,II!$C$1,II!O4:O99,"NA")*Fee!C22)</f>
        <v>55200</v>
      </c>
      <c r="J7" s="2">
        <f>(II!$B$2*Fee!C8)+(II!C2*Fee!C22)-(COUNTIFS(II!$E$4:$E$99,II!$B$1,II!P4:P99,"NA")*Fee!C8+COUNTIFS(II!$E$4:$E$99,II!$C$1,II!P4:P99,"NA")*Fee!C22)</f>
        <v>55200</v>
      </c>
      <c r="K7" s="2">
        <f>(II!$B$2*Fee!C8)+(II!C2*Fee!C22)-(COUNTIFS(II!$E$4:$E$99,II!$B$1,II!R4:R99,"NA")*Fee!C8+COUNTIFS(II!$E$4:$E$99,II!$C$1,II!R4:R99,"NA")*Fee!C22)</f>
        <v>55200</v>
      </c>
      <c r="L7" s="2">
        <f>(II!$B$2*Fee!C8)+(II!C2*Fee!C22)-(COUNTIFS(II!$E$4:$E$99,II!$B$1,II!S4:S99,"NA")*Fee!C8+COUNTIFS(II!$E$4:$E$99,II!$C$1,II!S4:S99,"NA")*Fee!C22)</f>
        <v>55200</v>
      </c>
      <c r="M7" s="79">
        <f>(II!$B$2*Fee!C8)+(II!C2*Fee!C22)-(COUNTIFS(II!$E$4:$E$99,II!$B$1,II!U4:U99,"NA")*Fee!C8+COUNTIFS(II!$E$4:$E$99,II!$C$1,II!U4:U99,"NA")*Fee!C22)</f>
        <v>55200</v>
      </c>
    </row>
    <row r="8" spans="1:13" ht="15.75" customHeight="1" x14ac:dyDescent="0.15">
      <c r="A8" s="78" t="s">
        <v>83</v>
      </c>
      <c r="B8" s="85">
        <f>(III!$B$2*Fee!C9)+(III!C2*Fee!C23)-(COUNTIFS(III!$E$4:$E$95,III!$B$1,III!F4:F95,"NA")*Fee!C9+COUNTIFS(III!$E$4:$E$95,III!$C$1,III!F4:F95,"NA")*Fee!C23)</f>
        <v>48800</v>
      </c>
      <c r="C8" s="85">
        <f>(III!$B$2*Fee!C9)+(III!C2*Fee!C23)-(COUNTIFS(III!$E$4:$E$95,III!$B$1,III!G4:G95,"NA")*Fee!C9+COUNTIFS(III!$E$4:$E$95,III!$C$1,III!G4:G95,"NA")*Fee!C23)</f>
        <v>48800</v>
      </c>
      <c r="D8" s="85">
        <f>(III!$B$2*Fee!C9)+(III!C2*Fee!C23)-(COUNTIFS(III!$E$4:$E$95,III!$B$1,III!H4:H95,"NA")*Fee!C9+COUNTIFS(III!$E$4:$E$95,III!$C$1,III!H4:H95,"NA")*Fee!C23)</f>
        <v>48800</v>
      </c>
      <c r="E8" s="85">
        <f>(III!$B$2*Fee!C9)+(III!C2*Fee!C23)-(COUNTIFS(III!$E$4:$E$95,III!$B$1,III!J4:J95,"NA")*Fee!C9+COUNTIFS(III!$E$4:$E$95,III!$C$1,III!J4:J95,"NA")*Fee!C23)</f>
        <v>48800</v>
      </c>
      <c r="F8" s="2">
        <f>(III!$B$2*Fee!C9)+(III!C2*Fee!C23)-(COUNTIFS(III!$E$4:$E$95,III!$B$1,III!K4:K95,"NA")*Fee!C9+COUNTIFS(III!$E$4:$E$95,III!$C$1,III!K4:K95,"NA")*Fee!C23)</f>
        <v>48800</v>
      </c>
      <c r="G8" s="2">
        <f>(III!$B$2*Fee!C9)+(III!C2*Fee!C23)-(COUNTIFS(III!$E$4:$E$95,III!$B$1,III!L4:L95,"NA")*Fee!C9+COUNTIFS(III!$E$4:$E$95,III!$C$1,III!L4:L95,"NA")*Fee!C23)</f>
        <v>48800</v>
      </c>
      <c r="H8" s="2">
        <f>(III!$B$2*Fee!C9)+(III!C2*Fee!C23)-(COUNTIFS(III!$E$4:$E$95,III!$B$1,III!N4:N95,"NA")*Fee!C9+COUNTIFS(III!$E$4:$E$95,III!$C$1,III!N4:N95,"NA")*Fee!C23)</f>
        <v>48800</v>
      </c>
      <c r="I8" s="2">
        <f>(III!$B$2*Fee!C9)+(III!C2*Fee!C23)-(COUNTIFS(III!$E$4:$E$95,III!$B$1,III!O4:O95,"NA")*Fee!C9+COUNTIFS(III!$E$4:$E$95,III!$C$1,III!O4:O95,"NA")*Fee!C23)</f>
        <v>48800</v>
      </c>
      <c r="J8" s="2">
        <f>(III!$B$2*Fee!C9)+(III!C2*Fee!C23)-(COUNTIFS(III!$E$4:$E$95,III!$B$1,III!P4:P95,"NA")*Fee!C9+COUNTIFS(III!$E$4:$E$95,III!$C$1,III!P4:P95,"NA")*Fee!C23)</f>
        <v>48800</v>
      </c>
      <c r="K8" s="2">
        <f>(III!$B$2*Fee!C9)+(III!C2*Fee!C23)-(COUNTIFS(III!$E$4:$E$95,III!$B$1,III!R4:R95,"NA")*Fee!C9+COUNTIFS(III!$E$4:$E$95,III!$C$1,III!R4:R95,"NA")*Fee!C23)</f>
        <v>48800</v>
      </c>
      <c r="L8" s="2">
        <f>(III!$B$2*Fee!C9)+(III!C2*Fee!C23)-(COUNTIFS(III!$E$4:$E$95,III!$B$1,III!S4:S95,"NA")*Fee!C9+COUNTIFS(III!$E$4:$E$95,III!$C$1,III!S4:S95,"NA")*Fee!C23)</f>
        <v>48800</v>
      </c>
      <c r="M8" s="79">
        <f>(III!$B$2*Fee!C9)+(III!C2*Fee!C23)-(COUNTIFS(III!$E$4:$E$95,III!$B$1,III!U4:U95,"NA")*Fee!C9+COUNTIFS(III!$E$4:$E$95,III!$C$1,III!U4:U95,"NA")*Fee!C23)</f>
        <v>48800</v>
      </c>
    </row>
    <row r="9" spans="1:13" ht="15.75" customHeight="1" x14ac:dyDescent="0.15">
      <c r="A9" s="78" t="s">
        <v>19</v>
      </c>
      <c r="B9" s="85">
        <f>(IV!$B$2*Fee!C10)+(IV!C2*Fee!C24)-(COUNTIFS(IV!$E$5:$E$99,IV!$B$1,IV!F5:F99,"NA")*Fee!C10+COUNTIFS(IV!$E$5:$E$99,IV!$C$1,IV!F5:F99,"NA")*Fee!C24)</f>
        <v>64750</v>
      </c>
      <c r="C9" s="85">
        <f>(IV!$B$2*Fee!C10)+(IV!C2*Fee!C24)-(COUNTIFS(IV!$E$5:$E$99,IV!$B$1,IV!G5:G99,"NA")*Fee!C10+COUNTIFS(IV!$E$5:$E$99,IV!$C$1,IV!G5:G99,"NA")*Fee!C24)</f>
        <v>64750</v>
      </c>
      <c r="D9" s="85">
        <f>(IV!$B$2*Fee!C10)+(IV!C2*Fee!C24)-(COUNTIFS(IV!$E$5:$E$99,IV!$B$1,IV!H5:H99,"NA")*Fee!C10+COUNTIFS(IV!$E$5:$E$99,IV!$C$1,IV!H5:H99,"NA")*Fee!C24)</f>
        <v>64750</v>
      </c>
      <c r="E9" s="85">
        <f>(IV!$B$2*Fee!C10)+(IV!C2*Fee!C24)-(COUNTIFS(IV!$E$5:$E$99,IV!$B$1,IV!J5:J99,"NA")*Fee!C10+COUNTIFS(IV!$E$5:$E$99,IV!$C$1,IV!J5:J99,"NA")*Fee!C24)</f>
        <v>64750</v>
      </c>
      <c r="F9" s="2">
        <f>(IV!$B$2*Fee!C10)+(IV!C2*Fee!C24)-(COUNTIFS(IV!$E$5:$E$99,IV!$B$1,IV!K5:K99,"NA")*Fee!C10+COUNTIFS(IV!$E$5:$E$99,IV!$C$1,IV!K5:K99,"NA")*Fee!C24)</f>
        <v>64750</v>
      </c>
      <c r="G9" s="2">
        <f>(IV!$B$2*Fee!C10)+(IV!C2*Fee!C24)-(COUNTIFS(IV!$E$5:$E$99,IV!$B$1,IV!L5:L99,"NA")*Fee!C10+COUNTIFS(IV!$E$5:$E$99,IV!$C$1,IV!L5:L99,"NA")*Fee!C24)</f>
        <v>64750</v>
      </c>
      <c r="H9" s="2">
        <f>(IV!$B$2*Fee!C10)+(IV!C2*Fee!C24)-(COUNTIFS(IV!$E$5:$E$99,IV!$B$1,IV!N5:N99,"NA")*Fee!C10+COUNTIFS(IV!$E$5:$E$99,IV!$C$1,IV!N5:N99,"NA")*Fee!C24)</f>
        <v>64750</v>
      </c>
      <c r="I9" s="2">
        <f>(IV!$B$2*Fee!C10)+(IV!C2*Fee!C24)-(COUNTIFS(IV!$E$5:$E$99,IV!$B$1,IV!O5:O99,"NA")*Fee!C10+COUNTIFS(IV!$E$5:$E$99,IV!$C$1,IV!O5:O99,"NA")*Fee!C24)</f>
        <v>64750</v>
      </c>
      <c r="J9" s="2">
        <f>(IV!$B$2*Fee!C10)+(IV!C2*Fee!C24)-(COUNTIFS(IV!$E$5:$E$99,IV!$B$1,IV!P5:P99,"NA")*Fee!C10+COUNTIFS(IV!$E$5:$E$99,IV!$C$1,IV!P5:P99,"NA")*Fee!C24)</f>
        <v>64750</v>
      </c>
      <c r="K9" s="2">
        <f>(IV!$B$2*Fee!C10)+(IV!C2*Fee!C24)-(COUNTIFS(IV!$E$5:$E$99,IV!$B$1,IV!R5:R99,"NA")*Fee!C10+COUNTIFS(IV!$E$5:$E$99,IV!$C$1,IV!R5:R99,"NA")*Fee!C24)</f>
        <v>64750</v>
      </c>
      <c r="L9" s="2">
        <f>(IV!$B$2*Fee!C10)+(IV!C2*Fee!C24)-(COUNTIFS(IV!$E$5:$E$99,IV!$B$1,IV!S5:S99,"NA")*Fee!C10+COUNTIFS(IV!$E$5:$E$99,IV!$C$1,IV!S5:S99,"NA")*Fee!C24)</f>
        <v>64750</v>
      </c>
      <c r="M9" s="79">
        <f>(IV!$B$2*Fee!C10)+(IV!C2*Fee!C24)-(COUNTIFS(IV!$E$5:$E$99,IV!$B$1,IV!S5:S99,"NA")*Fee!C10+COUNTIFS(IV!$E$5:$E$99,IV!$C$1,IV!U5:U99,"NA")*Fee!C24)</f>
        <v>64750</v>
      </c>
    </row>
    <row r="10" spans="1:13" ht="15.75" customHeight="1" x14ac:dyDescent="0.15">
      <c r="A10" s="78" t="s">
        <v>40</v>
      </c>
      <c r="B10" s="85">
        <f>(V!$B$2*Fee!C11)+(V!C2*Fee!C25)-(COUNTIFS(V!$E$4:$E$97,V!$B$1,V!F4:F97,"NA")*Fee!C11+COUNTIFS(V!$E$4:$E$97,V!$C$1,V!F4:F97,"NA")*Fee!C25)</f>
        <v>57150</v>
      </c>
      <c r="C10" s="85">
        <f>(V!$B$2*Fee!C11)+(V!C2*Fee!C25)-(COUNTIFS(V!$E$4:$E$97,V!$B$1,V!G4:G97,"NA")*Fee!C11+COUNTIFS(V!$E$4:$E$97,V!$C$1,V!G4:G97,"NA")*Fee!C25)</f>
        <v>57150</v>
      </c>
      <c r="D10" s="85">
        <f>(V!$B$2*Fee!C11)+(V!C2*Fee!C25)-(COUNTIFS(V!$E$4:$E$97,V!$B$1,V!H4:H97,"NA")*Fee!C11+COUNTIFS(V!$E$4:$E$97,V!$C$1,V!H4:H97,"NA")*Fee!C25)</f>
        <v>57150</v>
      </c>
      <c r="E10" s="2">
        <f>(V!$B$2*Fee!C11)+(V!C2*Fee!C25)-(COUNTIFS(V!$E$4:$E$97,V!$B$1,V!J4:J97,"NA")*Fee!C11+COUNTIFS(V!$E$4:$E$97,V!$C$1,V!J4:J97,"NA")*Fee!C25)</f>
        <v>57150</v>
      </c>
      <c r="F10" s="2">
        <f>(V!$B$2*Fee!C11)+(V!C2*Fee!C25)-(COUNTIFS(V!$E$4:$E$97,V!$B$1,V!K4:K97,"NA")*Fee!C11+COUNTIFS(V!$E$4:$E$97,V!$C$1,V!K4:K97,"NA")*Fee!C25)</f>
        <v>57150</v>
      </c>
      <c r="G10" s="2">
        <f>(V!$B$2*Fee!C11)+(V!C2*Fee!C25)-(COUNTIFS(V!$E$4:$E$97,V!$B$1,V!L4:L97,"NA")*Fee!C11+COUNTIFS(V!$E$4:$E$97,V!$C$1,V!L4:L97,"NA")*Fee!C25)</f>
        <v>57150</v>
      </c>
      <c r="H10" s="2">
        <f>(V!$B$2*Fee!C11)+(V!C2*Fee!C25)-(COUNTIFS(V!$E$4:$E$97,V!$B$1,V!N4:N97,"NA")*Fee!C11+COUNTIFS(V!$E$4:$E$97,V!$C$1,V!N4:N97,"NA")*Fee!C25)</f>
        <v>57150</v>
      </c>
      <c r="I10" s="2">
        <f>(V!$B$2*Fee!C11)+(V!C2*Fee!C25)-(COUNTIFS(V!$E$4:$E$97,V!$B$1,V!O4:O97,"NA")*Fee!C11+COUNTIFS(V!$E$4:$E$97,V!$C$1,V!O4:O97,"NA")*Fee!C25)</f>
        <v>57150</v>
      </c>
      <c r="J10" s="2">
        <f>(V!$B$2*Fee!C11)+(V!C2*Fee!C25)-(COUNTIFS(V!$E$4:$E$97,V!$B$1,V!P4:P97,"NA")*Fee!C11+COUNTIFS(V!$E$4:$E$97,V!$C$1,V!P4:P97,"NA")*Fee!C25)</f>
        <v>57150</v>
      </c>
      <c r="K10" s="2">
        <f>(V!$B$2*Fee!C11)+(V!C2*Fee!C25)-(COUNTIFS(V!$E$4:$E$97,V!$B$1,V!R4:R97,"NA")*Fee!C11+COUNTIFS(V!$E$4:$E$97,V!$C$1,V!R4:R97,"NA")*Fee!C25)</f>
        <v>57150</v>
      </c>
      <c r="L10" s="2">
        <f>(V!$B$2*Fee!C11)+(V!C2*Fee!C25)-(COUNTIFS(V!$E$4:$E$97,V!$B$1,V!S4:S97,"NA")*Fee!C11+COUNTIFS(V!$E$4:$E$97,V!$C$1,V!S4:S97,"NA")*Fee!C25)</f>
        <v>57150</v>
      </c>
      <c r="M10" s="79">
        <f>(V!$B$2*Fee!C11)+(V!C2*Fee!C25)-(COUNTIFS(V!$E$4:$E$97,V!$B$1,V!U4:U97,"NA")*Fee!C11+COUNTIFS(V!$E$4:$E$97,V!$C$1,V!U4:U97,"NA")*Fee!C25)</f>
        <v>57150</v>
      </c>
    </row>
    <row r="11" spans="1:13" ht="15.75" customHeight="1" x14ac:dyDescent="0.15">
      <c r="A11" s="78" t="s">
        <v>198</v>
      </c>
      <c r="B11" s="85">
        <f>(VI!$B$2*Fee!C12)+(VI!C2*Fee!C26)-(COUNTIFS(VI!$E$4:$E$98,VI!$B$1,VI!F4:F98,"NA")*Fee!C12+COUNTIFS(VI!$E$4:$E$98,VI!$C$1,VI!F4:F98,"NA")*Fee!C26)</f>
        <v>24500</v>
      </c>
      <c r="C11" s="85">
        <f>(VI!$B$2*Fee!C12)+(VI!C2*Fee!C26)-(COUNTIFS(VI!$E$4:$E$98,VI!$B$1,VI!G4:G98,"NA")*Fee!C12+COUNTIFS(VI!$E$4:$E$98,VI!$C$1,VI!G4:G98,"NA")*Fee!C26)</f>
        <v>24500</v>
      </c>
      <c r="D11" s="2">
        <f>(VI!$B$2*Fee!C12)+(VI!C2*Fee!C26)-(COUNTIFS(VI!$E$4:$E$98,VI!$B$1,VI!H4:H98,"NA")*Fee!C12+COUNTIFS(VI!$E$4:$E$98,VI!$C$1,VI!H4:H98,"NA")*Fee!C26)</f>
        <v>24500</v>
      </c>
      <c r="E11" s="2">
        <f>(VI!$B$2*Fee!C12)+(VI!C2*Fee!C26)-(COUNTIFS(VI!$E$4:$E$98,VI!$B$1,VI!J4:J98,"NA")*Fee!C12+COUNTIFS(VI!$E$4:$E$98,VI!$C$1,VI!J4:J98,"NA")*Fee!C26)</f>
        <v>24500</v>
      </c>
      <c r="F11" s="2">
        <f>(VI!$B$2*Fee!C12)+(VI!C2*Fee!C26)-(COUNTIFS(VI!$E$4:$E$98,VI!$B$1,VI!K4:K98,"NA")*Fee!C12+COUNTIFS(VI!$E$4:$E$98,VI!$C$1,VI!K4:K98,"NA")*Fee!C26)</f>
        <v>24500</v>
      </c>
      <c r="G11" s="2">
        <f>(VI!$B$2*Fee!C12)+(VI!C2*Fee!C26)-(COUNTIFS(VI!$E$4:$E$98,VI!$B$1,VI!L4:L98,"NA")*Fee!C12+COUNTIFS(VI!$E$4:$E$98,VI!$C$1,VI!L4:L98,"NA")*Fee!C26)</f>
        <v>24500</v>
      </c>
      <c r="H11" s="2">
        <f>(VI!$B$2*Fee!C12)+(VI!C2*Fee!C26)-(COUNTIFS(VI!$E$4:$E$98,VI!$B$1,VI!N4:N98,"NA")*Fee!C12+COUNTIFS(VI!$E$4:$E$98,VI!$C$1,VI!N4:N98,"NA")*Fee!C26)</f>
        <v>24500</v>
      </c>
      <c r="I11" s="2">
        <f>(VI!$B$2*Fee!C12)+(VI!C2*Fee!C26)-(COUNTIFS(VI!$E$4:$E$98,VI!$B$1,VI!O4:O98,"NA")*Fee!C12+COUNTIFS(VI!$E$4:$E$98,VI!$C$1,VI!O4:O98,"NA")*Fee!C26)</f>
        <v>24500</v>
      </c>
      <c r="J11" s="2">
        <f>(VI!$B$2*Fee!C12)+(VI!C2*Fee!C26)-(COUNTIFS(VI!$E$4:$E$98,VI!$B$1,VI!P4:P98,"NA")*Fee!C12+COUNTIFS(VI!$E$4:$E$98,VI!$C$1,VI!P4:P98,"NA")*Fee!C26)</f>
        <v>24500</v>
      </c>
      <c r="K11" s="2">
        <f>(VI!$B$2*Fee!C12)+(VI!C2*Fee!C26)-(COUNTIFS(VI!$E$4:$E$98,VI!$B$1,VI!R4:R98,"NA")*Fee!C12+COUNTIFS(VI!$E$4:$E$98,VI!$C$1,VI!R4:R98,"NA")*Fee!C26)</f>
        <v>24500</v>
      </c>
      <c r="L11" s="2">
        <f>(VI!$B$2*Fee!C12)+(VI!C2*Fee!C26)-(COUNTIFS(VI!$E$4:$E$98,VI!$B$1,VI!S4:S98,"NA")*Fee!C12+COUNTIFS(VI!$E$4:$E$98,VI!$C$1,VI!S4:S98,"NA")*Fee!C26)</f>
        <v>24500</v>
      </c>
      <c r="M11" s="79">
        <f>(VI!$B$2*Fee!C12)+(VI!C2*Fee!C26)-(COUNTIFS(VI!$E$4:$E$98,VI!$B$1,VI!U4:U98,"NA")*Fee!C12+COUNTIFS(VI!$E$4:$E$98,VI!$C$1,VI!U4:U98,"NA")*Fee!C26)</f>
        <v>24500</v>
      </c>
    </row>
    <row r="12" spans="1:13" ht="15.75" customHeight="1" x14ac:dyDescent="0.15">
      <c r="A12" s="78" t="s">
        <v>51</v>
      </c>
      <c r="B12" s="85">
        <f>(VII!$B$2*Fee!C13)+(VII!C2*Fee!C27)-(COUNTIFS(VII!$E$4:$E$99,VII!$B$1,VII!F4:F99,"NA")*Fee!C13+COUNTIFS(VII!$E$4:$E$99,VII!$C$1,VII!F4:F99,"NA")*Fee!C27)</f>
        <v>28500</v>
      </c>
      <c r="C12" s="85">
        <f>(VII!$B$2*Fee!C13)+(VII!C2*Fee!C27)-(COUNTIFS(VII!$E$4:$E$99,VII!$B$1,VII!G4:G99,"NA")*Fee!C13+COUNTIFS(VII!$E$4:$E$99,VII!$C$1,VII!G4:G99,"NA")*Fee!C27)</f>
        <v>28500</v>
      </c>
      <c r="D12" s="2">
        <f>(VII!$B$2*Fee!C13)+(VII!C2*Fee!C27)-(COUNTIFS(VII!$E$4:$E$99,VII!$B$1,VII!H4:H99,"NA")*Fee!C13+COUNTIFS(VII!$E$4:$E$99,VII!$C$1,VII!H4:H99,"NA")*Fee!C27)</f>
        <v>28500</v>
      </c>
      <c r="E12" s="2">
        <f>(VII!$B$2*Fee!C13)+(VII!C2*Fee!C27)-(COUNTIFS(VII!$E$4:$E$99,VII!$B$1,VII!J4:J99,"NA")*Fee!C13+COUNTIFS(VII!$E$4:$E$99,VII!$C$1,VII!J4:J99,"NA")*Fee!C27)</f>
        <v>28500</v>
      </c>
      <c r="F12" s="2">
        <f>(VII!$B$2*Fee!C13)+(VII!C2*Fee!C27)-(COUNTIFS(VII!$E$4:$E$99,VII!$B$1,VII!K4:K99,"NA")*Fee!C13+COUNTIFS(VII!$E$4:$E$99,VII!$C$1,VII!K4:K99,"NA")*Fee!C27)</f>
        <v>28500</v>
      </c>
      <c r="G12" s="2">
        <f>(VII!$B$2*Fee!C13)+(VII!C2*Fee!C27)-(COUNTIFS(VII!$E$4:$E$99,VII!$B$1,VII!L4:L99,"NA")*Fee!C13+COUNTIFS(VII!$E$4:$E$99,VII!$C$1,VII!L4:L99,"NA")*Fee!C27)</f>
        <v>28500</v>
      </c>
      <c r="H12" s="2">
        <f>(VII!$B$2*Fee!C13)+(VII!C2*Fee!C27)-(COUNTIFS(VII!$E$4:$E$99,VII!$B$1,VII!N4:N99,"NA")*Fee!C13+COUNTIFS(VII!$E$4:$E$99,VII!$C$1,VII!N4:N99,"NA")*Fee!C27)</f>
        <v>28500</v>
      </c>
      <c r="I12" s="2">
        <f>(VII!$B$2*Fee!C13)+(VII!C2*Fee!C27)-(COUNTIFS(VII!$E$4:$E$99,VII!$B$1,VII!O4:O99,"NA")*Fee!C13+COUNTIFS(VII!$E$4:$E$99,VII!$C$1,VII!O4:O99,"NA")*Fee!C27)</f>
        <v>28500</v>
      </c>
      <c r="J12" s="2">
        <f>(VII!$B$2*Fee!C13)+(VII!C2*Fee!C27)-(COUNTIFS(VII!$E$4:$E$99,VII!$B$1,VII!P4:P99,"NA")*Fee!C13+COUNTIFS(VII!$E$4:$E$99,VII!$C$1,VII!P4:P99,"NA")*Fee!C27)</f>
        <v>28500</v>
      </c>
      <c r="K12" s="2">
        <f>(VII!$B$2*Fee!C13)+(VII!C2*Fee!C27)-(COUNTIFS(VII!$E$4:$E$99,VII!$B$1,VII!R4:R99,"NA")*Fee!C13+COUNTIFS(VII!$E$4:$E$99,VII!$C$1,VII!R4:R99,"NA")*Fee!C27)</f>
        <v>28500</v>
      </c>
      <c r="L12" s="2">
        <f>(VII!$B$2*Fee!C13)+(VII!C2*Fee!C27)-(COUNTIFS(VII!$E$4:$E$99,VII!$B$1,VII!S4:S99,"NA")*Fee!C13+COUNTIFS(VII!$E$4:$E$99,VII!$C$1,VII!S4:S99,"NA")*Fee!C27)</f>
        <v>28500</v>
      </c>
      <c r="M12" s="79">
        <f>(VII!$B$2*Fee!C13)+(VII!C2*Fee!C27)-(COUNTIFS(VII!$E$4:$E$99,VII!$B$1,VII!U4:U99,"NA")*Fee!C13+COUNTIFS(VII!$E$4:$E$99,VII!$C$1,VII!U4:U99,"NA")*Fee!C27)</f>
        <v>28500</v>
      </c>
    </row>
    <row r="13" spans="1:13" ht="15.75" customHeight="1" x14ac:dyDescent="0.15">
      <c r="A13" s="78" t="s">
        <v>210</v>
      </c>
      <c r="B13" s="85">
        <f>(VIII!$B$2*Fee!C14)+(VIII!C2*Fee!C28)-(COUNTIFS(VIII!$E$4:$E$98,VIII!$B$1,VIII!F4:F98,"NA")*Fee!C14+COUNTIFS(VIII!$E$4:$E$98,VIII!$C$1,VIII!F4:F98,"NA")*Fee!C28)</f>
        <v>39400</v>
      </c>
      <c r="C13" s="85">
        <f>(VIII!$B$2*Fee!C14)+(VIII!C2*Fee!C28)-(COUNTIFS(VIII!$E$4:$E$98,VIII!$B$1,VIII!G4:G98,"NA")*Fee!C14+COUNTIFS(VIII!$E$4:$E$98,VIII!$C$1,VIII!G4:G98,"NA")*Fee!C28)</f>
        <v>39400</v>
      </c>
      <c r="D13" s="2">
        <f>(VIII!$B$2*Fee!C14)+(VIII!C2*Fee!C28)-(COUNTIFS(VIII!$E$4:$E$98,VIII!$B$1,VIII!H4:H98,"NA")*Fee!C14+COUNTIFS(VIII!$E$4:$E$98,VIII!$C$1,VIII!H4:H98,"NA")*Fee!C28)</f>
        <v>39400</v>
      </c>
      <c r="E13" s="2">
        <f>(VIII!$B$2*Fee!C14)+(VIII!C2*Fee!C28)-(COUNTIFS(VIII!$E$4:$E$98,VIII!$B$1,VIII!J4:J98,"NA")*Fee!C14+COUNTIFS(VIII!$E$4:$E$98,VIII!$C$1,VIII!J4:J98,"NA")*Fee!C28)</f>
        <v>39400</v>
      </c>
      <c r="F13" s="2">
        <f>(VIII!$B$2*Fee!C14)+(VIII!C2*Fee!C28)-(COUNTIFS(VIII!$E$4:$E$98,VIII!$B$1,VIII!K4:K98,"NA")*Fee!C14+COUNTIFS(VIII!$E$4:$E$98,VIII!$C$1,VIII!K4:K98,"NA")*Fee!C28)</f>
        <v>39400</v>
      </c>
      <c r="G13" s="2">
        <f>(VIII!$B$2*Fee!C14)+(VIII!C2*Fee!C28)-(COUNTIFS(VIII!$E$4:$E$98,VIII!$B$1,VIII!L4:L98,"NA")*Fee!C14+COUNTIFS(VIII!$E$4:$E$98,VIII!$C$1,VIII!L4:L98,"NA")*Fee!C28)</f>
        <v>39400</v>
      </c>
      <c r="H13" s="2">
        <f>(VIII!$B$2*Fee!C14)+(VIII!C2*Fee!C28)-(COUNTIFS(VIII!$E$4:$E$98,VIII!$B$1,VIII!N4:N98,"NA")*Fee!C14+COUNTIFS(VIII!$E$4:$E$98,VIII!$C$1,VIII!N4:N98,"NA")*Fee!C28)</f>
        <v>39400</v>
      </c>
      <c r="I13" s="2">
        <f>(VIII!$B$2*Fee!C14)+(VIII!C2*Fee!C28)-(COUNTIFS(VIII!$E$4:$E$98,VIII!$B$1,VIII!O4:O98,"NA")*Fee!C14+COUNTIFS(VIII!$E$4:$E$98,VIII!$C$1,VIII!O4:O98,"NA")*Fee!C28)</f>
        <v>39400</v>
      </c>
      <c r="J13" s="2">
        <f>(VIII!$B$2*Fee!C14)+(VIII!C2*Fee!C28)-(COUNTIFS(VIII!$E$4:$E$98,VIII!$B$1,VIII!P4:P98,"NA")*Fee!C14+COUNTIFS(VIII!$E$4:$E$98,VIII!$C$1,VIII!P4:P98,"NA")*Fee!C28)</f>
        <v>39400</v>
      </c>
      <c r="K13" s="2">
        <f>(VIII!$B$2*Fee!C14)+(VIII!C2*Fee!C28)-(COUNTIFS(VIII!$E$4:$E$98,VIII!$B$1,VIII!R4:R98,"NA")*Fee!C14+COUNTIFS(VIII!$E$4:$E$98,VIII!$C$1,VIII!R4:R98,"NA")*Fee!C28)</f>
        <v>39400</v>
      </c>
      <c r="L13" s="2">
        <f>(VIII!$B$2*Fee!C14)+(VIII!C2*Fee!C28)-(COUNTIFS(VIII!$E$4:$E$98,VIII!$B$1,VIII!S4:S98,"NA")*Fee!C14+COUNTIFS(VIII!$E$4:$E$98,VIII!$C$1,VIII!S4:S98,"NA")*Fee!C28)</f>
        <v>39400</v>
      </c>
      <c r="M13" s="79">
        <f>(VIII!$B$2*Fee!C14)+(VIII!C2*Fee!C28)-(COUNTIFS(VIII!$E$4:$E$98,VIII!$B$1,VIII!U4:U98,"NA")*Fee!C14+COUNTIFS(VIII!$E$4:$E$98,VIII!$C$1,VIII!U4:U98,"NA")*Fee!C28)</f>
        <v>39400</v>
      </c>
    </row>
    <row r="14" spans="1:13" ht="15.75" customHeight="1" x14ac:dyDescent="0.15">
      <c r="A14" s="80" t="s">
        <v>591</v>
      </c>
      <c r="B14" s="81">
        <f t="shared" ref="B14:M14" si="0">SUM(B2:B13)</f>
        <v>500900</v>
      </c>
      <c r="C14" s="81">
        <f t="shared" si="0"/>
        <v>500900</v>
      </c>
      <c r="D14" s="81">
        <f t="shared" si="0"/>
        <v>500900</v>
      </c>
      <c r="E14" s="81">
        <f t="shared" si="0"/>
        <v>500900</v>
      </c>
      <c r="F14" s="81">
        <f t="shared" si="0"/>
        <v>500900</v>
      </c>
      <c r="G14" s="81">
        <f t="shared" si="0"/>
        <v>500900</v>
      </c>
      <c r="H14" s="81">
        <f t="shared" si="0"/>
        <v>500900</v>
      </c>
      <c r="I14" s="81">
        <f t="shared" si="0"/>
        <v>500900</v>
      </c>
      <c r="J14" s="81">
        <f t="shared" si="0"/>
        <v>500900</v>
      </c>
      <c r="K14" s="81">
        <f t="shared" si="0"/>
        <v>500900</v>
      </c>
      <c r="L14" s="81">
        <f t="shared" si="0"/>
        <v>500900</v>
      </c>
      <c r="M14" s="82">
        <f t="shared" si="0"/>
        <v>500900</v>
      </c>
    </row>
    <row r="16" spans="1:13" ht="15.75" customHeight="1" x14ac:dyDescent="0.15">
      <c r="C16" s="89"/>
    </row>
    <row r="17" spans="3:4" ht="15.75" customHeight="1" x14ac:dyDescent="0.15">
      <c r="C17" s="89"/>
      <c r="D17" s="23"/>
    </row>
    <row r="18" spans="3:4" ht="15.75" customHeight="1" x14ac:dyDescent="0.15">
      <c r="C18" s="89"/>
    </row>
    <row r="19" spans="3:4" ht="15.75" customHeight="1" x14ac:dyDescent="0.15">
      <c r="C19" s="89"/>
    </row>
    <row r="20" spans="3:4" ht="15.75" customHeight="1" x14ac:dyDescent="0.15">
      <c r="C20" s="89"/>
    </row>
  </sheetData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I52"/>
  <sheetViews>
    <sheetView workbookViewId="0">
      <selection sqref="A1:I1"/>
    </sheetView>
  </sheetViews>
  <sheetFormatPr baseColWidth="10" defaultColWidth="12.6640625" defaultRowHeight="15.75" customHeight="1" x14ac:dyDescent="0.15"/>
  <sheetData>
    <row r="1" spans="1:9" ht="15.75" customHeight="1" x14ac:dyDescent="0.25">
      <c r="A1" s="108" t="s">
        <v>597</v>
      </c>
      <c r="B1" s="109"/>
      <c r="C1" s="109"/>
      <c r="D1" s="109"/>
      <c r="E1" s="109"/>
      <c r="F1" s="109"/>
      <c r="G1" s="109"/>
      <c r="H1" s="109"/>
      <c r="I1" s="110"/>
    </row>
    <row r="2" spans="1:9" x14ac:dyDescent="0.2">
      <c r="A2" s="111" t="s">
        <v>598</v>
      </c>
      <c r="B2" s="111" t="s">
        <v>599</v>
      </c>
      <c r="C2" s="112" t="s">
        <v>600</v>
      </c>
      <c r="D2" s="110"/>
      <c r="E2" s="111" t="s">
        <v>601</v>
      </c>
      <c r="F2" s="90"/>
      <c r="G2" s="111" t="s">
        <v>602</v>
      </c>
      <c r="H2" s="111" t="s">
        <v>603</v>
      </c>
      <c r="I2" s="111" t="s">
        <v>604</v>
      </c>
    </row>
    <row r="3" spans="1:9" x14ac:dyDescent="0.2">
      <c r="A3" s="106"/>
      <c r="B3" s="106"/>
      <c r="C3" s="91" t="s">
        <v>605</v>
      </c>
      <c r="D3" s="91" t="s">
        <v>604</v>
      </c>
      <c r="E3" s="106"/>
      <c r="F3" s="90" t="s">
        <v>606</v>
      </c>
      <c r="G3" s="106"/>
      <c r="H3" s="106"/>
      <c r="I3" s="106"/>
    </row>
    <row r="4" spans="1:9" x14ac:dyDescent="0.2">
      <c r="A4" s="92" t="s">
        <v>245</v>
      </c>
      <c r="B4" s="93">
        <v>5500</v>
      </c>
      <c r="C4" s="93">
        <v>3700</v>
      </c>
      <c r="D4" s="94">
        <f t="shared" ref="D4:D14" si="0">SUM(B4:C4)</f>
        <v>9200</v>
      </c>
      <c r="E4" s="93">
        <v>3200</v>
      </c>
      <c r="F4" s="95">
        <v>1500</v>
      </c>
      <c r="G4" s="95">
        <v>700</v>
      </c>
      <c r="H4" s="95">
        <v>1905</v>
      </c>
      <c r="I4" s="96">
        <f t="shared" ref="I4:I14" si="1">SUM(D4:H4)</f>
        <v>16505</v>
      </c>
    </row>
    <row r="5" spans="1:9" x14ac:dyDescent="0.2">
      <c r="A5" s="92" t="s">
        <v>100</v>
      </c>
      <c r="B5" s="93">
        <v>5500</v>
      </c>
      <c r="C5" s="93">
        <v>3700</v>
      </c>
      <c r="D5" s="94">
        <f t="shared" si="0"/>
        <v>9200</v>
      </c>
      <c r="E5" s="93">
        <v>3200</v>
      </c>
      <c r="F5" s="95">
        <v>1500</v>
      </c>
      <c r="G5" s="95">
        <v>700</v>
      </c>
      <c r="H5" s="95">
        <v>1995</v>
      </c>
      <c r="I5" s="96">
        <f t="shared" si="1"/>
        <v>16595</v>
      </c>
    </row>
    <row r="6" spans="1:9" x14ac:dyDescent="0.2">
      <c r="A6" s="92" t="s">
        <v>65</v>
      </c>
      <c r="B6" s="93">
        <v>5500</v>
      </c>
      <c r="C6" s="93">
        <v>3700</v>
      </c>
      <c r="D6" s="94">
        <f t="shared" si="0"/>
        <v>9200</v>
      </c>
      <c r="E6" s="93">
        <v>3200</v>
      </c>
      <c r="F6" s="95">
        <v>1500</v>
      </c>
      <c r="G6" s="95">
        <v>700</v>
      </c>
      <c r="H6" s="95">
        <v>2180</v>
      </c>
      <c r="I6" s="96">
        <f t="shared" si="1"/>
        <v>16780</v>
      </c>
    </row>
    <row r="7" spans="1:9" x14ac:dyDescent="0.2">
      <c r="A7" s="92" t="s">
        <v>28</v>
      </c>
      <c r="B7" s="93">
        <v>5500</v>
      </c>
      <c r="C7" s="93">
        <v>3700</v>
      </c>
      <c r="D7" s="94">
        <f t="shared" si="0"/>
        <v>9200</v>
      </c>
      <c r="E7" s="93">
        <v>3200</v>
      </c>
      <c r="F7" s="95">
        <v>1500</v>
      </c>
      <c r="G7" s="95">
        <v>700</v>
      </c>
      <c r="H7" s="95">
        <v>2500</v>
      </c>
      <c r="I7" s="96">
        <f t="shared" si="1"/>
        <v>17100</v>
      </c>
    </row>
    <row r="8" spans="1:9" x14ac:dyDescent="0.2">
      <c r="A8" s="92" t="s">
        <v>104</v>
      </c>
      <c r="B8" s="93">
        <v>6000</v>
      </c>
      <c r="C8" s="93">
        <v>4000</v>
      </c>
      <c r="D8" s="94">
        <f t="shared" si="0"/>
        <v>10000</v>
      </c>
      <c r="E8" s="93">
        <v>3400</v>
      </c>
      <c r="F8" s="95">
        <v>1800</v>
      </c>
      <c r="G8" s="95">
        <v>700</v>
      </c>
      <c r="H8" s="95">
        <v>2680</v>
      </c>
      <c r="I8" s="96">
        <f t="shared" si="1"/>
        <v>18580</v>
      </c>
    </row>
    <row r="9" spans="1:9" x14ac:dyDescent="0.2">
      <c r="A9" s="92" t="s">
        <v>83</v>
      </c>
      <c r="B9" s="93">
        <v>6000</v>
      </c>
      <c r="C9" s="93">
        <v>4000</v>
      </c>
      <c r="D9" s="94">
        <f t="shared" si="0"/>
        <v>10000</v>
      </c>
      <c r="E9" s="93">
        <v>3400</v>
      </c>
      <c r="F9" s="95">
        <v>1800</v>
      </c>
      <c r="G9" s="95">
        <v>700</v>
      </c>
      <c r="H9" s="95">
        <v>2965</v>
      </c>
      <c r="I9" s="96">
        <f t="shared" si="1"/>
        <v>18865</v>
      </c>
    </row>
    <row r="10" spans="1:9" x14ac:dyDescent="0.2">
      <c r="A10" s="92" t="s">
        <v>19</v>
      </c>
      <c r="B10" s="93">
        <v>6500</v>
      </c>
      <c r="C10" s="93">
        <v>4200</v>
      </c>
      <c r="D10" s="94">
        <f t="shared" si="0"/>
        <v>10700</v>
      </c>
      <c r="E10" s="93">
        <v>3500</v>
      </c>
      <c r="F10" s="95">
        <v>1800</v>
      </c>
      <c r="G10" s="95">
        <v>700</v>
      </c>
      <c r="H10" s="95">
        <v>3125</v>
      </c>
      <c r="I10" s="96">
        <f t="shared" si="1"/>
        <v>19825</v>
      </c>
    </row>
    <row r="11" spans="1:9" x14ac:dyDescent="0.2">
      <c r="A11" s="92" t="s">
        <v>40</v>
      </c>
      <c r="B11" s="93">
        <v>6500</v>
      </c>
      <c r="C11" s="93">
        <v>4200</v>
      </c>
      <c r="D11" s="94">
        <f t="shared" si="0"/>
        <v>10700</v>
      </c>
      <c r="E11" s="93">
        <v>3500</v>
      </c>
      <c r="F11" s="95">
        <v>1800</v>
      </c>
      <c r="G11" s="95">
        <v>700</v>
      </c>
      <c r="H11" s="95">
        <v>3130</v>
      </c>
      <c r="I11" s="96">
        <f t="shared" si="1"/>
        <v>19830</v>
      </c>
    </row>
    <row r="12" spans="1:9" x14ac:dyDescent="0.2">
      <c r="A12" s="92" t="s">
        <v>198</v>
      </c>
      <c r="B12" s="93">
        <v>7500</v>
      </c>
      <c r="C12" s="93">
        <v>4500</v>
      </c>
      <c r="D12" s="94">
        <f t="shared" si="0"/>
        <v>12000</v>
      </c>
      <c r="E12" s="93">
        <v>3600</v>
      </c>
      <c r="F12" s="95">
        <v>2000</v>
      </c>
      <c r="G12" s="95">
        <v>700</v>
      </c>
      <c r="H12" s="95">
        <v>2635</v>
      </c>
      <c r="I12" s="96">
        <f t="shared" si="1"/>
        <v>20935</v>
      </c>
    </row>
    <row r="13" spans="1:9" x14ac:dyDescent="0.2">
      <c r="A13" s="92" t="s">
        <v>51</v>
      </c>
      <c r="B13" s="93">
        <v>7500</v>
      </c>
      <c r="C13" s="93">
        <v>4500</v>
      </c>
      <c r="D13" s="94">
        <f t="shared" si="0"/>
        <v>12000</v>
      </c>
      <c r="E13" s="93">
        <v>3600</v>
      </c>
      <c r="F13" s="95">
        <v>2000</v>
      </c>
      <c r="G13" s="95">
        <v>700</v>
      </c>
      <c r="H13" s="95">
        <v>3980</v>
      </c>
      <c r="I13" s="96">
        <f t="shared" si="1"/>
        <v>22280</v>
      </c>
    </row>
    <row r="14" spans="1:9" x14ac:dyDescent="0.2">
      <c r="A14" s="92" t="s">
        <v>210</v>
      </c>
      <c r="B14" s="93">
        <v>8500</v>
      </c>
      <c r="C14" s="93">
        <v>5000</v>
      </c>
      <c r="D14" s="94">
        <f t="shared" si="0"/>
        <v>13500</v>
      </c>
      <c r="E14" s="93">
        <v>3800</v>
      </c>
      <c r="F14" s="95">
        <v>2000</v>
      </c>
      <c r="G14" s="95">
        <v>700</v>
      </c>
      <c r="H14" s="95">
        <v>2600</v>
      </c>
      <c r="I14" s="96">
        <f t="shared" si="1"/>
        <v>22600</v>
      </c>
    </row>
    <row r="15" spans="1:9" ht="15.75" customHeight="1" x14ac:dyDescent="0.25">
      <c r="A15" s="108" t="s">
        <v>607</v>
      </c>
      <c r="B15" s="109"/>
      <c r="C15" s="109"/>
      <c r="D15" s="109"/>
      <c r="E15" s="109"/>
      <c r="F15" s="109"/>
      <c r="G15" s="109"/>
      <c r="H15" s="109"/>
      <c r="I15" s="110"/>
    </row>
    <row r="16" spans="1:9" x14ac:dyDescent="0.2">
      <c r="A16" s="111" t="s">
        <v>598</v>
      </c>
      <c r="B16" s="111" t="s">
        <v>599</v>
      </c>
      <c r="C16" s="112" t="s">
        <v>600</v>
      </c>
      <c r="D16" s="110"/>
      <c r="E16" s="111" t="s">
        <v>601</v>
      </c>
      <c r="F16" s="90"/>
      <c r="G16" s="111" t="s">
        <v>602</v>
      </c>
      <c r="H16" s="111" t="s">
        <v>603</v>
      </c>
      <c r="I16" s="111" t="s">
        <v>604</v>
      </c>
    </row>
    <row r="17" spans="1:9" x14ac:dyDescent="0.2">
      <c r="A17" s="106"/>
      <c r="B17" s="106"/>
      <c r="C17" s="91" t="s">
        <v>605</v>
      </c>
      <c r="D17" s="91" t="s">
        <v>604</v>
      </c>
      <c r="E17" s="106"/>
      <c r="F17" s="90"/>
      <c r="G17" s="106"/>
      <c r="H17" s="106"/>
      <c r="I17" s="106"/>
    </row>
    <row r="18" spans="1:9" x14ac:dyDescent="0.2">
      <c r="A18" s="92" t="s">
        <v>245</v>
      </c>
      <c r="B18" s="93">
        <v>4000</v>
      </c>
      <c r="C18" s="93">
        <v>600</v>
      </c>
      <c r="D18" s="97">
        <f t="shared" ref="D18:D28" si="2">SUM(B18:C18)</f>
        <v>4600</v>
      </c>
      <c r="E18" s="93">
        <v>2700</v>
      </c>
      <c r="F18" s="95"/>
      <c r="G18" s="95">
        <v>700</v>
      </c>
      <c r="H18" s="95">
        <v>1905</v>
      </c>
      <c r="I18" s="96">
        <f t="shared" ref="I18:I28" si="3">SUM(D18:H18)</f>
        <v>9905</v>
      </c>
    </row>
    <row r="19" spans="1:9" x14ac:dyDescent="0.2">
      <c r="A19" s="92" t="s">
        <v>100</v>
      </c>
      <c r="B19" s="93">
        <v>4000</v>
      </c>
      <c r="C19" s="93">
        <v>600</v>
      </c>
      <c r="D19" s="97">
        <f t="shared" si="2"/>
        <v>4600</v>
      </c>
      <c r="E19" s="93">
        <v>2700</v>
      </c>
      <c r="F19" s="95"/>
      <c r="G19" s="95">
        <v>700</v>
      </c>
      <c r="H19" s="95">
        <v>1995</v>
      </c>
      <c r="I19" s="96">
        <f t="shared" si="3"/>
        <v>9995</v>
      </c>
    </row>
    <row r="20" spans="1:9" x14ac:dyDescent="0.2">
      <c r="A20" s="92" t="s">
        <v>65</v>
      </c>
      <c r="B20" s="93">
        <v>4000</v>
      </c>
      <c r="C20" s="93">
        <v>600</v>
      </c>
      <c r="D20" s="97">
        <f t="shared" si="2"/>
        <v>4600</v>
      </c>
      <c r="E20" s="93">
        <v>2700</v>
      </c>
      <c r="F20" s="95"/>
      <c r="G20" s="95">
        <v>700</v>
      </c>
      <c r="H20" s="95">
        <v>2180</v>
      </c>
      <c r="I20" s="96">
        <f t="shared" si="3"/>
        <v>10180</v>
      </c>
    </row>
    <row r="21" spans="1:9" x14ac:dyDescent="0.2">
      <c r="A21" s="92" t="s">
        <v>28</v>
      </c>
      <c r="B21" s="93">
        <v>4000</v>
      </c>
      <c r="C21" s="93">
        <v>600</v>
      </c>
      <c r="D21" s="97">
        <f t="shared" si="2"/>
        <v>4600</v>
      </c>
      <c r="E21" s="93">
        <v>2700</v>
      </c>
      <c r="F21" s="95"/>
      <c r="G21" s="95">
        <v>700</v>
      </c>
      <c r="H21" s="95">
        <v>2500</v>
      </c>
      <c r="I21" s="96">
        <f t="shared" si="3"/>
        <v>10500</v>
      </c>
    </row>
    <row r="22" spans="1:9" x14ac:dyDescent="0.2">
      <c r="A22" s="92" t="s">
        <v>104</v>
      </c>
      <c r="B22" s="93">
        <v>4500</v>
      </c>
      <c r="C22" s="93">
        <v>800</v>
      </c>
      <c r="D22" s="97">
        <f t="shared" si="2"/>
        <v>5300</v>
      </c>
      <c r="E22" s="93">
        <v>3000</v>
      </c>
      <c r="F22" s="95"/>
      <c r="G22" s="95">
        <v>700</v>
      </c>
      <c r="H22" s="95">
        <v>2680</v>
      </c>
      <c r="I22" s="96">
        <f t="shared" si="3"/>
        <v>11680</v>
      </c>
    </row>
    <row r="23" spans="1:9" x14ac:dyDescent="0.2">
      <c r="A23" s="92" t="s">
        <v>83</v>
      </c>
      <c r="B23" s="93">
        <v>4500</v>
      </c>
      <c r="C23" s="93">
        <v>800</v>
      </c>
      <c r="D23" s="97">
        <f t="shared" si="2"/>
        <v>5300</v>
      </c>
      <c r="E23" s="93">
        <v>3000</v>
      </c>
      <c r="F23" s="95"/>
      <c r="G23" s="95">
        <v>700</v>
      </c>
      <c r="H23" s="95">
        <v>2965</v>
      </c>
      <c r="I23" s="96">
        <f t="shared" si="3"/>
        <v>11965</v>
      </c>
    </row>
    <row r="24" spans="1:9" x14ac:dyDescent="0.2">
      <c r="A24" s="92" t="s">
        <v>19</v>
      </c>
      <c r="B24" s="93">
        <v>5000</v>
      </c>
      <c r="C24" s="93">
        <v>850</v>
      </c>
      <c r="D24" s="97">
        <f t="shared" si="2"/>
        <v>5850</v>
      </c>
      <c r="E24" s="93">
        <v>3000</v>
      </c>
      <c r="F24" s="95"/>
      <c r="G24" s="95">
        <v>700</v>
      </c>
      <c r="H24" s="95">
        <v>3125</v>
      </c>
      <c r="I24" s="96">
        <f t="shared" si="3"/>
        <v>12675</v>
      </c>
    </row>
    <row r="25" spans="1:9" x14ac:dyDescent="0.2">
      <c r="A25" s="92" t="s">
        <v>40</v>
      </c>
      <c r="B25" s="93">
        <v>5000</v>
      </c>
      <c r="C25" s="93">
        <v>850</v>
      </c>
      <c r="D25" s="97">
        <f t="shared" si="2"/>
        <v>5850</v>
      </c>
      <c r="E25" s="93">
        <v>3000</v>
      </c>
      <c r="F25" s="95"/>
      <c r="G25" s="95">
        <v>700</v>
      </c>
      <c r="H25" s="95">
        <v>3130</v>
      </c>
      <c r="I25" s="96">
        <f t="shared" si="3"/>
        <v>12680</v>
      </c>
    </row>
    <row r="26" spans="1:9" x14ac:dyDescent="0.2">
      <c r="A26" s="92" t="s">
        <v>198</v>
      </c>
      <c r="B26" s="93">
        <v>5500</v>
      </c>
      <c r="C26" s="93">
        <v>1000</v>
      </c>
      <c r="D26" s="97">
        <f t="shared" si="2"/>
        <v>6500</v>
      </c>
      <c r="E26" s="93">
        <v>3050</v>
      </c>
      <c r="F26" s="95"/>
      <c r="G26" s="95">
        <v>700</v>
      </c>
      <c r="H26" s="95">
        <v>2635</v>
      </c>
      <c r="I26" s="96">
        <f t="shared" si="3"/>
        <v>12885</v>
      </c>
    </row>
    <row r="27" spans="1:9" x14ac:dyDescent="0.2">
      <c r="A27" s="92" t="s">
        <v>51</v>
      </c>
      <c r="B27" s="93">
        <v>5500</v>
      </c>
      <c r="C27" s="93">
        <v>1000</v>
      </c>
      <c r="D27" s="97">
        <f t="shared" si="2"/>
        <v>6500</v>
      </c>
      <c r="E27" s="93">
        <v>3050</v>
      </c>
      <c r="F27" s="95"/>
      <c r="G27" s="95">
        <v>700</v>
      </c>
      <c r="H27" s="95">
        <v>3980</v>
      </c>
      <c r="I27" s="96">
        <f t="shared" si="3"/>
        <v>14230</v>
      </c>
    </row>
    <row r="28" spans="1:9" x14ac:dyDescent="0.2">
      <c r="A28" s="92" t="s">
        <v>210</v>
      </c>
      <c r="B28" s="93">
        <v>6000</v>
      </c>
      <c r="C28" s="93">
        <v>1100</v>
      </c>
      <c r="D28" s="97">
        <f t="shared" si="2"/>
        <v>7100</v>
      </c>
      <c r="E28" s="93">
        <v>3050</v>
      </c>
      <c r="F28" s="95"/>
      <c r="G28" s="95">
        <v>700</v>
      </c>
      <c r="H28" s="95">
        <v>2600</v>
      </c>
      <c r="I28" s="96">
        <f t="shared" si="3"/>
        <v>13450</v>
      </c>
    </row>
    <row r="52" spans="6:7" ht="15.75" customHeight="1" x14ac:dyDescent="0.15">
      <c r="F52" s="23"/>
      <c r="G52" s="23"/>
    </row>
  </sheetData>
  <mergeCells count="16">
    <mergeCell ref="H16:H17"/>
    <mergeCell ref="I16:I17"/>
    <mergeCell ref="I2:I3"/>
    <mergeCell ref="A15:I15"/>
    <mergeCell ref="A16:A17"/>
    <mergeCell ref="B16:B17"/>
    <mergeCell ref="C16:D16"/>
    <mergeCell ref="E16:E17"/>
    <mergeCell ref="G16:G17"/>
    <mergeCell ref="A1:I1"/>
    <mergeCell ref="A2:A3"/>
    <mergeCell ref="B2:B3"/>
    <mergeCell ref="C2:D2"/>
    <mergeCell ref="E2:E3"/>
    <mergeCell ref="G2:G3"/>
    <mergeCell ref="H2:H3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Admission</vt:lpstr>
      <vt:lpstr>VAN</vt:lpstr>
      <vt:lpstr>Nur</vt:lpstr>
      <vt:lpstr>LKG</vt:lpstr>
      <vt:lpstr>UKG</vt:lpstr>
      <vt:lpstr>I</vt:lpstr>
      <vt:lpstr>II</vt:lpstr>
      <vt:lpstr>III</vt:lpstr>
      <vt:lpstr>IV</vt:lpstr>
      <vt:lpstr>VI</vt:lpstr>
      <vt:lpstr>VII</vt:lpstr>
      <vt:lpstr>V</vt:lpstr>
      <vt:lpstr>VIII</vt:lpstr>
      <vt:lpstr>Summary</vt:lpstr>
      <vt:lpstr>Expect</vt:lpstr>
      <vt:lpstr>Fee</vt:lpstr>
      <vt:lpstr>I!data</vt:lpstr>
      <vt:lpstr>II!data</vt:lpstr>
      <vt:lpstr>III!data</vt:lpstr>
      <vt:lpstr>IV!data</vt:lpstr>
      <vt:lpstr>LKG!data</vt:lpstr>
      <vt:lpstr>UKG!data</vt:lpstr>
      <vt:lpstr>V!data</vt:lpstr>
      <vt:lpstr>VAN!data</vt:lpstr>
      <vt:lpstr>VI!data</vt:lpstr>
      <vt:lpstr>VII!data</vt:lpstr>
      <vt:lpstr>VIII!data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Nafis Aslam</cp:lastModifiedBy>
  <dcterms:modified xsi:type="dcterms:W3CDTF">2025-09-03T08:54:26Z</dcterms:modified>
</cp:coreProperties>
</file>